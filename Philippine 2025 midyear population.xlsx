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pulation" sheetId="1" r:id="rId5"/>
    <sheet name="Diseases" sheetId="2" r:id="rId6"/>
    <sheet name="Total Cases" sheetId="3" r:id="rId7"/>
    <sheet name="Chart - National Capital Region" sheetId="4" r:id="rId8"/>
    <sheet name="Chart - Cordillera Administrati" sheetId="5" r:id="rId9"/>
    <sheet name="Chart - Ilocos" sheetId="6" r:id="rId10"/>
    <sheet name="Chart - Cagayan Valley" sheetId="7" r:id="rId11"/>
    <sheet name="Chart - Central Luzon" sheetId="8" r:id="rId12"/>
    <sheet name="Chart - Calabarzon" sheetId="9" r:id="rId13"/>
    <sheet name="Chart - Mimaropa" sheetId="10" r:id="rId14"/>
    <sheet name="Chart - Bicol" sheetId="11" r:id="rId15"/>
    <sheet name="Chart - Western Visayas" sheetId="12" r:id="rId16"/>
    <sheet name="Chart - Central Visayas" sheetId="13" r:id="rId17"/>
    <sheet name="Chart - Eastern Visayas" sheetId="14" r:id="rId18"/>
    <sheet name="Chart - Zamboanga Peninsula" sheetId="15" r:id="rId19"/>
    <sheet name="Chart - Northern Mindanao" sheetId="16" r:id="rId20"/>
    <sheet name="Chart - Davao" sheetId="17" r:id="rId21"/>
    <sheet name="Chart - SOCCSKSARGEN" sheetId="18" r:id="rId22"/>
    <sheet name="Chart - Caraga" sheetId="19" r:id="rId23"/>
    <sheet name="Chart - BARMM" sheetId="20" r:id="rId24"/>
    <sheet name="Chart - NIR" sheetId="21" r:id="rId2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<sst xmlns="http://schemas.openxmlformats.org/spreadsheetml/2006/main" uniqueCount="92">
  <si>
    <t>Philippines</t>
  </si>
  <si>
    <t>source</t>
  </si>
  <si>
    <r>
      <rPr>
        <u val="single"/>
        <sz val="11"/>
        <color indexed="10"/>
        <rFont val="Cambria"/>
      </rPr>
      <t>https://psa.gov.ph/system/files/phcd/2022-12/Cities%2520and%2520Municipalities%2520Population%2520Projections_2015CBPP_Phils.pdf</t>
    </r>
  </si>
  <si>
    <t>NCR</t>
  </si>
  <si>
    <t>regions VI and VII include NIR (occidental and oriental, respectively</t>
  </si>
  <si>
    <t>CAR</t>
  </si>
  <si>
    <t xml:space="preserve">these regions will not be processed due to difference in reporting of regions </t>
  </si>
  <si>
    <t>Region I</t>
  </si>
  <si>
    <t>Region II</t>
  </si>
  <si>
    <t>Region III</t>
  </si>
  <si>
    <t>Region IV-A</t>
  </si>
  <si>
    <t>Region IV-B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</si>
  <si>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</si>
  <si>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</si>
  <si>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</si>
  <si>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</si>
  <si>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</si>
  <si>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</si>
  <si>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</si>
  <si>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</si>
  <si>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Caraga</t>
  </si>
  <si>
    <t>BARMM</t>
  </si>
  <si>
    <t>Rank</t>
  </si>
  <si>
    <t>Diseases</t>
  </si>
  <si>
    <t>Month</t>
  </si>
  <si>
    <t>Area</t>
  </si>
  <si>
    <t>Gender</t>
  </si>
  <si>
    <t>Cases</t>
  </si>
  <si>
    <t>Population</t>
  </si>
  <si>
    <t>Incidence Rate (per 100k)</t>
  </si>
  <si>
    <t>Respiratory Diseases</t>
  </si>
  <si>
    <t>January</t>
  </si>
  <si>
    <t>National Capital Region</t>
  </si>
  <si>
    <t>Male</t>
  </si>
  <si>
    <t>Cardiovascular Diseases</t>
  </si>
  <si>
    <t>Injuries &amp; External Causes</t>
  </si>
  <si>
    <t>Skin &amp; Soft Tissue Diseases</t>
  </si>
  <si>
    <t>Digestive &amp; Metabolic Disorders</t>
  </si>
  <si>
    <t>Cordillera Administrative Region</t>
  </si>
  <si>
    <t>Genitourinary &amp; Reproductive Health</t>
  </si>
  <si>
    <t>Health Services &amp; Screening</t>
  </si>
  <si>
    <t>Symptoms &amp; Other Findings</t>
  </si>
  <si>
    <t>Ilocos</t>
  </si>
  <si>
    <t>Cagayan Valley</t>
  </si>
  <si>
    <t>Central Luzon</t>
  </si>
  <si>
    <t>Infectious &amp; Parasitic Diseases</t>
  </si>
  <si>
    <t>Calabarzon</t>
  </si>
  <si>
    <t>Mimaropa</t>
  </si>
  <si>
    <t>No reported data</t>
  </si>
  <si>
    <t>Bicol</t>
  </si>
  <si>
    <t>N/A</t>
  </si>
  <si>
    <t>Western Visayas</t>
  </si>
  <si>
    <t>Central Visayas</t>
  </si>
  <si>
    <t>Eastern Visayas</t>
  </si>
  <si>
    <t>Zamboanga Peninsula</t>
  </si>
  <si>
    <t>Northern Mindanao</t>
  </si>
  <si>
    <t>Davao</t>
  </si>
  <si>
    <t>SOCCSKSARGEN</t>
  </si>
  <si>
    <t>NIR</t>
  </si>
  <si>
    <t>Musculoskeletal Diseases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</si>
  <si>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</si>
  <si>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</si>
  <si>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</si>
  <si>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</si>
  <si>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</si>
  <si>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</si>
  <si>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</si>
  <si>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</si>
  <si>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</si>
  <si>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</si>
  <si>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</si>
  <si>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Female</t>
  </si>
  <si>
    <t>Total Cases (M+F)</t>
  </si>
  <si>
    <t>Note: Population for Western Visayas, Central Visayas, and NIR is blank in the source (per Population sheet, Regions VI/VII include NIR and were not separately processed). Incidence Rate is left blank for those areas.</t>
  </si>
  <si>
    <t>Monthly Incidence Rate (per 100k) by Disease — National Capital Region</t>
  </si>
  <si>
    <t>Monthly Incidence Rate (per 100k) by Disease — Cordillera Administrative Region</t>
  </si>
  <si>
    <t>Monthly Incidence Rate (per 100k) by Disease — Ilocos</t>
  </si>
  <si>
    <t>Monthly Incidence Rate (per 100k) by Disease — Cagayan Valley</t>
  </si>
  <si>
    <t>Monthly Incidence Rate (per 100k) by Disease — Central Luzon</t>
  </si>
  <si>
    <t>Monthly Incidence Rate (per 100k) by Disease — Calabarzon</t>
  </si>
  <si>
    <t>Monthly Incidence Rate (per 100k) by Disease — Mimaropa</t>
  </si>
  <si>
    <t>Monthly Incidence Rate (per 100k) by Disease — Bicol</t>
  </si>
  <si>
    <t>Monthly Incidence Rate (per 100k) by Disease — Western Visayas</t>
  </si>
  <si>
    <t>Monthly Incidence Rate (per 100k) by Disease — Central Visayas</t>
  </si>
  <si>
    <t>Monthly Incidence Rate (per 100k) by Disease — Eastern Visayas</t>
  </si>
  <si>
    <t>Monthly Incidence Rate (per 100k) by Disease — Zamboanga Peninsula</t>
  </si>
  <si>
    <t>Monthly Incidence Rate (per 100k) by Disease — Northern Mindanao</t>
  </si>
  <si>
    <t>Monthly Incidence Rate (per 100k) by Disease — Davao</t>
  </si>
  <si>
    <t>Monthly Incidence Rate (per 100k) by Disease — SOCCSKSARGEN</t>
  </si>
  <si>
    <t>Monthly Incidence Rate (per 100k) by Disease — Caraga</t>
  </si>
  <si>
    <t>Monthly Incidence Rate (per 100k) by Disease — BARMM</t>
  </si>
  <si>
    <t>Monthly Incidence Rate (per 100k) by Disease — NIR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</si>
</sst>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u val="single"/>
      <sz val="11"/>
      <color indexed="10"/>
      <name val="Cambria"/>
    </font>
    <font>
      <sz val="8"/>
      <color indexed="8"/>
      <name val="&quot;Helvetica Neue&quot;"/>
    </font>
    <font>
      <sz val="11"/>
      <color indexed="13"/>
      <name val="Arial"/>
    </font>
    <font>
      <sz val="10"/>
      <color indexed="13"/>
      <name val="Arial"/>
    </font>
    <font>
      <sz val="9"/>
      <color indexed="27"/>
      <name val="Arial"/>
    </font>
    <font>
      <sz val="14"/>
      <color indexed="14"/>
      <name val="Arial"/>
    </font>
    <font>
      <b val="1"/>
      <sz val="10"/>
      <color indexed="8"/>
      <name val="Arial"/>
    </font>
    <font>
      <b val="1"/>
      <sz val="18"/>
      <color indexed="8"/>
      <name val="Arial"/>
    </font>
  </fonts>
  <fills count="17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9"/>
      </left>
      <right style="thin">
        <color indexed="9"/>
      </right>
      <top style="thin">
        <color indexed="15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5"/>
      </bottom>
      <diagonal/>
    </border>
    <border>
      <left style="thin">
        <color indexed="15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3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2" applyNumberFormat="1" applyFont="1" applyFill="1" applyBorder="1" applyAlignment="1" applyProtection="0">
      <alignment vertical="top"/>
    </xf>
    <xf numFmtId="1" fontId="5" fillId="3" borderId="2" applyNumberFormat="1" applyFont="1" applyFill="1" applyBorder="1" applyAlignment="1" applyProtection="0">
      <alignment vertical="top"/>
    </xf>
    <xf numFmtId="49" fontId="5" fillId="4" borderId="2" applyNumberFormat="1" applyFont="1" applyFill="1" applyBorder="1" applyAlignment="1" applyProtection="0">
      <alignment vertical="top"/>
    </xf>
    <xf numFmtId="1" fontId="5" fillId="4" borderId="2" applyNumberFormat="1" applyFont="1" applyFill="1" applyBorder="1" applyAlignment="1" applyProtection="0">
      <alignment vertical="top"/>
    </xf>
    <xf numFmtId="2" fontId="5" fillId="4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5" borderId="8" applyNumberFormat="1" applyFont="1" applyFill="1" applyBorder="1" applyAlignment="1" applyProtection="0">
      <alignment horizontal="center" vertical="center" wrapText="1"/>
    </xf>
    <xf numFmtId="49" fontId="7" fillId="6" borderId="8" applyNumberFormat="1" applyFont="1" applyFill="1" applyBorder="1" applyAlignment="1" applyProtection="0">
      <alignment horizontal="left" vertical="center"/>
    </xf>
    <xf numFmtId="49" fontId="0" fillId="4" borderId="8" applyNumberFormat="1" applyFont="1" applyFill="1" applyBorder="1" applyAlignment="1" applyProtection="0">
      <alignment horizontal="left" vertical="center"/>
    </xf>
    <xf numFmtId="3" fontId="0" fillId="4" borderId="8" applyNumberFormat="1" applyFont="1" applyFill="1" applyBorder="1" applyAlignment="1" applyProtection="0">
      <alignment vertical="bottom"/>
    </xf>
    <xf numFmtId="4" fontId="0" fillId="4" borderId="8" applyNumberFormat="1" applyFont="1" applyFill="1" applyBorder="1" applyAlignment="1" applyProtection="0">
      <alignment vertical="bottom"/>
    </xf>
    <xf numFmtId="49" fontId="7" fillId="7" borderId="8" applyNumberFormat="1" applyFont="1" applyFill="1" applyBorder="1" applyAlignment="1" applyProtection="0">
      <alignment horizontal="left" vertical="center"/>
    </xf>
    <xf numFmtId="49" fontId="0" fillId="8" borderId="8" applyNumberFormat="1" applyFont="1" applyFill="1" applyBorder="1" applyAlignment="1" applyProtection="0">
      <alignment horizontal="left" vertical="center"/>
    </xf>
    <xf numFmtId="49" fontId="0" fillId="9" borderId="8" applyNumberFormat="1" applyFont="1" applyFill="1" applyBorder="1" applyAlignment="1" applyProtection="0">
      <alignment horizontal="left" vertical="center"/>
    </xf>
    <xf numFmtId="49" fontId="7" fillId="10" borderId="8" applyNumberFormat="1" applyFont="1" applyFill="1" applyBorder="1" applyAlignment="1" applyProtection="0">
      <alignment horizontal="left" vertical="center"/>
    </xf>
    <xf numFmtId="49" fontId="0" fillId="11" borderId="8" applyNumberFormat="1" applyFont="1" applyFill="1" applyBorder="1" applyAlignment="1" applyProtection="0">
      <alignment horizontal="left" vertical="center"/>
    </xf>
    <xf numFmtId="49" fontId="7" fillId="12" borderId="8" applyNumberFormat="1" applyFont="1" applyFill="1" applyBorder="1" applyAlignment="1" applyProtection="0">
      <alignment horizontal="left" vertical="center"/>
    </xf>
    <xf numFmtId="49" fontId="7" fillId="13" borderId="8" applyNumberFormat="1" applyFont="1" applyFill="1" applyBorder="1" applyAlignment="1" applyProtection="0">
      <alignment horizontal="left" vertical="center"/>
    </xf>
    <xf numFmtId="49" fontId="7" fillId="14" borderId="8" applyNumberFormat="1" applyFont="1" applyFill="1" applyBorder="1" applyAlignment="1" applyProtection="0">
      <alignment horizontal="left" vertical="center"/>
    </xf>
    <xf numFmtId="49" fontId="0" fillId="15" borderId="8" applyNumberFormat="1" applyFont="1" applyFill="1" applyBorder="1" applyAlignment="1" applyProtection="0">
      <alignment horizontal="left" vertical="center"/>
    </xf>
    <xf numFmtId="49" fontId="7" fillId="16" borderId="8" applyNumberFormat="1" applyFont="1" applyFill="1" applyBorder="1" applyAlignment="1" applyProtection="0">
      <alignment horizontal="left" vertical="center"/>
    </xf>
    <xf numFmtId="0" fontId="0" fillId="4" borderId="8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49" fontId="8" fillId="4" borderId="1" applyNumberFormat="1" applyFont="1" applyFill="1" applyBorder="1" applyAlignment="1" applyProtection="0">
      <alignment horizontal="left" vertical="center" wrapText="1"/>
    </xf>
    <xf numFmtId="1" fontId="8" fillId="4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9" fillId="4" borderId="1" applyNumberFormat="1" applyFont="1" applyFill="1" applyBorder="1" applyAlignment="1" applyProtection="0">
      <alignment vertical="bottom"/>
    </xf>
    <xf numFmtId="1" fontId="9" fillId="4" borderId="1" applyNumberFormat="1" applyFont="1" applyFill="1" applyBorder="1" applyAlignment="1" applyProtection="0">
      <alignment vertical="bottom"/>
    </xf>
    <xf numFmtId="0" fontId="0" fillId="4" borderId="10" applyNumberFormat="0" applyFont="1" applyFill="1" applyBorder="1" applyAlignment="1" applyProtection="0">
      <alignment vertical="bottom"/>
    </xf>
    <xf numFmtId="49" fontId="6" fillId="7" borderId="8" applyNumberFormat="1" applyFont="1" applyFill="1" applyBorder="1" applyAlignment="1" applyProtection="0">
      <alignment horizontal="center" vertical="center" wrapText="1"/>
    </xf>
    <xf numFmtId="49" fontId="6" fillId="10" borderId="8" applyNumberFormat="1" applyFont="1" applyFill="1" applyBorder="1" applyAlignment="1" applyProtection="0">
      <alignment horizontal="center" vertical="center" wrapText="1"/>
    </xf>
    <xf numFmtId="49" fontId="6" fillId="12" borderId="8" applyNumberFormat="1" applyFont="1" applyFill="1" applyBorder="1" applyAlignment="1" applyProtection="0">
      <alignment horizontal="center" vertical="center" wrapText="1"/>
    </xf>
    <xf numFmtId="49" fontId="3" fillId="8" borderId="8" applyNumberFormat="1" applyFont="1" applyFill="1" applyBorder="1" applyAlignment="1" applyProtection="0">
      <alignment horizontal="center" vertical="center" wrapText="1"/>
    </xf>
    <xf numFmtId="49" fontId="6" fillId="6" borderId="8" applyNumberFormat="1" applyFont="1" applyFill="1" applyBorder="1" applyAlignment="1" applyProtection="0">
      <alignment horizontal="center" vertical="center" wrapText="1"/>
    </xf>
    <xf numFmtId="49" fontId="3" fillId="9" borderId="8" applyNumberFormat="1" applyFont="1" applyFill="1" applyBorder="1" applyAlignment="1" applyProtection="0">
      <alignment horizontal="center" vertical="center" wrapText="1"/>
    </xf>
    <xf numFmtId="49" fontId="3" fillId="11" borderId="8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49" fontId="0" fillId="4" borderId="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13" borderId="8" applyNumberFormat="1" applyFont="1" applyFill="1" applyBorder="1" applyAlignment="1" applyProtection="0">
      <alignment horizontal="center" vertical="center" wrapText="1"/>
    </xf>
    <xf numFmtId="49" fontId="6" fillId="14" borderId="8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3" fillId="15" borderId="8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16" borderId="8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  <rgbColor rgb="ffb0b3b2"/>
      <rgbColor rgb="ffd4d4d4"/>
      <rgbColor rgb="ffffffff"/>
      <rgbColor rgb="ff305496"/>
      <rgbColor rgb="ffb4b4b4"/>
      <rgbColor rgb="ffc00000"/>
      <rgbColor rgb="ff1f3864"/>
      <rgbColor rgb="ffed7d31"/>
      <rgbColor rgb="ffc586c0"/>
      <rgbColor rgb="ff548235"/>
      <rgbColor rgb="ffffe699"/>
      <rgbColor rgb="ff7030a0"/>
      <rgbColor rgb="ff00b0f0"/>
      <rgbColor rgb="ff2e75b6"/>
      <rgbColor rgb="ffbfbfbf"/>
      <rgbColor rgb="ff8b4513"/>
      <rgbColor rgb="ff7f6000"/>
      <rgbColor rgb="ffd9d9d9"/>
      <rgbColor rgb="ff8b8b8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National Capital Region</a:t>
            </a:r>
          </a:p>
        </c:rich>
      </c:tx>
      <c:layout>
        <c:manualLayout>
          <c:xMode val="edge"/>
          <c:yMode val="edge"/>
          <c:x val="0.173906"/>
          <c:y val="0"/>
          <c:w val="0.652188"/>
          <c:h val="0.08761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8816"/>
          <c:y val="0.0876112"/>
          <c:w val="0.911118"/>
          <c:h val="0.711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National Capital Region'!$B$3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National Capital Region'!$A$4:$A$15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National Capital Region'!$B$4:$B$15</c:f>
              <c:numCache>
                <c:ptCount val="12"/>
                <c:pt idx="0">
                  <c:v>67.616251</c:v>
                </c:pt>
                <c:pt idx="1">
                  <c:v>51.832928</c:v>
                </c:pt>
                <c:pt idx="2">
                  <c:v>89.280445</c:v>
                </c:pt>
                <c:pt idx="3">
                  <c:v>1572.444522</c:v>
                </c:pt>
                <c:pt idx="4">
                  <c:v>117.169824</c:v>
                </c:pt>
                <c:pt idx="5">
                  <c:v>190.109159</c:v>
                </c:pt>
                <c:pt idx="6">
                  <c:v>183.181575</c:v>
                </c:pt>
                <c:pt idx="7">
                  <c:v>129.936962</c:v>
                </c:pt>
                <c:pt idx="8">
                  <c:v>185.336976</c:v>
                </c:pt>
                <c:pt idx="9">
                  <c:v>247.244512</c:v>
                </c:pt>
                <c:pt idx="10">
                  <c:v>218.294648</c:v>
                </c:pt>
                <c:pt idx="11">
                  <c:v>193.662473</c:v>
                </c:pt>
              </c:numCache>
            </c:numRef>
          </c:val>
        </c:ser>
        <c:ser>
          <c:idx val="1"/>
          <c:order val="1"/>
          <c:tx>
            <c:strRef>
              <c:f>'Chart - National Capital Region'!$C$3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National Capital Region'!$A$4:$A$15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National Capital Region'!$C$4:$C$15</c:f>
              <c:numCache>
                <c:ptCount val="12"/>
                <c:pt idx="0">
                  <c:v>9.792271</c:v>
                </c:pt>
                <c:pt idx="1">
                  <c:v>28.653755</c:v>
                </c:pt>
                <c:pt idx="2">
                  <c:v>25.630684</c:v>
                </c:pt>
                <c:pt idx="3">
                  <c:v>588.465903</c:v>
                </c:pt>
                <c:pt idx="4">
                  <c:v>87.827443</c:v>
                </c:pt>
                <c:pt idx="5">
                  <c:v>127.375271</c:v>
                </c:pt>
                <c:pt idx="6">
                  <c:v>99.843978</c:v>
                </c:pt>
                <c:pt idx="7">
                  <c:v>69.310272</c:v>
                </c:pt>
                <c:pt idx="8">
                  <c:v>126.975868</c:v>
                </c:pt>
                <c:pt idx="9">
                  <c:v>143.351410</c:v>
                </c:pt>
                <c:pt idx="10">
                  <c:v>147.861914</c:v>
                </c:pt>
                <c:pt idx="11">
                  <c:v>125.839634</c:v>
                </c:pt>
              </c:numCache>
            </c:numRef>
          </c:val>
        </c:ser>
        <c:ser>
          <c:idx val="2"/>
          <c:order val="2"/>
          <c:tx>
            <c:strRef>
              <c:f>'Chart - National Capital Region'!$D$3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National Capital Region'!$A$4:$A$15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National Capital Region'!$D$4:$D$15</c:f>
              <c:numCache>
                <c:ptCount val="12"/>
                <c:pt idx="0">
                  <c:v>0.000000</c:v>
                </c:pt>
                <c:pt idx="1">
                  <c:v>13.049475</c:v>
                </c:pt>
                <c:pt idx="2">
                  <c:v>10.425807</c:v>
                </c:pt>
                <c:pt idx="3">
                  <c:v>0.000000</c:v>
                </c:pt>
                <c:pt idx="4">
                  <c:v>23.241149</c:v>
                </c:pt>
                <c:pt idx="5">
                  <c:v>32.337907</c:v>
                </c:pt>
                <c:pt idx="6">
                  <c:v>39.327468</c:v>
                </c:pt>
                <c:pt idx="7">
                  <c:v>34.162768</c:v>
                </c:pt>
                <c:pt idx="8">
                  <c:v>41.104125</c:v>
                </c:pt>
                <c:pt idx="9">
                  <c:v>47.976619</c:v>
                </c:pt>
                <c:pt idx="10">
                  <c:v>40.078071</c:v>
                </c:pt>
                <c:pt idx="11">
                  <c:v>32.730425</c:v>
                </c:pt>
              </c:numCache>
            </c:numRef>
          </c:val>
        </c:ser>
        <c:ser>
          <c:idx val="3"/>
          <c:order val="3"/>
          <c:tx>
            <c:strRef>
              <c:f>'Chart - National Capital Region'!$E$3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National Capital Region'!$A$4:$A$15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National Capital Region'!$E$4:$E$15</c:f>
              <c:numCache>
                <c:ptCount val="12"/>
                <c:pt idx="0">
                  <c:v>44.740073</c:v>
                </c:pt>
                <c:pt idx="1">
                  <c:v>70.081534</c:v>
                </c:pt>
                <c:pt idx="2">
                  <c:v>76.981573</c:v>
                </c:pt>
                <c:pt idx="3">
                  <c:v>1047.297839</c:v>
                </c:pt>
                <c:pt idx="4">
                  <c:v>73.056401</c:v>
                </c:pt>
                <c:pt idx="5">
                  <c:v>158.404788</c:v>
                </c:pt>
                <c:pt idx="6">
                  <c:v>133.572911</c:v>
                </c:pt>
                <c:pt idx="7">
                  <c:v>93.315797</c:v>
                </c:pt>
                <c:pt idx="8">
                  <c:v>66.266542</c:v>
                </c:pt>
                <c:pt idx="9">
                  <c:v>83.461550</c:v>
                </c:pt>
                <c:pt idx="10">
                  <c:v>66.734809</c:v>
                </c:pt>
                <c:pt idx="11">
                  <c:v>55.475763</c:v>
                </c:pt>
              </c:numCache>
            </c:numRef>
          </c:val>
        </c:ser>
        <c:ser>
          <c:idx val="4"/>
          <c:order val="4"/>
          <c:tx>
            <c:strRef>
              <c:f>'Chart - National Capital Region'!$F$3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National Capital Region'!$A$4:$A$15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National Capital Region'!$F$4:$F$15</c:f>
              <c:numCache>
                <c:ptCount val="12"/>
                <c:pt idx="0">
                  <c:v>157.034421</c:v>
                </c:pt>
                <c:pt idx="1">
                  <c:v>157.172146</c:v>
                </c:pt>
                <c:pt idx="2">
                  <c:v>155.326627</c:v>
                </c:pt>
                <c:pt idx="3">
                  <c:v>2067.842533</c:v>
                </c:pt>
                <c:pt idx="4">
                  <c:v>134.468126</c:v>
                </c:pt>
                <c:pt idx="5">
                  <c:v>162.522775</c:v>
                </c:pt>
                <c:pt idx="6">
                  <c:v>230.318069</c:v>
                </c:pt>
                <c:pt idx="7">
                  <c:v>223.314736</c:v>
                </c:pt>
                <c:pt idx="8">
                  <c:v>400.498373</c:v>
                </c:pt>
                <c:pt idx="9">
                  <c:v>493.166861</c:v>
                </c:pt>
                <c:pt idx="10">
                  <c:v>262.311663</c:v>
                </c:pt>
                <c:pt idx="11">
                  <c:v>305.233762</c:v>
                </c:pt>
              </c:numCache>
            </c:numRef>
          </c:val>
        </c:ser>
        <c:ser>
          <c:idx val="5"/>
          <c:order val="5"/>
          <c:tx>
            <c:strRef>
              <c:f>'Chart - National Capital Region'!$G$3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National Capital Region'!$A$4:$A$15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National Capital Region'!$G$4:$G$15</c:f>
              <c:numCache>
                <c:ptCount val="12"/>
                <c:pt idx="0">
                  <c:v>10.563533</c:v>
                </c:pt>
                <c:pt idx="1">
                  <c:v>0.000000</c:v>
                </c:pt>
                <c:pt idx="2">
                  <c:v>0.000000</c:v>
                </c:pt>
                <c:pt idx="3">
                  <c:v>139.653484</c:v>
                </c:pt>
                <c:pt idx="4">
                  <c:v>39.857710</c:v>
                </c:pt>
                <c:pt idx="5">
                  <c:v>42.791260</c:v>
                </c:pt>
                <c:pt idx="6">
                  <c:v>29.376813</c:v>
                </c:pt>
                <c:pt idx="7">
                  <c:v>17.091713</c:v>
                </c:pt>
                <c:pt idx="8">
                  <c:v>0.000000</c:v>
                </c:pt>
                <c:pt idx="9">
                  <c:v>0.000000</c:v>
                </c:pt>
                <c:pt idx="10">
                  <c:v>20.755207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National Capital Region'!$H$3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National Capital Region'!$A$4:$A$15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National Capital Region'!$H$4:$H$15</c:f>
              <c:numCache>
                <c:ptCount val="12"/>
                <c:pt idx="0">
                  <c:v>0.000000</c:v>
                </c:pt>
                <c:pt idx="1">
                  <c:v>38.852316</c:v>
                </c:pt>
                <c:pt idx="2">
                  <c:v>10.363831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302734"/>
          <c:y val="0.927336"/>
          <c:w val="0.902859"/>
          <c:h val="0.072663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Cordillera Administrative Region</a:t>
            </a:r>
          </a:p>
        </c:rich>
      </c:tx>
      <c:layout>
        <c:manualLayout>
          <c:xMode val="edge"/>
          <c:yMode val="edge"/>
          <c:x val="0.124031"/>
          <c:y val="0"/>
          <c:w val="0.751938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41143"/>
          <c:y val="0.0850527"/>
          <c:w val="0.910886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Cordillera Administrati'!$B$3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Administrati'!$B$4:$B$15</c:f>
              <c:numCache>
                <c:ptCount val="12"/>
                <c:pt idx="0">
                  <c:v>430.831876</c:v>
                </c:pt>
                <c:pt idx="1">
                  <c:v>389.749456</c:v>
                </c:pt>
                <c:pt idx="2">
                  <c:v>316.761467</c:v>
                </c:pt>
                <c:pt idx="3">
                  <c:v>5465.295759</c:v>
                </c:pt>
                <c:pt idx="4">
                  <c:v>436.807501</c:v>
                </c:pt>
                <c:pt idx="5">
                  <c:v>348.080144</c:v>
                </c:pt>
                <c:pt idx="6">
                  <c:v>391.883608</c:v>
                </c:pt>
                <c:pt idx="7">
                  <c:v>537.219339</c:v>
                </c:pt>
                <c:pt idx="8">
                  <c:v>288.217188</c:v>
                </c:pt>
                <c:pt idx="9">
                  <c:v>449.985888</c:v>
                </c:pt>
                <c:pt idx="10">
                  <c:v>348.773743</c:v>
                </c:pt>
                <c:pt idx="11">
                  <c:v>348.240205</c:v>
                </c:pt>
              </c:numCache>
            </c:numRef>
          </c:val>
        </c:ser>
        <c:ser>
          <c:idx val="1"/>
          <c:order val="1"/>
          <c:tx>
            <c:strRef>
              <c:f>'Chart - Cordillera Administrati'!$C$3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Administrati'!$C$4:$C$15</c:f>
              <c:numCache>
                <c:ptCount val="12"/>
                <c:pt idx="0">
                  <c:v>81.204473</c:v>
                </c:pt>
                <c:pt idx="1">
                  <c:v>241.532620</c:v>
                </c:pt>
                <c:pt idx="2">
                  <c:v>200.663614</c:v>
                </c:pt>
                <c:pt idx="3">
                  <c:v>2266.469115</c:v>
                </c:pt>
                <c:pt idx="4">
                  <c:v>162.569006</c:v>
                </c:pt>
                <c:pt idx="5">
                  <c:v>102.652697</c:v>
                </c:pt>
                <c:pt idx="6">
                  <c:v>180.389173</c:v>
                </c:pt>
                <c:pt idx="7">
                  <c:v>288.590665</c:v>
                </c:pt>
                <c:pt idx="8">
                  <c:v>85.526130</c:v>
                </c:pt>
                <c:pt idx="9">
                  <c:v>210.107236</c:v>
                </c:pt>
                <c:pt idx="10">
                  <c:v>158.407411</c:v>
                </c:pt>
                <c:pt idx="11">
                  <c:v>136.158879</c:v>
                </c:pt>
              </c:numCache>
            </c:numRef>
          </c:val>
        </c:ser>
        <c:ser>
          <c:idx val="2"/>
          <c:order val="2"/>
          <c:tx>
            <c:strRef>
              <c:f>'Chart - Cordillera Administrati'!$D$3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Administrati'!$D$4:$D$15</c:f>
              <c:numCache>
                <c:ptCount val="12"/>
                <c:pt idx="0">
                  <c:v>199.063001</c:v>
                </c:pt>
                <c:pt idx="1">
                  <c:v>197.569094</c:v>
                </c:pt>
                <c:pt idx="2">
                  <c:v>165.076635</c:v>
                </c:pt>
                <c:pt idx="3">
                  <c:v>1130.833637</c:v>
                </c:pt>
                <c:pt idx="4">
                  <c:v>62.583999</c:v>
                </c:pt>
                <c:pt idx="5">
                  <c:v>158.140642</c:v>
                </c:pt>
                <c:pt idx="6">
                  <c:v>145.282378</c:v>
                </c:pt>
                <c:pt idx="7">
                  <c:v>88.727357</c:v>
                </c:pt>
                <c:pt idx="8">
                  <c:v>129.649716</c:v>
                </c:pt>
                <c:pt idx="9">
                  <c:v>171.799213</c:v>
                </c:pt>
                <c:pt idx="10">
                  <c:v>64.131259</c:v>
                </c:pt>
                <c:pt idx="11">
                  <c:v>81.844718</c:v>
                </c:pt>
              </c:numCache>
            </c:numRef>
          </c:val>
        </c:ser>
        <c:ser>
          <c:idx val="3"/>
          <c:order val="3"/>
          <c:tx>
            <c:strRef>
              <c:f>'Chart - Cordillera Administrati'!$E$3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Administrati'!$E$4:$E$15</c:f>
              <c:numCache>
                <c:ptCount val="12"/>
                <c:pt idx="0">
                  <c:v>99.504823</c:v>
                </c:pt>
                <c:pt idx="1">
                  <c:v>88.300527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Cordillera Administrati'!$F$3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Administrati'!$F$4:$F$15</c:f>
              <c:numCache>
                <c:ptCount val="12"/>
                <c:pt idx="0">
                  <c:v>0.000000</c:v>
                </c:pt>
                <c:pt idx="1">
                  <c:v>55.327883</c:v>
                </c:pt>
                <c:pt idx="2">
                  <c:v>0.000000</c:v>
                </c:pt>
                <c:pt idx="3">
                  <c:v>0.000000</c:v>
                </c:pt>
                <c:pt idx="4">
                  <c:v>65.251689</c:v>
                </c:pt>
                <c:pt idx="5">
                  <c:v>78.003245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'Chart - Cordillera Administrati'!$G$3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Administrati'!$G$4:$G$15</c:f>
              <c:numCache>
                <c:ptCount val="12"/>
                <c:pt idx="0">
                  <c:v>101.158791</c:v>
                </c:pt>
                <c:pt idx="1">
                  <c:v>103.986542</c:v>
                </c:pt>
                <c:pt idx="2">
                  <c:v>78.750198</c:v>
                </c:pt>
                <c:pt idx="3">
                  <c:v>2692.232381</c:v>
                </c:pt>
                <c:pt idx="4">
                  <c:v>139.573522</c:v>
                </c:pt>
                <c:pt idx="5">
                  <c:v>227.553926</c:v>
                </c:pt>
                <c:pt idx="6">
                  <c:v>206.959362</c:v>
                </c:pt>
                <c:pt idx="7">
                  <c:v>220.457872</c:v>
                </c:pt>
                <c:pt idx="8">
                  <c:v>217.309998</c:v>
                </c:pt>
                <c:pt idx="9">
                  <c:v>187.271812</c:v>
                </c:pt>
                <c:pt idx="10">
                  <c:v>64.344674</c:v>
                </c:pt>
                <c:pt idx="11">
                  <c:v>137.279309</c:v>
                </c:pt>
              </c:numCache>
            </c:numRef>
          </c:val>
        </c:ser>
        <c:ser>
          <c:idx val="6"/>
          <c:order val="6"/>
          <c:tx>
            <c:strRef>
              <c:f>'Chart - Cordillera Administrati'!$H$3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Administrati'!$H$4:$H$15</c:f>
              <c:numCache>
                <c:ptCount val="12"/>
                <c:pt idx="0">
                  <c:v>1152.975461</c:v>
                </c:pt>
                <c:pt idx="1">
                  <c:v>1044.773969</c:v>
                </c:pt>
                <c:pt idx="2">
                  <c:v>910.429119</c:v>
                </c:pt>
                <c:pt idx="3">
                  <c:v>14413.527107</c:v>
                </c:pt>
                <c:pt idx="4">
                  <c:v>919.392556</c:v>
                </c:pt>
                <c:pt idx="5">
                  <c:v>951.778309</c:v>
                </c:pt>
                <c:pt idx="6">
                  <c:v>735.855509</c:v>
                </c:pt>
                <c:pt idx="7">
                  <c:v>695.520042</c:v>
                </c:pt>
                <c:pt idx="8">
                  <c:v>1348.890588</c:v>
                </c:pt>
                <c:pt idx="9">
                  <c:v>1215.612814</c:v>
                </c:pt>
                <c:pt idx="10">
                  <c:v>1075.025570</c:v>
                </c:pt>
                <c:pt idx="11">
                  <c:v>867.639377</c:v>
                </c:pt>
              </c:numCache>
            </c:numRef>
          </c:val>
        </c:ser>
        <c:ser>
          <c:idx val="7"/>
          <c:order val="7"/>
          <c:tx>
            <c:strRef>
              <c:f>'Chart - Cordillera Administrati'!$I$3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Cordillera Administrati'!$A$4:$A$15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Cordillera Administrati'!$I$4:$I$15</c:f>
              <c:numCache>
                <c:ptCount val="12"/>
                <c:pt idx="0">
                  <c:v>98.170979</c:v>
                </c:pt>
                <c:pt idx="1">
                  <c:v>0.000000</c:v>
                </c:pt>
                <c:pt idx="2">
                  <c:v>0.000000</c:v>
                </c:pt>
                <c:pt idx="3">
                  <c:v>918.752311</c:v>
                </c:pt>
                <c:pt idx="4">
                  <c:v>0.000000</c:v>
                </c:pt>
                <c:pt idx="5">
                  <c:v>0.000000</c:v>
                </c:pt>
                <c:pt idx="6">
                  <c:v>95.396581</c:v>
                </c:pt>
                <c:pt idx="7">
                  <c:v>180.976065</c:v>
                </c:pt>
                <c:pt idx="8">
                  <c:v>339.063353</c:v>
                </c:pt>
                <c:pt idx="9">
                  <c:v>88.033758</c:v>
                </c:pt>
                <c:pt idx="10">
                  <c:v>127.142088</c:v>
                </c:pt>
                <c:pt idx="11">
                  <c:v>119.619203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908981"/>
          <c:y val="0.89989"/>
          <c:w val="0.774529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Ilocos</a:t>
            </a:r>
          </a:p>
        </c:rich>
      </c:tx>
      <c:layout>
        <c:manualLayout>
          <c:xMode val="edge"/>
          <c:yMode val="edge"/>
          <c:x val="0.271125"/>
          <c:y val="0"/>
          <c:w val="0.45775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2672"/>
          <c:y val="0.0850527"/>
          <c:w val="0.912328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Ilocos'!$B$3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Ilocos'!$B$4:$B$15</c:f>
              <c:numCache>
                <c:ptCount val="12"/>
                <c:pt idx="0">
                  <c:v>71.783708</c:v>
                </c:pt>
                <c:pt idx="1">
                  <c:v>115.773673</c:v>
                </c:pt>
                <c:pt idx="2">
                  <c:v>108.774853</c:v>
                </c:pt>
                <c:pt idx="3">
                  <c:v>0.000000</c:v>
                </c:pt>
                <c:pt idx="4">
                  <c:v>123.138923</c:v>
                </c:pt>
                <c:pt idx="5">
                  <c:v>130.797318</c:v>
                </c:pt>
                <c:pt idx="6">
                  <c:v>69.127088</c:v>
                </c:pt>
                <c:pt idx="7">
                  <c:v>158.059737</c:v>
                </c:pt>
                <c:pt idx="8">
                  <c:v>150.712808</c:v>
                </c:pt>
                <c:pt idx="9">
                  <c:v>136.898383</c:v>
                </c:pt>
                <c:pt idx="10">
                  <c:v>202.709276</c:v>
                </c:pt>
                <c:pt idx="11">
                  <c:v>93.897780</c:v>
                </c:pt>
              </c:numCache>
            </c:numRef>
          </c:val>
        </c:ser>
        <c:ser>
          <c:idx val="1"/>
          <c:order val="1"/>
          <c:tx>
            <c:strRef>
              <c:f>'Chart - Ilocos'!$C$3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Ilocos'!$C$4:$C$15</c:f>
              <c:numCache>
                <c:ptCount val="12"/>
                <c:pt idx="0">
                  <c:v>35.562067</c:v>
                </c:pt>
                <c:pt idx="1">
                  <c:v>83.161371</c:v>
                </c:pt>
                <c:pt idx="2">
                  <c:v>50.329210</c:v>
                </c:pt>
                <c:pt idx="3">
                  <c:v>0.000000</c:v>
                </c:pt>
                <c:pt idx="4">
                  <c:v>100.713385</c:v>
                </c:pt>
                <c:pt idx="5">
                  <c:v>110.497076</c:v>
                </c:pt>
                <c:pt idx="6">
                  <c:v>22.498824</c:v>
                </c:pt>
                <c:pt idx="7">
                  <c:v>65.902501</c:v>
                </c:pt>
                <c:pt idx="8">
                  <c:v>65.975787</c:v>
                </c:pt>
                <c:pt idx="9">
                  <c:v>142.266588</c:v>
                </c:pt>
                <c:pt idx="10">
                  <c:v>59.563255</c:v>
                </c:pt>
                <c:pt idx="11">
                  <c:v>175.776645</c:v>
                </c:pt>
              </c:numCache>
            </c:numRef>
          </c:val>
        </c:ser>
        <c:ser>
          <c:idx val="2"/>
          <c:order val="2"/>
          <c:tx>
            <c:strRef>
              <c:f>'Chart - Ilocos'!$D$3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Ilocos'!$D$4:$D$15</c:f>
              <c:numCache>
                <c:ptCount val="12"/>
                <c:pt idx="0">
                  <c:v>9.875298</c:v>
                </c:pt>
                <c:pt idx="1">
                  <c:v>31.934406</c:v>
                </c:pt>
                <c:pt idx="2">
                  <c:v>56.686777</c:v>
                </c:pt>
                <c:pt idx="3">
                  <c:v>0.000000</c:v>
                </c:pt>
                <c:pt idx="4">
                  <c:v>31.000009</c:v>
                </c:pt>
                <c:pt idx="5">
                  <c:v>33.106983</c:v>
                </c:pt>
                <c:pt idx="6">
                  <c:v>26.034877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39.702730</c:v>
                </c:pt>
                <c:pt idx="11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'Chart - Ilocos'!$E$3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Ilocos'!$E$4:$E$15</c:f>
              <c:numCache>
                <c:ptCount val="12"/>
                <c:pt idx="0">
                  <c:v>31.916085</c:v>
                </c:pt>
                <c:pt idx="1">
                  <c:v>31.274831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Ilocos'!$F$3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Ilocos'!$F$4:$F$15</c:f>
              <c:numCache>
                <c:ptCount val="12"/>
                <c:pt idx="0">
                  <c:v>45.510651</c:v>
                </c:pt>
                <c:pt idx="1">
                  <c:v>66.543754</c:v>
                </c:pt>
                <c:pt idx="2">
                  <c:v>47.947413</c:v>
                </c:pt>
                <c:pt idx="3">
                  <c:v>0.000000</c:v>
                </c:pt>
                <c:pt idx="4">
                  <c:v>107.180881</c:v>
                </c:pt>
                <c:pt idx="5">
                  <c:v>149.851696</c:v>
                </c:pt>
                <c:pt idx="6">
                  <c:v>99.467522</c:v>
                </c:pt>
                <c:pt idx="7">
                  <c:v>188.876530</c:v>
                </c:pt>
                <c:pt idx="8">
                  <c:v>167.293782</c:v>
                </c:pt>
                <c:pt idx="9">
                  <c:v>121.233485</c:v>
                </c:pt>
                <c:pt idx="10">
                  <c:v>149.027228</c:v>
                </c:pt>
                <c:pt idx="11">
                  <c:v>123.010672</c:v>
                </c:pt>
              </c:numCache>
            </c:numRef>
          </c:val>
        </c:ser>
        <c:ser>
          <c:idx val="5"/>
          <c:order val="5"/>
          <c:tx>
            <c:strRef>
              <c:f>'Chart - Ilocos'!$G$3</c:f>
              <c:strCache>
                <c:ptCount val="1"/>
                <c:pt idx="0">
                  <c:v>No reported data</c:v>
                </c:pt>
              </c:strCache>
            </c:strRef>
          </c:tx>
          <c:spPr>
            <a:solidFill>
              <a:srgbClr val="BFBFBF"/>
            </a:solidFill>
            <a:ln w="12600" cap="flat">
              <a:solidFill>
                <a:srgbClr val="BFBFBF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Ilocos'!$H$3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Ilocos'!$H$4:$H$15</c:f>
              <c:numCache>
                <c:ptCount val="12"/>
                <c:pt idx="0">
                  <c:v>129.203346</c:v>
                </c:pt>
                <c:pt idx="1">
                  <c:v>237.190373</c:v>
                </c:pt>
                <c:pt idx="2">
                  <c:v>312.638385</c:v>
                </c:pt>
                <c:pt idx="3">
                  <c:v>0.000000</c:v>
                </c:pt>
                <c:pt idx="4">
                  <c:v>111.523081</c:v>
                </c:pt>
                <c:pt idx="5">
                  <c:v>119.969300</c:v>
                </c:pt>
                <c:pt idx="6">
                  <c:v>141.955122</c:v>
                </c:pt>
                <c:pt idx="7">
                  <c:v>499.957586</c:v>
                </c:pt>
                <c:pt idx="8">
                  <c:v>896.984883</c:v>
                </c:pt>
                <c:pt idx="9">
                  <c:v>871.921046</c:v>
                </c:pt>
                <c:pt idx="10">
                  <c:v>377.056842</c:v>
                </c:pt>
                <c:pt idx="11">
                  <c:v>561.829352</c:v>
                </c:pt>
              </c:numCache>
            </c:numRef>
          </c:val>
        </c:ser>
        <c:ser>
          <c:idx val="7"/>
          <c:order val="7"/>
          <c:tx>
            <c:strRef>
              <c:f>'Chart - Ilocos'!$I$3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Ilocos'!$I$4:$I$15</c:f>
              <c:numCache>
                <c:ptCount val="12"/>
                <c:pt idx="0">
                  <c:v>11.689129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17.258870</c:v>
                </c:pt>
                <c:pt idx="5">
                  <c:v>19.255916</c:v>
                </c:pt>
                <c:pt idx="6">
                  <c:v>32.758874</c:v>
                </c:pt>
                <c:pt idx="7">
                  <c:v>58.555572</c:v>
                </c:pt>
                <c:pt idx="8">
                  <c:v>0.000000</c:v>
                </c:pt>
                <c:pt idx="9">
                  <c:v>0.000000</c:v>
                </c:pt>
                <c:pt idx="10">
                  <c:v>34.700955</c:v>
                </c:pt>
                <c:pt idx="11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'Chart - Ilocos'!$J$3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Ilocos'!$A$4:$A$15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Ilocos'!$J$4:$J$15</c:f>
              <c:numCache>
                <c:ptCount val="12"/>
                <c:pt idx="0">
                  <c:v>0.000000</c:v>
                </c:pt>
                <c:pt idx="1">
                  <c:v>24.605799</c:v>
                </c:pt>
                <c:pt idx="2">
                  <c:v>0.000000</c:v>
                </c:pt>
                <c:pt idx="3">
                  <c:v>0.000000</c:v>
                </c:pt>
                <c:pt idx="4">
                  <c:v>19.787240</c:v>
                </c:pt>
                <c:pt idx="5">
                  <c:v>20.575065</c:v>
                </c:pt>
                <c:pt idx="6">
                  <c:v>0.000000</c:v>
                </c:pt>
                <c:pt idx="7">
                  <c:v>189.041424</c:v>
                </c:pt>
                <c:pt idx="8">
                  <c:v>192.724049</c:v>
                </c:pt>
                <c:pt idx="9">
                  <c:v>254.101134</c:v>
                </c:pt>
                <c:pt idx="10">
                  <c:v>36.514786</c:v>
                </c:pt>
                <c:pt idx="11">
                  <c:v>178.616480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222999"/>
          <c:y val="0.89989"/>
          <c:w val="0.929622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Cagayan Valley</a:t>
            </a:r>
          </a:p>
        </c:rich>
      </c:tx>
      <c:layout>
        <c:manualLayout>
          <c:xMode val="edge"/>
          <c:yMode val="edge"/>
          <c:x val="0.218855"/>
          <c:y val="0"/>
          <c:w val="0.56229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50527"/>
          <c:w val="0.911469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Cagayan Valley'!$B$3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Valley'!$B$4:$B$15</c:f>
              <c:numCache>
                <c:ptCount val="12"/>
                <c:pt idx="0">
                  <c:v>274.026864</c:v>
                </c:pt>
                <c:pt idx="1">
                  <c:v>290.295572</c:v>
                </c:pt>
                <c:pt idx="2">
                  <c:v>171.437074</c:v>
                </c:pt>
                <c:pt idx="3">
                  <c:v>1316.036283</c:v>
                </c:pt>
                <c:pt idx="4">
                  <c:v>73.720038</c:v>
                </c:pt>
                <c:pt idx="5">
                  <c:v>93.682607</c:v>
                </c:pt>
                <c:pt idx="6">
                  <c:v>68.297135</c:v>
                </c:pt>
                <c:pt idx="7">
                  <c:v>78.776174</c:v>
                </c:pt>
                <c:pt idx="8">
                  <c:v>148.121213</c:v>
                </c:pt>
                <c:pt idx="9">
                  <c:v>101.410898</c:v>
                </c:pt>
                <c:pt idx="10">
                  <c:v>78.461803</c:v>
                </c:pt>
                <c:pt idx="11">
                  <c:v>155.692319</c:v>
                </c:pt>
              </c:numCache>
            </c:numRef>
          </c:val>
        </c:ser>
        <c:ser>
          <c:idx val="1"/>
          <c:order val="1"/>
          <c:tx>
            <c:strRef>
              <c:f>'Chart - Cagayan Valley'!$C$3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Valley'!$C$4:$C$15</c:f>
              <c:numCache>
                <c:ptCount val="12"/>
                <c:pt idx="0">
                  <c:v>46.710315</c:v>
                </c:pt>
                <c:pt idx="1">
                  <c:v>38.012713</c:v>
                </c:pt>
                <c:pt idx="2">
                  <c:v>81.107760</c:v>
                </c:pt>
                <c:pt idx="3">
                  <c:v>313.978199</c:v>
                </c:pt>
                <c:pt idx="4">
                  <c:v>18.914665</c:v>
                </c:pt>
                <c:pt idx="5">
                  <c:v>27.690860</c:v>
                </c:pt>
                <c:pt idx="6">
                  <c:v>23.132478</c:v>
                </c:pt>
                <c:pt idx="7">
                  <c:v>25.437867</c:v>
                </c:pt>
                <c:pt idx="8">
                  <c:v>41.627982</c:v>
                </c:pt>
                <c:pt idx="9">
                  <c:v>35.733522</c:v>
                </c:pt>
                <c:pt idx="10">
                  <c:v>32.511218</c:v>
                </c:pt>
                <c:pt idx="11">
                  <c:v>77.151923</c:v>
                </c:pt>
              </c:numCache>
            </c:numRef>
          </c:val>
        </c:ser>
        <c:ser>
          <c:idx val="2"/>
          <c:order val="2"/>
          <c:tx>
            <c:strRef>
              <c:f>'Chart - Cagayan Valley'!$D$3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Valley'!$D$4:$D$15</c:f>
              <c:numCache>
                <c:ptCount val="12"/>
                <c:pt idx="0">
                  <c:v>79.431114</c:v>
                </c:pt>
                <c:pt idx="1">
                  <c:v>27.586070</c:v>
                </c:pt>
                <c:pt idx="2">
                  <c:v>38.955827</c:v>
                </c:pt>
                <c:pt idx="3">
                  <c:v>340.306784</c:v>
                </c:pt>
                <c:pt idx="4">
                  <c:v>23.053885</c:v>
                </c:pt>
                <c:pt idx="5">
                  <c:v>43.645197</c:v>
                </c:pt>
                <c:pt idx="6">
                  <c:v>34.895199</c:v>
                </c:pt>
                <c:pt idx="7">
                  <c:v>30.022446</c:v>
                </c:pt>
                <c:pt idx="8">
                  <c:v>32.511218</c:v>
                </c:pt>
                <c:pt idx="9">
                  <c:v>35.497744</c:v>
                </c:pt>
                <c:pt idx="10">
                  <c:v>13.806134</c:v>
                </c:pt>
                <c:pt idx="11">
                  <c:v>42.859269</c:v>
                </c:pt>
              </c:numCache>
            </c:numRef>
          </c:val>
        </c:ser>
        <c:ser>
          <c:idx val="3"/>
          <c:order val="3"/>
          <c:tx>
            <c:strRef>
              <c:f>'Chart - Cagayan Valley'!$E$3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Valley'!$E$4:$E$15</c:f>
              <c:numCache>
                <c:ptCount val="12"/>
                <c:pt idx="0">
                  <c:v>0.000000</c:v>
                </c:pt>
                <c:pt idx="1">
                  <c:v>41.104030</c:v>
                </c:pt>
                <c:pt idx="2">
                  <c:v>23.892208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Cagayan Valley'!$F$3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Valley'!$F$4:$F$15</c:f>
              <c:numCache>
                <c:ptCount val="12"/>
                <c:pt idx="0">
                  <c:v>0.000000</c:v>
                </c:pt>
                <c:pt idx="1">
                  <c:v>48.701333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34.659421</c:v>
                </c:pt>
                <c:pt idx="6">
                  <c:v>22.818107</c:v>
                </c:pt>
                <c:pt idx="7">
                  <c:v>31.882475</c:v>
                </c:pt>
                <c:pt idx="8">
                  <c:v>83.203568</c:v>
                </c:pt>
                <c:pt idx="9">
                  <c:v>50.011213</c:v>
                </c:pt>
                <c:pt idx="10">
                  <c:v>0.000000</c:v>
                </c:pt>
                <c:pt idx="11">
                  <c:v>51.897440</c:v>
                </c:pt>
              </c:numCache>
            </c:numRef>
          </c:val>
        </c:ser>
        <c:ser>
          <c:idx val="5"/>
          <c:order val="5"/>
          <c:tx>
            <c:strRef>
              <c:f>'Chart - Cagayan Valley'!$G$3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82.443838</c:v>
                </c:pt>
                <c:pt idx="3">
                  <c:v>357.204234</c:v>
                </c:pt>
                <c:pt idx="4">
                  <c:v>48.360764</c:v>
                </c:pt>
                <c:pt idx="5">
                  <c:v>107.200567</c:v>
                </c:pt>
                <c:pt idx="6">
                  <c:v>23.682628</c:v>
                </c:pt>
                <c:pt idx="7">
                  <c:v>28.633973</c:v>
                </c:pt>
                <c:pt idx="8">
                  <c:v>29.629482</c:v>
                </c:pt>
                <c:pt idx="9">
                  <c:v>24.494753</c:v>
                </c:pt>
                <c:pt idx="10">
                  <c:v>15.587570</c:v>
                </c:pt>
                <c:pt idx="11">
                  <c:v>49.041901</c:v>
                </c:pt>
              </c:numCache>
            </c:numRef>
          </c:val>
        </c:ser>
        <c:ser>
          <c:idx val="6"/>
          <c:order val="6"/>
          <c:tx>
            <c:strRef>
              <c:f>'Chart - Cagayan Valley'!$H$3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Valley'!$H$4:$H$15</c:f>
              <c:numCache>
                <c:ptCount val="12"/>
                <c:pt idx="0">
                  <c:v>729.000530</c:v>
                </c:pt>
                <c:pt idx="1">
                  <c:v>437.499869</c:v>
                </c:pt>
                <c:pt idx="2">
                  <c:v>239.812802</c:v>
                </c:pt>
                <c:pt idx="3">
                  <c:v>4897.902725</c:v>
                </c:pt>
                <c:pt idx="4">
                  <c:v>226.897387</c:v>
                </c:pt>
                <c:pt idx="5">
                  <c:v>266.167585</c:v>
                </c:pt>
                <c:pt idx="6">
                  <c:v>243.113700</c:v>
                </c:pt>
                <c:pt idx="7">
                  <c:v>267.163094</c:v>
                </c:pt>
                <c:pt idx="8">
                  <c:v>471.687733</c:v>
                </c:pt>
                <c:pt idx="9">
                  <c:v>453.375613</c:v>
                </c:pt>
                <c:pt idx="10">
                  <c:v>231.010410</c:v>
                </c:pt>
                <c:pt idx="11">
                  <c:v>402.814251</c:v>
                </c:pt>
              </c:numCache>
            </c:numRef>
          </c:val>
        </c:ser>
        <c:ser>
          <c:idx val="7"/>
          <c:order val="7"/>
          <c:tx>
            <c:strRef>
              <c:f>'Chart - Cagayan Valley'!$I$3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Valley'!$I$4:$I$15</c:f>
              <c:numCache>
                <c:ptCount val="12"/>
                <c:pt idx="0">
                  <c:v>47.077082</c:v>
                </c:pt>
                <c:pt idx="1">
                  <c:v>0.000000</c:v>
                </c:pt>
                <c:pt idx="2">
                  <c:v>0.000000</c:v>
                </c:pt>
                <c:pt idx="3">
                  <c:v>354.846451</c:v>
                </c:pt>
                <c:pt idx="4">
                  <c:v>18.626491</c:v>
                </c:pt>
                <c:pt idx="5">
                  <c:v>73.667643</c:v>
                </c:pt>
                <c:pt idx="6">
                  <c:v>30.336817</c:v>
                </c:pt>
                <c:pt idx="7">
                  <c:v>28.083824</c:v>
                </c:pt>
                <c:pt idx="8">
                  <c:v>42.597293</c:v>
                </c:pt>
                <c:pt idx="9">
                  <c:v>27.795650</c:v>
                </c:pt>
                <c:pt idx="10">
                  <c:v>17.211821</c:v>
                </c:pt>
                <c:pt idx="11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'Chart - Cagayan Valley'!$J$3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Cagayan Valley'!$A$4:$A$15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Cagayan Valley'!$J$4:$J$15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22.922897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495612"/>
          <c:y val="0.89989"/>
          <c:w val="0.864437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Central Luzon</a:t>
            </a:r>
          </a:p>
        </c:rich>
      </c:tx>
      <c:layout>
        <c:manualLayout>
          <c:xMode val="edge"/>
          <c:yMode val="edge"/>
          <c:x val="0.22638"/>
          <c:y val="0"/>
          <c:w val="0.547239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50527"/>
          <c:w val="0.911469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Central Luzon'!$B$3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Luzon'!$B$4:$B$15</c:f>
              <c:numCache>
                <c:ptCount val="12"/>
                <c:pt idx="0">
                  <c:v>67.358174</c:v>
                </c:pt>
                <c:pt idx="1">
                  <c:v>27.621534</c:v>
                </c:pt>
                <c:pt idx="2">
                  <c:v>34.328650</c:v>
                </c:pt>
                <c:pt idx="3">
                  <c:v>1180.882907</c:v>
                </c:pt>
                <c:pt idx="4">
                  <c:v>23.709050</c:v>
                </c:pt>
                <c:pt idx="5">
                  <c:v>162.979893</c:v>
                </c:pt>
                <c:pt idx="6">
                  <c:v>113.175026</c:v>
                </c:pt>
                <c:pt idx="7">
                  <c:v>135.819095</c:v>
                </c:pt>
                <c:pt idx="8">
                  <c:v>169.906048</c:v>
                </c:pt>
                <c:pt idx="9">
                  <c:v>152.692628</c:v>
                </c:pt>
                <c:pt idx="10">
                  <c:v>139.625837</c:v>
                </c:pt>
                <c:pt idx="11">
                  <c:v>139.097123</c:v>
                </c:pt>
              </c:numCache>
            </c:numRef>
          </c:val>
        </c:ser>
        <c:ser>
          <c:idx val="1"/>
          <c:order val="1"/>
          <c:tx>
            <c:strRef>
              <c:f>'Chart - Central Luzon'!$C$3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Luzon'!$C$4:$C$15</c:f>
              <c:numCache>
                <c:ptCount val="12"/>
                <c:pt idx="0">
                  <c:v>34.978213</c:v>
                </c:pt>
                <c:pt idx="1">
                  <c:v>13.542634</c:v>
                </c:pt>
                <c:pt idx="2">
                  <c:v>0.000000</c:v>
                </c:pt>
                <c:pt idx="3">
                  <c:v>467.911965</c:v>
                </c:pt>
                <c:pt idx="4">
                  <c:v>32.946441</c:v>
                </c:pt>
                <c:pt idx="5">
                  <c:v>73.181582</c:v>
                </c:pt>
                <c:pt idx="6">
                  <c:v>57.274841</c:v>
                </c:pt>
                <c:pt idx="7">
                  <c:v>50.363793</c:v>
                </c:pt>
                <c:pt idx="8">
                  <c:v>59.752245</c:v>
                </c:pt>
                <c:pt idx="9">
                  <c:v>62.395815</c:v>
                </c:pt>
                <c:pt idx="10">
                  <c:v>54.691695</c:v>
                </c:pt>
                <c:pt idx="11">
                  <c:v>75.817600</c:v>
                </c:pt>
              </c:numCache>
            </c:numRef>
          </c:val>
        </c:ser>
        <c:ser>
          <c:idx val="2"/>
          <c:order val="2"/>
          <c:tx>
            <c:strRef>
              <c:f>'Chart - Central Luzon'!$D$3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Luzon'!$D$4:$D$15</c:f>
              <c:numCache>
                <c:ptCount val="12"/>
                <c:pt idx="0">
                  <c:v>22.931085</c:v>
                </c:pt>
                <c:pt idx="1">
                  <c:v>27.538451</c:v>
                </c:pt>
                <c:pt idx="2">
                  <c:v>7.417103</c:v>
                </c:pt>
                <c:pt idx="3">
                  <c:v>191.809917</c:v>
                </c:pt>
                <c:pt idx="4">
                  <c:v>24.419038</c:v>
                </c:pt>
                <c:pt idx="5">
                  <c:v>34.230460</c:v>
                </c:pt>
                <c:pt idx="6">
                  <c:v>28.830024</c:v>
                </c:pt>
                <c:pt idx="7">
                  <c:v>32.772720</c:v>
                </c:pt>
                <c:pt idx="8">
                  <c:v>50.567726</c:v>
                </c:pt>
                <c:pt idx="9">
                  <c:v>47.131084</c:v>
                </c:pt>
                <c:pt idx="10">
                  <c:v>37.108176</c:v>
                </c:pt>
                <c:pt idx="11">
                  <c:v>45.174842</c:v>
                </c:pt>
              </c:numCache>
            </c:numRef>
          </c:val>
        </c:ser>
        <c:ser>
          <c:idx val="3"/>
          <c:order val="3"/>
          <c:tx>
            <c:strRef>
              <c:f>'Chart - Central Luzon'!$E$3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Luzon'!$E$4:$E$15</c:f>
              <c:numCache>
                <c:ptCount val="12"/>
                <c:pt idx="0">
                  <c:v>9.690574</c:v>
                </c:pt>
                <c:pt idx="1">
                  <c:v>8.044007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17.266291</c:v>
                </c:pt>
                <c:pt idx="6">
                  <c:v>18.006491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Central Luzon'!$F$3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Luzon'!$F$4:$F$15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690.311768</c:v>
                </c:pt>
                <c:pt idx="4">
                  <c:v>35.657988</c:v>
                </c:pt>
                <c:pt idx="5">
                  <c:v>112.419720</c:v>
                </c:pt>
                <c:pt idx="6">
                  <c:v>62.667725</c:v>
                </c:pt>
                <c:pt idx="7">
                  <c:v>74.850808</c:v>
                </c:pt>
                <c:pt idx="8">
                  <c:v>92.970595</c:v>
                </c:pt>
                <c:pt idx="9">
                  <c:v>80.825277</c:v>
                </c:pt>
                <c:pt idx="10">
                  <c:v>68.219223</c:v>
                </c:pt>
                <c:pt idx="11">
                  <c:v>69.155802</c:v>
                </c:pt>
              </c:numCache>
            </c:numRef>
          </c:val>
        </c:ser>
        <c:ser>
          <c:idx val="5"/>
          <c:order val="5"/>
          <c:tx>
            <c:strRef>
              <c:f>'Chart - Central Luzon'!$G$3</c:f>
              <c:strCache>
                <c:ptCount val="1"/>
                <c:pt idx="0">
                  <c:v>Musculoskeletal Diseases</c:v>
                </c:pt>
              </c:strCache>
            </c:strRef>
          </c:tx>
          <c:spPr>
            <a:solidFill>
              <a:srgbClr val="8B4513"/>
            </a:solidFill>
            <a:ln w="12600" cap="flat">
              <a:solidFill>
                <a:srgbClr val="8B4513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9.562172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Central Luzon'!$H$3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Luzon'!$H$4:$H$15</c:f>
              <c:numCache>
                <c:ptCount val="12"/>
                <c:pt idx="0">
                  <c:v>196.719405</c:v>
                </c:pt>
                <c:pt idx="1">
                  <c:v>108.801805</c:v>
                </c:pt>
                <c:pt idx="2">
                  <c:v>157.428395</c:v>
                </c:pt>
                <c:pt idx="3">
                  <c:v>2863.213358</c:v>
                </c:pt>
                <c:pt idx="4">
                  <c:v>64.759922</c:v>
                </c:pt>
                <c:pt idx="5">
                  <c:v>215.685134</c:v>
                </c:pt>
                <c:pt idx="6">
                  <c:v>224.597743</c:v>
                </c:pt>
                <c:pt idx="7">
                  <c:v>324.660660</c:v>
                </c:pt>
                <c:pt idx="8">
                  <c:v>463.470766</c:v>
                </c:pt>
                <c:pt idx="9">
                  <c:v>577.514394</c:v>
                </c:pt>
                <c:pt idx="10">
                  <c:v>385.319272</c:v>
                </c:pt>
                <c:pt idx="11">
                  <c:v>387.290620</c:v>
                </c:pt>
              </c:numCache>
            </c:numRef>
          </c:val>
        </c:ser>
        <c:ser>
          <c:idx val="7"/>
          <c:order val="7"/>
          <c:tx>
            <c:strRef>
              <c:f>'Chart - Central Luzon'!$I$3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Luzon'!$I$4:$I$15</c:f>
              <c:numCache>
                <c:ptCount val="12"/>
                <c:pt idx="0">
                  <c:v>9.252496</c:v>
                </c:pt>
                <c:pt idx="1">
                  <c:v>8.399001</c:v>
                </c:pt>
                <c:pt idx="2">
                  <c:v>8.512297</c:v>
                </c:pt>
                <c:pt idx="3">
                  <c:v>215.715346</c:v>
                </c:pt>
                <c:pt idx="4">
                  <c:v>23.414481</c:v>
                </c:pt>
                <c:pt idx="5">
                  <c:v>18.029150</c:v>
                </c:pt>
                <c:pt idx="6">
                  <c:v>18.293507</c:v>
                </c:pt>
                <c:pt idx="7">
                  <c:v>24.660736</c:v>
                </c:pt>
                <c:pt idx="8">
                  <c:v>27.508238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'Chart - Central Luzon'!$J$3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Luzon'!$A$4:$A$15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Luzon'!$J$4:$J$15</c:f>
              <c:numCache>
                <c:ptCount val="12"/>
                <c:pt idx="0">
                  <c:v>8.829525</c:v>
                </c:pt>
                <c:pt idx="1">
                  <c:v>7.824968</c:v>
                </c:pt>
                <c:pt idx="2">
                  <c:v>0.000000</c:v>
                </c:pt>
                <c:pt idx="3">
                  <c:v>175.948494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51.406115</c:v>
                </c:pt>
                <c:pt idx="8">
                  <c:v>32.901122</c:v>
                </c:pt>
                <c:pt idx="9">
                  <c:v>31.889012</c:v>
                </c:pt>
                <c:pt idx="10">
                  <c:v>27.863232</c:v>
                </c:pt>
                <c:pt idx="11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0590873"/>
          <c:y val="0.89989"/>
          <c:w val="0.951742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Calabarzon</a:t>
            </a:r>
          </a:p>
        </c:rich>
      </c:tx>
      <c:layout>
        <c:manualLayout>
          <c:xMode val="edge"/>
          <c:yMode val="edge"/>
          <c:x val="0.240698"/>
          <c:y val="0"/>
          <c:w val="0.518605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50527"/>
          <c:w val="0.911469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Calabarzon'!$B$3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Calabarzon'!$B$4:$B$15</c:f>
              <c:numCache>
                <c:ptCount val="12"/>
                <c:pt idx="0">
                  <c:v>64.185128</c:v>
                </c:pt>
                <c:pt idx="1">
                  <c:v>63.521420</c:v>
                </c:pt>
                <c:pt idx="2">
                  <c:v>63.281112</c:v>
                </c:pt>
                <c:pt idx="3">
                  <c:v>670.287727</c:v>
                </c:pt>
                <c:pt idx="4">
                  <c:v>44.903270</c:v>
                </c:pt>
                <c:pt idx="5">
                  <c:v>62.485807</c:v>
                </c:pt>
                <c:pt idx="6">
                  <c:v>50.047006</c:v>
                </c:pt>
                <c:pt idx="7">
                  <c:v>43.570133</c:v>
                </c:pt>
                <c:pt idx="8">
                  <c:v>64.940382</c:v>
                </c:pt>
                <c:pt idx="9">
                  <c:v>55.837285</c:v>
                </c:pt>
                <c:pt idx="10">
                  <c:v>41.722050</c:v>
                </c:pt>
                <c:pt idx="11">
                  <c:v>36.326562</c:v>
                </c:pt>
              </c:numCache>
            </c:numRef>
          </c:val>
        </c:ser>
        <c:ser>
          <c:idx val="1"/>
          <c:order val="1"/>
          <c:tx>
            <c:strRef>
              <c:f>'Chart - Calabarzon'!$C$3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Calabarzon'!$C$4:$C$15</c:f>
              <c:numCache>
                <c:ptCount val="12"/>
                <c:pt idx="0">
                  <c:v>19.785360</c:v>
                </c:pt>
                <c:pt idx="1">
                  <c:v>20.483398</c:v>
                </c:pt>
                <c:pt idx="2">
                  <c:v>20.512006</c:v>
                </c:pt>
                <c:pt idx="3">
                  <c:v>205.635006</c:v>
                </c:pt>
                <c:pt idx="4">
                  <c:v>14.378430</c:v>
                </c:pt>
                <c:pt idx="5">
                  <c:v>20.758036</c:v>
                </c:pt>
                <c:pt idx="6">
                  <c:v>17.977329</c:v>
                </c:pt>
                <c:pt idx="7">
                  <c:v>14.876211</c:v>
                </c:pt>
                <c:pt idx="8">
                  <c:v>21.421743</c:v>
                </c:pt>
                <c:pt idx="9">
                  <c:v>20.843860</c:v>
                </c:pt>
                <c:pt idx="10">
                  <c:v>14.899097</c:v>
                </c:pt>
                <c:pt idx="11">
                  <c:v>11.477569</c:v>
                </c:pt>
              </c:numCache>
            </c:numRef>
          </c:val>
        </c:ser>
        <c:ser>
          <c:idx val="2"/>
          <c:order val="2"/>
          <c:tx>
            <c:strRef>
              <c:f>'Chart - Calabarzon'!$D$3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Calabarzon'!$D$4:$D$15</c:f>
              <c:numCache>
                <c:ptCount val="12"/>
                <c:pt idx="0">
                  <c:v>43.638792</c:v>
                </c:pt>
                <c:pt idx="1">
                  <c:v>41.973801</c:v>
                </c:pt>
                <c:pt idx="2">
                  <c:v>43.501473</c:v>
                </c:pt>
                <c:pt idx="3">
                  <c:v>521.554228</c:v>
                </c:pt>
                <c:pt idx="4">
                  <c:v>32.109729</c:v>
                </c:pt>
                <c:pt idx="5">
                  <c:v>40.228707</c:v>
                </c:pt>
                <c:pt idx="6">
                  <c:v>37.385062</c:v>
                </c:pt>
                <c:pt idx="7">
                  <c:v>37.831348</c:v>
                </c:pt>
                <c:pt idx="8">
                  <c:v>44.674405</c:v>
                </c:pt>
                <c:pt idx="9">
                  <c:v>43.747503</c:v>
                </c:pt>
                <c:pt idx="10">
                  <c:v>36.029038</c:v>
                </c:pt>
                <c:pt idx="11">
                  <c:v>25.381104</c:v>
                </c:pt>
              </c:numCache>
            </c:numRef>
          </c:val>
        </c:ser>
        <c:ser>
          <c:idx val="3"/>
          <c:order val="3"/>
          <c:tx>
            <c:strRef>
              <c:f>'Chart - Calabarzon'!$E$3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Calabarzon'!$E$4:$E$15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12.049731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Calabarzon'!$F$3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Calabarzon'!$F$4:$F$15</c:f>
              <c:numCache>
                <c:ptCount val="12"/>
                <c:pt idx="0">
                  <c:v>18.784077</c:v>
                </c:pt>
                <c:pt idx="1">
                  <c:v>17.124807</c:v>
                </c:pt>
                <c:pt idx="2">
                  <c:v>17.016096</c:v>
                </c:pt>
                <c:pt idx="3">
                  <c:v>184.951351</c:v>
                </c:pt>
                <c:pt idx="4">
                  <c:v>10.453399</c:v>
                </c:pt>
                <c:pt idx="5">
                  <c:v>11.986793</c:v>
                </c:pt>
                <c:pt idx="6">
                  <c:v>15.723010</c:v>
                </c:pt>
                <c:pt idx="7">
                  <c:v>13.806268</c:v>
                </c:pt>
                <c:pt idx="8">
                  <c:v>20.311749</c:v>
                </c:pt>
                <c:pt idx="9">
                  <c:v>22.783489</c:v>
                </c:pt>
                <c:pt idx="10">
                  <c:v>0.000000</c:v>
                </c:pt>
                <c:pt idx="11">
                  <c:v>14.378430</c:v>
                </c:pt>
              </c:numCache>
            </c:numRef>
          </c:val>
        </c:ser>
        <c:ser>
          <c:idx val="5"/>
          <c:order val="5"/>
          <c:tx>
            <c:strRef>
              <c:f>'Chart - Calabarzon'!$G$3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Calabarzon'!$G$4:$G$15</c:f>
              <c:numCache>
                <c:ptCount val="12"/>
                <c:pt idx="0">
                  <c:v>81.561686</c:v>
                </c:pt>
                <c:pt idx="1">
                  <c:v>52.953589</c:v>
                </c:pt>
                <c:pt idx="2">
                  <c:v>70.404528</c:v>
                </c:pt>
                <c:pt idx="3">
                  <c:v>881.243839</c:v>
                </c:pt>
                <c:pt idx="4">
                  <c:v>83.438377</c:v>
                </c:pt>
                <c:pt idx="5">
                  <c:v>116.778254</c:v>
                </c:pt>
                <c:pt idx="6">
                  <c:v>82.122405</c:v>
                </c:pt>
                <c:pt idx="7">
                  <c:v>80.983803</c:v>
                </c:pt>
                <c:pt idx="8">
                  <c:v>59.562059</c:v>
                </c:pt>
                <c:pt idx="9">
                  <c:v>96.535165</c:v>
                </c:pt>
                <c:pt idx="10">
                  <c:v>56.907228</c:v>
                </c:pt>
                <c:pt idx="11">
                  <c:v>52.781940</c:v>
                </c:pt>
              </c:numCache>
            </c:numRef>
          </c:val>
        </c:ser>
        <c:ser>
          <c:idx val="6"/>
          <c:order val="6"/>
          <c:tx>
            <c:strRef>
              <c:f>'Chart - Calabarzon'!$H$3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Calabarzon'!$H$4:$H$15</c:f>
              <c:numCache>
                <c:ptCount val="12"/>
                <c:pt idx="0">
                  <c:v>305.803399</c:v>
                </c:pt>
                <c:pt idx="1">
                  <c:v>341.563521</c:v>
                </c:pt>
                <c:pt idx="2">
                  <c:v>295.950770</c:v>
                </c:pt>
                <c:pt idx="3">
                  <c:v>3288.014483</c:v>
                </c:pt>
                <c:pt idx="4">
                  <c:v>197.350101</c:v>
                </c:pt>
                <c:pt idx="5">
                  <c:v>219.801736</c:v>
                </c:pt>
                <c:pt idx="6">
                  <c:v>243.409138</c:v>
                </c:pt>
                <c:pt idx="7">
                  <c:v>241.549611</c:v>
                </c:pt>
                <c:pt idx="8">
                  <c:v>396.599779</c:v>
                </c:pt>
                <c:pt idx="9">
                  <c:v>411.739184</c:v>
                </c:pt>
                <c:pt idx="10">
                  <c:v>253.891145</c:v>
                </c:pt>
                <c:pt idx="11">
                  <c:v>227.039584</c:v>
                </c:pt>
              </c:numCache>
            </c:numRef>
          </c:val>
        </c:ser>
        <c:ser>
          <c:idx val="7"/>
          <c:order val="7"/>
          <c:tx>
            <c:strRef>
              <c:f>'Chart - Calabarzon'!$I$3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Calabarzon'!$A$4:$A$15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Calabarzon'!$I$4:$I$15</c:f>
              <c:numCache>
                <c:ptCount val="12"/>
                <c:pt idx="0">
                  <c:v>44.720178</c:v>
                </c:pt>
                <c:pt idx="1">
                  <c:v>61.976583</c:v>
                </c:pt>
                <c:pt idx="2">
                  <c:v>41.378752</c:v>
                </c:pt>
                <c:pt idx="3">
                  <c:v>470.660422</c:v>
                </c:pt>
                <c:pt idx="4">
                  <c:v>30.192986</c:v>
                </c:pt>
                <c:pt idx="5">
                  <c:v>33.385650</c:v>
                </c:pt>
                <c:pt idx="6">
                  <c:v>32.727664</c:v>
                </c:pt>
                <c:pt idx="7">
                  <c:v>29.483505</c:v>
                </c:pt>
                <c:pt idx="8">
                  <c:v>38.866961</c:v>
                </c:pt>
                <c:pt idx="9">
                  <c:v>48.914125</c:v>
                </c:pt>
                <c:pt idx="10">
                  <c:v>67.194700</c:v>
                </c:pt>
                <c:pt idx="11">
                  <c:v>28.344903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971996"/>
          <c:y val="0.89989"/>
          <c:w val="0.76916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Mimaropa</a:t>
            </a:r>
          </a:p>
        </c:rich>
      </c:tx>
      <c:layout>
        <c:manualLayout>
          <c:xMode val="edge"/>
          <c:yMode val="edge"/>
          <c:x val="0.248179"/>
          <c:y val="0"/>
          <c:w val="0.503641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50527"/>
          <c:w val="0.911469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Mimaropa'!$B$3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Mimaropa'!$B$4:$B$15</c:f>
              <c:numCache>
                <c:ptCount val="12"/>
                <c:pt idx="0">
                  <c:v>20.611272</c:v>
                </c:pt>
                <c:pt idx="1">
                  <c:v>42.987516</c:v>
                </c:pt>
                <c:pt idx="2">
                  <c:v>42.538794</c:v>
                </c:pt>
                <c:pt idx="3">
                  <c:v>677.898464</c:v>
                </c:pt>
                <c:pt idx="4">
                  <c:v>44.184106</c:v>
                </c:pt>
                <c:pt idx="5">
                  <c:v>42.329391</c:v>
                </c:pt>
                <c:pt idx="6">
                  <c:v>44.632828</c:v>
                </c:pt>
                <c:pt idx="7">
                  <c:v>42.867857</c:v>
                </c:pt>
                <c:pt idx="8">
                  <c:v>33.145558</c:v>
                </c:pt>
                <c:pt idx="9">
                  <c:v>56.269671</c:v>
                </c:pt>
                <c:pt idx="10">
                  <c:v>38.530216</c:v>
                </c:pt>
                <c:pt idx="11">
                  <c:v>33.175473</c:v>
                </c:pt>
              </c:numCache>
            </c:numRef>
          </c:val>
        </c:ser>
        <c:ser>
          <c:idx val="1"/>
          <c:order val="1"/>
          <c:tx>
            <c:strRef>
              <c:f>'Chart - Mimaropa'!$C$3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Mimaropa'!$C$4:$C$15</c:f>
              <c:numCache>
                <c:ptCount val="12"/>
                <c:pt idx="0">
                  <c:v>0.000000</c:v>
                </c:pt>
                <c:pt idx="1">
                  <c:v>14.000109</c:v>
                </c:pt>
                <c:pt idx="2">
                  <c:v>11.517184</c:v>
                </c:pt>
                <c:pt idx="3">
                  <c:v>0.000000</c:v>
                </c:pt>
                <c:pt idx="4">
                  <c:v>0.000000</c:v>
                </c:pt>
                <c:pt idx="5">
                  <c:v>13.521473</c:v>
                </c:pt>
                <c:pt idx="6">
                  <c:v>0.000000</c:v>
                </c:pt>
                <c:pt idx="7">
                  <c:v>0.000000</c:v>
                </c:pt>
                <c:pt idx="8">
                  <c:v>11.068463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Mimaropa'!$D$3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Mimaropa'!$D$4:$D$15</c:f>
              <c:numCache>
                <c:ptCount val="12"/>
                <c:pt idx="0">
                  <c:v>28.987406</c:v>
                </c:pt>
                <c:pt idx="1">
                  <c:v>21.179653</c:v>
                </c:pt>
                <c:pt idx="2">
                  <c:v>30.662633</c:v>
                </c:pt>
                <c:pt idx="3">
                  <c:v>518.213454</c:v>
                </c:pt>
                <c:pt idx="4">
                  <c:v>26.803628</c:v>
                </c:pt>
                <c:pt idx="5">
                  <c:v>36.496012</c:v>
                </c:pt>
                <c:pt idx="6">
                  <c:v>34.641297</c:v>
                </c:pt>
                <c:pt idx="7">
                  <c:v>35.658399</c:v>
                </c:pt>
                <c:pt idx="8">
                  <c:v>28.867747</c:v>
                </c:pt>
                <c:pt idx="9">
                  <c:v>38.171239</c:v>
                </c:pt>
                <c:pt idx="10">
                  <c:v>21.299312</c:v>
                </c:pt>
                <c:pt idx="11">
                  <c:v>25.128402</c:v>
                </c:pt>
              </c:numCache>
            </c:numRef>
          </c:val>
        </c:ser>
        <c:ser>
          <c:idx val="3"/>
          <c:order val="3"/>
          <c:tx>
            <c:strRef>
              <c:f>'Chart - Mimaropa'!$E$3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Mimaropa'!$E$4:$E$15</c:f>
              <c:numCache>
                <c:ptCount val="12"/>
                <c:pt idx="0">
                  <c:v>0.000000</c:v>
                </c:pt>
                <c:pt idx="1">
                  <c:v>39.337914</c:v>
                </c:pt>
                <c:pt idx="2">
                  <c:v>14.059939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Mimaropa'!$F$3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Mimaropa'!$F$4:$F$15</c:f>
              <c:numCache>
                <c:ptCount val="12"/>
                <c:pt idx="0">
                  <c:v>18.188176</c:v>
                </c:pt>
                <c:pt idx="1">
                  <c:v>21.538630</c:v>
                </c:pt>
                <c:pt idx="2">
                  <c:v>19.205278</c:v>
                </c:pt>
                <c:pt idx="3">
                  <c:v>344.797568</c:v>
                </c:pt>
                <c:pt idx="4">
                  <c:v>33.654109</c:v>
                </c:pt>
                <c:pt idx="5">
                  <c:v>22.465988</c:v>
                </c:pt>
                <c:pt idx="6">
                  <c:v>36.436182</c:v>
                </c:pt>
                <c:pt idx="7">
                  <c:v>32.248115</c:v>
                </c:pt>
                <c:pt idx="8">
                  <c:v>17.889029</c:v>
                </c:pt>
                <c:pt idx="9">
                  <c:v>30.183997</c:v>
                </c:pt>
                <c:pt idx="10">
                  <c:v>16.034313</c:v>
                </c:pt>
                <c:pt idx="11">
                  <c:v>25.786526</c:v>
                </c:pt>
              </c:numCache>
            </c:numRef>
          </c:val>
        </c:ser>
        <c:ser>
          <c:idx val="5"/>
          <c:order val="5"/>
          <c:tx>
            <c:strRef>
              <c:f>'Chart - Mimaropa'!$G$3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Mimaropa'!$G$4:$G$15</c:f>
              <c:numCache>
                <c:ptCount val="12"/>
                <c:pt idx="0">
                  <c:v>69.103105</c:v>
                </c:pt>
                <c:pt idx="1">
                  <c:v>85.107503</c:v>
                </c:pt>
                <c:pt idx="2">
                  <c:v>88.278468</c:v>
                </c:pt>
                <c:pt idx="3">
                  <c:v>2252.372316</c:v>
                </c:pt>
                <c:pt idx="4">
                  <c:v>157.561061</c:v>
                </c:pt>
                <c:pt idx="5">
                  <c:v>253.437879</c:v>
                </c:pt>
                <c:pt idx="6">
                  <c:v>186.368979</c:v>
                </c:pt>
                <c:pt idx="7">
                  <c:v>145.026775</c:v>
                </c:pt>
                <c:pt idx="8">
                  <c:v>142.633594</c:v>
                </c:pt>
                <c:pt idx="9">
                  <c:v>132.462574</c:v>
                </c:pt>
                <c:pt idx="10">
                  <c:v>94.231506</c:v>
                </c:pt>
                <c:pt idx="11">
                  <c:v>151.608023</c:v>
                </c:pt>
              </c:numCache>
            </c:numRef>
          </c:val>
        </c:ser>
        <c:ser>
          <c:idx val="6"/>
          <c:order val="6"/>
          <c:tx>
            <c:strRef>
              <c:f>'Chart - Mimaropa'!$H$3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Mimaropa'!$H$4:$H$15</c:f>
              <c:numCache>
                <c:ptCount val="12"/>
                <c:pt idx="0">
                  <c:v>221.728230</c:v>
                </c:pt>
                <c:pt idx="1">
                  <c:v>148.736206</c:v>
                </c:pt>
                <c:pt idx="2">
                  <c:v>246.318166</c:v>
                </c:pt>
                <c:pt idx="3">
                  <c:v>4236.738262</c:v>
                </c:pt>
                <c:pt idx="4">
                  <c:v>201.505849</c:v>
                </c:pt>
                <c:pt idx="5">
                  <c:v>159.924328</c:v>
                </c:pt>
                <c:pt idx="6">
                  <c:v>193.249375</c:v>
                </c:pt>
                <c:pt idx="7">
                  <c:v>214.937578</c:v>
                </c:pt>
                <c:pt idx="8">
                  <c:v>205.454598</c:v>
                </c:pt>
                <c:pt idx="9">
                  <c:v>334.566719</c:v>
                </c:pt>
                <c:pt idx="10">
                  <c:v>225.557320</c:v>
                </c:pt>
                <c:pt idx="11">
                  <c:v>269.801255</c:v>
                </c:pt>
              </c:numCache>
            </c:numRef>
          </c:val>
        </c:ser>
        <c:ser>
          <c:idx val="7"/>
          <c:order val="7"/>
          <c:tx>
            <c:strRef>
              <c:f>'Chart - Mimaropa'!$I$3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Mimaropa'!$I$4:$I$15</c:f>
              <c:numCache>
                <c:ptCount val="12"/>
                <c:pt idx="0">
                  <c:v>0.000000</c:v>
                </c:pt>
                <c:pt idx="1">
                  <c:v>15.645422</c:v>
                </c:pt>
                <c:pt idx="2">
                  <c:v>0.000000</c:v>
                </c:pt>
                <c:pt idx="3">
                  <c:v>229.865046</c:v>
                </c:pt>
                <c:pt idx="4">
                  <c:v>26.324992</c:v>
                </c:pt>
                <c:pt idx="5">
                  <c:v>32.008797</c:v>
                </c:pt>
                <c:pt idx="6">
                  <c:v>31.619905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'Chart - Mimaropa'!$J$3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Mimaropa'!$A$4:$A$15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Mimaropa'!$J$4:$J$15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13.431729</c:v>
                </c:pt>
                <c:pt idx="8">
                  <c:v>16.183887</c:v>
                </c:pt>
                <c:pt idx="9">
                  <c:v>0.000000</c:v>
                </c:pt>
                <c:pt idx="10">
                  <c:v>13.700962</c:v>
                </c:pt>
                <c:pt idx="11">
                  <c:v>12.833434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495612"/>
          <c:y val="0.89989"/>
          <c:w val="0.864437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Bicol</a:t>
            </a:r>
          </a:p>
        </c:rich>
      </c:tx>
      <c:layout>
        <c:manualLayout>
          <c:xMode val="edge"/>
          <c:yMode val="edge"/>
          <c:x val="0.273735"/>
          <c:y val="0"/>
          <c:w val="0.452529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50527"/>
          <c:w val="0.911469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Bicol'!$B$3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Bicol'!$B$4:$B$15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115.776163</c:v>
                </c:pt>
                <c:pt idx="3">
                  <c:v>1731.718792</c:v>
                </c:pt>
                <c:pt idx="4">
                  <c:v>120.434094</c:v>
                </c:pt>
                <c:pt idx="5">
                  <c:v>118.136390</c:v>
                </c:pt>
                <c:pt idx="6">
                  <c:v>109.398861</c:v>
                </c:pt>
                <c:pt idx="7">
                  <c:v>118.417741</c:v>
                </c:pt>
                <c:pt idx="8">
                  <c:v>125.342116</c:v>
                </c:pt>
                <c:pt idx="9">
                  <c:v>125.811035</c:v>
                </c:pt>
                <c:pt idx="10">
                  <c:v>44.047148</c:v>
                </c:pt>
                <c:pt idx="11">
                  <c:v>83.326951</c:v>
                </c:pt>
              </c:numCache>
            </c:numRef>
          </c:val>
        </c:ser>
        <c:ser>
          <c:idx val="1"/>
          <c:order val="1"/>
          <c:tx>
            <c:strRef>
              <c:f>'Chart - Bicol'!$C$3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Bicol'!$C$4:$C$15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38.670208</c:v>
                </c:pt>
                <c:pt idx="3">
                  <c:v>369.508369</c:v>
                </c:pt>
                <c:pt idx="4">
                  <c:v>27.197317</c:v>
                </c:pt>
                <c:pt idx="5">
                  <c:v>26.400154</c:v>
                </c:pt>
                <c:pt idx="6">
                  <c:v>33.168222</c:v>
                </c:pt>
                <c:pt idx="7">
                  <c:v>26.290739</c:v>
                </c:pt>
                <c:pt idx="8">
                  <c:v>41.593138</c:v>
                </c:pt>
                <c:pt idx="9">
                  <c:v>25.290378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Bicol'!$D$3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Bicol'!$D$4:$D$15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40.670930</c:v>
                </c:pt>
                <c:pt idx="3">
                  <c:v>446.176667</c:v>
                </c:pt>
                <c:pt idx="4">
                  <c:v>28.650966</c:v>
                </c:pt>
                <c:pt idx="5">
                  <c:v>42.499715</c:v>
                </c:pt>
                <c:pt idx="6">
                  <c:v>43.953364</c:v>
                </c:pt>
                <c:pt idx="7">
                  <c:v>42.218363</c:v>
                </c:pt>
                <c:pt idx="8">
                  <c:v>38.654577</c:v>
                </c:pt>
                <c:pt idx="9">
                  <c:v>48.548773</c:v>
                </c:pt>
                <c:pt idx="10">
                  <c:v>15.364921</c:v>
                </c:pt>
                <c:pt idx="11">
                  <c:v>26.853442</c:v>
                </c:pt>
              </c:numCache>
            </c:numRef>
          </c:val>
        </c:ser>
        <c:ser>
          <c:idx val="3"/>
          <c:order val="3"/>
          <c:tx>
            <c:strRef>
              <c:f>'Chart - Bicol'!$E$3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Bicol'!$E$4:$E$15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38.795253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Bicol'!$F$3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Bicol'!$F$4:$F$15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62.178693</c:v>
                </c:pt>
                <c:pt idx="3">
                  <c:v>936.666203</c:v>
                </c:pt>
                <c:pt idx="4">
                  <c:v>75.011449</c:v>
                </c:pt>
                <c:pt idx="5">
                  <c:v>156.900381</c:v>
                </c:pt>
                <c:pt idx="6">
                  <c:v>120.699815</c:v>
                </c:pt>
                <c:pt idx="7">
                  <c:v>66.086353</c:v>
                </c:pt>
                <c:pt idx="8">
                  <c:v>63.272838</c:v>
                </c:pt>
                <c:pt idx="9">
                  <c:v>47.142015</c:v>
                </c:pt>
                <c:pt idx="10">
                  <c:v>57.895897</c:v>
                </c:pt>
                <c:pt idx="11">
                  <c:v>75.308432</c:v>
                </c:pt>
              </c:numCache>
            </c:numRef>
          </c:val>
        </c:ser>
        <c:ser>
          <c:idx val="5"/>
          <c:order val="5"/>
          <c:tx>
            <c:strRef>
              <c:f>'Chart - Bicol'!$G$3</c:f>
              <c:strCache>
                <c:ptCount val="1"/>
                <c:pt idx="0">
                  <c:v>No reported data</c:v>
                </c:pt>
              </c:strCache>
            </c:strRef>
          </c:tx>
          <c:spPr>
            <a:solidFill>
              <a:srgbClr val="BFBFBF"/>
            </a:solidFill>
            <a:ln w="12600" cap="flat">
              <a:solidFill>
                <a:srgbClr val="BFBFBF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Bicol'!$H$3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Bicol'!$H$4:$H$15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318.443063</c:v>
                </c:pt>
                <c:pt idx="3">
                  <c:v>3200.608345</c:v>
                </c:pt>
                <c:pt idx="4">
                  <c:v>249.355627</c:v>
                </c:pt>
                <c:pt idx="5">
                  <c:v>240.258593</c:v>
                </c:pt>
                <c:pt idx="6">
                  <c:v>232.036876</c:v>
                </c:pt>
                <c:pt idx="7">
                  <c:v>207.793751</c:v>
                </c:pt>
                <c:pt idx="8">
                  <c:v>249.324366</c:v>
                </c:pt>
                <c:pt idx="9">
                  <c:v>496.210351</c:v>
                </c:pt>
                <c:pt idx="10">
                  <c:v>157.416192</c:v>
                </c:pt>
                <c:pt idx="11">
                  <c:v>252.341079</c:v>
                </c:pt>
              </c:numCache>
            </c:numRef>
          </c:val>
        </c:ser>
        <c:ser>
          <c:idx val="7"/>
          <c:order val="7"/>
          <c:tx>
            <c:strRef>
              <c:f>'Chart - Bicol'!$I$3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Bicol'!$I$4:$I$15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560.124045</c:v>
                </c:pt>
                <c:pt idx="4">
                  <c:v>52.925353</c:v>
                </c:pt>
                <c:pt idx="5">
                  <c:v>62.163062</c:v>
                </c:pt>
                <c:pt idx="6">
                  <c:v>68.587256</c:v>
                </c:pt>
                <c:pt idx="7">
                  <c:v>54.144543</c:v>
                </c:pt>
                <c:pt idx="8">
                  <c:v>52.487695</c:v>
                </c:pt>
                <c:pt idx="9">
                  <c:v>27.853803</c:v>
                </c:pt>
                <c:pt idx="10">
                  <c:v>23.571008</c:v>
                </c:pt>
                <c:pt idx="11">
                  <c:v>19.131905</c:v>
                </c:pt>
              </c:numCache>
            </c:numRef>
          </c:val>
        </c:ser>
        <c:ser>
          <c:idx val="8"/>
          <c:order val="8"/>
          <c:tx>
            <c:strRef>
              <c:f>'Chart - Bicol'!$J$3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Bicol'!$A$4:$A$15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Bicol'!$J$4:$J$15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50.252513</c:v>
                </c:pt>
                <c:pt idx="3">
                  <c:v>358.019848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25.337270</c:v>
                </c:pt>
                <c:pt idx="8">
                  <c:v>23.961774</c:v>
                </c:pt>
                <c:pt idx="9">
                  <c:v>0.000000</c:v>
                </c:pt>
                <c:pt idx="10">
                  <c:v>13.301676</c:v>
                </c:pt>
                <c:pt idx="11">
                  <c:v>20.444879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121374"/>
          <c:y val="0.89989"/>
          <c:w val="0.939284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Western Visayas</a:t>
            </a:r>
          </a:p>
        </c:rich>
      </c:tx>
      <c:layout>
        <c:manualLayout>
          <c:xMode val="edge"/>
          <c:yMode val="edge"/>
          <c:x val="0.211998"/>
          <c:y val="0"/>
          <c:w val="0.576005"/>
          <c:h val="0.08761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592738"/>
          <c:y val="0.0876112"/>
          <c:w val="0.935726"/>
          <c:h val="0.711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Western Visayas'!$B$3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Visayas'!$B$4:$B$15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'Chart - Western Visayas'!$C$3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Visayas'!$C$4:$C$15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Western Visayas'!$D$3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Visayas'!$D$4:$D$15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'Chart - Western Visayas'!$E$3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Visayas'!$E$4:$E$15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Western Visayas'!$F$3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Visayas'!$F$4:$F$15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'Chart - Western Visayas'!$G$3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Western Visayas'!$H$3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Visayas'!$H$4:$H$15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7"/>
          <c:order val="7"/>
          <c:tx>
            <c:strRef>
              <c:f>'Chart - Western Visayas'!$I$3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Western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Western Visayas'!$I$4:$I$15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0590873"/>
          <c:y val="0.927336"/>
          <c:w val="0.951742"/>
          <c:h val="0.072663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Central Visayas</a:t>
            </a:r>
          </a:p>
        </c:rich>
      </c:tx>
      <c:layout>
        <c:manualLayout>
          <c:xMode val="edge"/>
          <c:yMode val="edge"/>
          <c:x val="0.217606"/>
          <c:y val="0"/>
          <c:w val="0.564788"/>
          <c:h val="0.089976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592738"/>
          <c:y val="0.0899766"/>
          <c:w val="0.935726"/>
          <c:h val="0.6736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Central Visayas'!$B$3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Visayas'!$B$4:$B$15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'Chart - Central Visayas'!$C$3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Visayas'!$C$4:$C$15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Central Visayas'!$D$3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Visayas'!$D$4:$D$15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'Chart - Central Visayas'!$E$3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Visayas'!$E$4:$E$15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Central Visayas'!$F$3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Visayas'!$F$4:$F$15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'Chart - Central Visayas'!$G$3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Central Visayas'!$H$3</c:f>
              <c:strCache>
                <c:ptCount val="1"/>
                <c:pt idx="0">
                  <c:v>Musculoskeletal Diseases</c:v>
                </c:pt>
              </c:strCache>
            </c:strRef>
          </c:tx>
          <c:spPr>
            <a:solidFill>
              <a:srgbClr val="8B4513"/>
            </a:solidFill>
            <a:ln w="12600" cap="flat">
              <a:solidFill>
                <a:srgbClr val="8B4513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Visayas'!$H$4:$H$15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7"/>
          <c:order val="7"/>
          <c:tx>
            <c:strRef>
              <c:f>'Chart - Central Visayas'!$I$3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Visayas'!$I$4:$I$15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'Chart - Central Visayas'!$J$3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Visayas'!$J$4:$J$15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9"/>
          <c:order val="9"/>
          <c:tx>
            <c:strRef>
              <c:f>'Chart - Central Visayas'!$K$3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Central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Central Visayas'!$K$4:$K$15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557899"/>
          <c:y val="0.894818"/>
          <c:w val="0.851979"/>
          <c:h val="0.10518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Eastern Visayas</a:t>
            </a:r>
          </a:p>
        </c:rich>
      </c:tx>
      <c:layout>
        <c:manualLayout>
          <c:xMode val="edge"/>
          <c:yMode val="edge"/>
          <c:x val="0.218034"/>
          <c:y val="0"/>
          <c:w val="0.563932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2672"/>
          <c:y val="0.0850527"/>
          <c:w val="0.912328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Eastern Visayas'!$B$3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Visayas'!$B$4:$B$15</c:f>
              <c:numCache>
                <c:ptCount val="12"/>
                <c:pt idx="0">
                  <c:v>2.198357</c:v>
                </c:pt>
                <c:pt idx="1">
                  <c:v>2.138942</c:v>
                </c:pt>
                <c:pt idx="2">
                  <c:v>7.288246</c:v>
                </c:pt>
                <c:pt idx="3">
                  <c:v>134.872157</c:v>
                </c:pt>
                <c:pt idx="4">
                  <c:v>31.034460</c:v>
                </c:pt>
                <c:pt idx="5">
                  <c:v>49.571954</c:v>
                </c:pt>
                <c:pt idx="6">
                  <c:v>72.862653</c:v>
                </c:pt>
                <c:pt idx="7">
                  <c:v>115.185971</c:v>
                </c:pt>
                <c:pt idx="8">
                  <c:v>111.423018</c:v>
                </c:pt>
                <c:pt idx="9">
                  <c:v>120.929426</c:v>
                </c:pt>
                <c:pt idx="10">
                  <c:v>107.660065</c:v>
                </c:pt>
                <c:pt idx="11">
                  <c:v>91.083267</c:v>
                </c:pt>
              </c:numCache>
            </c:numRef>
          </c:val>
        </c:ser>
        <c:ser>
          <c:idx val="1"/>
          <c:order val="1"/>
          <c:tx>
            <c:strRef>
              <c:f>'Chart - Eastern Visayas'!$C$3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Visayas'!$C$4:$C$15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9.803483</c:v>
                </c:pt>
                <c:pt idx="3">
                  <c:v>19.309890</c:v>
                </c:pt>
                <c:pt idx="4">
                  <c:v>11.110614</c:v>
                </c:pt>
                <c:pt idx="5">
                  <c:v>14.477466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Eastern Visayas'!$D$3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Visayas'!$D$4:$D$15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16.893678</c:v>
                </c:pt>
                <c:pt idx="5">
                  <c:v>27.509167</c:v>
                </c:pt>
                <c:pt idx="6">
                  <c:v>40.422037</c:v>
                </c:pt>
                <c:pt idx="7">
                  <c:v>39.015881</c:v>
                </c:pt>
                <c:pt idx="8">
                  <c:v>41.689558</c:v>
                </c:pt>
                <c:pt idx="9">
                  <c:v>39.847692</c:v>
                </c:pt>
                <c:pt idx="10">
                  <c:v>36.579864</c:v>
                </c:pt>
                <c:pt idx="11">
                  <c:v>29.271813</c:v>
                </c:pt>
              </c:numCache>
            </c:numRef>
          </c:val>
        </c:ser>
        <c:ser>
          <c:idx val="3"/>
          <c:order val="3"/>
          <c:tx>
            <c:strRef>
              <c:f>'Chart - Eastern Visayas'!$E$3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Visayas'!$E$4:$E$15</c:f>
              <c:numCache>
                <c:ptCount val="12"/>
                <c:pt idx="0">
                  <c:v>4.357103</c:v>
                </c:pt>
                <c:pt idx="1">
                  <c:v>4.574959</c:v>
                </c:pt>
                <c:pt idx="2">
                  <c:v>5.842480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Eastern Visayas'!$F$3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Visayas'!$F$4:$F$15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30.004599</c:v>
                </c:pt>
                <c:pt idx="4">
                  <c:v>21.290392</c:v>
                </c:pt>
                <c:pt idx="5">
                  <c:v>79.517138</c:v>
                </c:pt>
                <c:pt idx="6">
                  <c:v>94.866025</c:v>
                </c:pt>
                <c:pt idx="7">
                  <c:v>90.687167</c:v>
                </c:pt>
                <c:pt idx="8">
                  <c:v>103.223742</c:v>
                </c:pt>
                <c:pt idx="9">
                  <c:v>129.504997</c:v>
                </c:pt>
                <c:pt idx="10">
                  <c:v>91.459562</c:v>
                </c:pt>
                <c:pt idx="11">
                  <c:v>92.033908</c:v>
                </c:pt>
              </c:numCache>
            </c:numRef>
          </c:val>
        </c:ser>
        <c:ser>
          <c:idx val="5"/>
          <c:order val="5"/>
          <c:tx>
            <c:strRef>
              <c:f>'Chart - Eastern Visayas'!$G$3</c:f>
              <c:strCache>
                <c:ptCount val="1"/>
                <c:pt idx="0">
                  <c:v>Musculoskeletal Diseases</c:v>
                </c:pt>
              </c:strCache>
            </c:strRef>
          </c:tx>
          <c:spPr>
            <a:solidFill>
              <a:srgbClr val="8B4513"/>
            </a:solidFill>
            <a:ln w="12600" cap="flat">
              <a:solidFill>
                <a:srgbClr val="8B4513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50.799865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Eastern Visayas'!$H$3</c:f>
              <c:strCache>
                <c:ptCount val="1"/>
                <c:pt idx="0">
                  <c:v>No reported data</c:v>
                </c:pt>
              </c:strCache>
            </c:strRef>
          </c:tx>
          <c:spPr>
            <a:solidFill>
              <a:srgbClr val="BFBFBF"/>
            </a:solidFill>
            <a:ln w="12600" cap="flat">
              <a:solidFill>
                <a:srgbClr val="BFBFBF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Visayas'!$H$4:$H$15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7"/>
          <c:order val="7"/>
          <c:tx>
            <c:strRef>
              <c:f>'Chart - Eastern Visayas'!$I$3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Visayas'!$I$4:$I$15</c:f>
              <c:numCache>
                <c:ptCount val="12"/>
                <c:pt idx="0">
                  <c:v>13.051505</c:v>
                </c:pt>
                <c:pt idx="1">
                  <c:v>13.150530</c:v>
                </c:pt>
                <c:pt idx="2">
                  <c:v>43.491814</c:v>
                </c:pt>
                <c:pt idx="3">
                  <c:v>358.272733</c:v>
                </c:pt>
                <c:pt idx="4">
                  <c:v>108.095775</c:v>
                </c:pt>
                <c:pt idx="5">
                  <c:v>154.538537</c:v>
                </c:pt>
                <c:pt idx="6">
                  <c:v>259.465510</c:v>
                </c:pt>
                <c:pt idx="7">
                  <c:v>284.558465</c:v>
                </c:pt>
                <c:pt idx="8">
                  <c:v>319.276657</c:v>
                </c:pt>
                <c:pt idx="9">
                  <c:v>373.482985</c:v>
                </c:pt>
                <c:pt idx="10">
                  <c:v>387.108836</c:v>
                </c:pt>
                <c:pt idx="11">
                  <c:v>300.224232</c:v>
                </c:pt>
              </c:numCache>
            </c:numRef>
          </c:val>
        </c:ser>
        <c:ser>
          <c:idx val="8"/>
          <c:order val="8"/>
          <c:tx>
            <c:strRef>
              <c:f>'Chart - Eastern Visayas'!$J$3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Visayas'!$J$4:$J$15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7.585321</c:v>
                </c:pt>
                <c:pt idx="3">
                  <c:v>73.674658</c:v>
                </c:pt>
                <c:pt idx="4">
                  <c:v>8.417132</c:v>
                </c:pt>
                <c:pt idx="5">
                  <c:v>13.645656</c:v>
                </c:pt>
                <c:pt idx="6">
                  <c:v>47.433013</c:v>
                </c:pt>
                <c:pt idx="7">
                  <c:v>52.542707</c:v>
                </c:pt>
                <c:pt idx="8">
                  <c:v>48.363848</c:v>
                </c:pt>
                <c:pt idx="9">
                  <c:v>49.809614</c:v>
                </c:pt>
                <c:pt idx="10">
                  <c:v>50.760255</c:v>
                </c:pt>
                <c:pt idx="11">
                  <c:v>21.825127</c:v>
                </c:pt>
              </c:numCache>
            </c:numRef>
          </c:val>
        </c:ser>
        <c:ser>
          <c:idx val="9"/>
          <c:order val="9"/>
          <c:tx>
            <c:strRef>
              <c:f>'Chart - Eastern Visayas'!$K$3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Eastern Visayas'!$A$4:$A$15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Eastern Visayas'!$K$4:$K$15</c:f>
              <c:numCache>
                <c:ptCount val="12"/>
                <c:pt idx="0">
                  <c:v>59.830952</c:v>
                </c:pt>
                <c:pt idx="1">
                  <c:v>84.210927</c:v>
                </c:pt>
                <c:pt idx="2">
                  <c:v>94.786805</c:v>
                </c:pt>
                <c:pt idx="3">
                  <c:v>0.000000</c:v>
                </c:pt>
                <c:pt idx="4">
                  <c:v>44.858360</c:v>
                </c:pt>
                <c:pt idx="5">
                  <c:v>61.435159</c:v>
                </c:pt>
                <c:pt idx="6">
                  <c:v>42.164878</c:v>
                </c:pt>
                <c:pt idx="7">
                  <c:v>22.359863</c:v>
                </c:pt>
                <c:pt idx="8">
                  <c:v>18.933595</c:v>
                </c:pt>
                <c:pt idx="9">
                  <c:v>25.291005</c:v>
                </c:pt>
                <c:pt idx="10">
                  <c:v>20.438776</c:v>
                </c:pt>
                <c:pt idx="11">
                  <c:v>17.824514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161353"/>
          <c:y val="0.89989"/>
          <c:w val="0.941951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Zamboanga Peninsula</a:t>
            </a:r>
          </a:p>
        </c:rich>
      </c:tx>
      <c:layout>
        <c:manualLayout>
          <c:xMode val="edge"/>
          <c:yMode val="edge"/>
          <c:x val="0.182109"/>
          <c:y val="0"/>
          <c:w val="0.635782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50527"/>
          <c:w val="0.911469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Zamboanga Peninsula'!$B$3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Peninsula'!$B$4:$B$15</c:f>
              <c:numCache>
                <c:ptCount val="12"/>
                <c:pt idx="0">
                  <c:v>59.412605</c:v>
                </c:pt>
                <c:pt idx="1">
                  <c:v>36.985500</c:v>
                </c:pt>
                <c:pt idx="2">
                  <c:v>67.563255</c:v>
                </c:pt>
                <c:pt idx="3">
                  <c:v>546.324274</c:v>
                </c:pt>
                <c:pt idx="4">
                  <c:v>37.369964</c:v>
                </c:pt>
                <c:pt idx="5">
                  <c:v>44.085280</c:v>
                </c:pt>
                <c:pt idx="6">
                  <c:v>38.446465</c:v>
                </c:pt>
                <c:pt idx="7">
                  <c:v>16.813921</c:v>
                </c:pt>
                <c:pt idx="8">
                  <c:v>50.954382</c:v>
                </c:pt>
                <c:pt idx="9">
                  <c:v>51.390109</c:v>
                </c:pt>
                <c:pt idx="10">
                  <c:v>25.477191</c:v>
                </c:pt>
                <c:pt idx="11">
                  <c:v>22.760308</c:v>
                </c:pt>
              </c:numCache>
            </c:numRef>
          </c:val>
        </c:ser>
        <c:ser>
          <c:idx val="1"/>
          <c:order val="1"/>
          <c:tx>
            <c:strRef>
              <c:f>'Chart - Zamboanga Peninsula'!$C$3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Peninsula'!$C$4:$C$15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25.118357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7.689293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Zamboanga Peninsula'!$D$3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Peninsula'!$D$4:$D$15</c:f>
              <c:numCache>
                <c:ptCount val="12"/>
                <c:pt idx="0">
                  <c:v>26.707478</c:v>
                </c:pt>
                <c:pt idx="1">
                  <c:v>20.145948</c:v>
                </c:pt>
                <c:pt idx="2">
                  <c:v>21.119925</c:v>
                </c:pt>
                <c:pt idx="3">
                  <c:v>183.389640</c:v>
                </c:pt>
                <c:pt idx="4">
                  <c:v>36.703559</c:v>
                </c:pt>
                <c:pt idx="5">
                  <c:v>38.420834</c:v>
                </c:pt>
                <c:pt idx="6">
                  <c:v>18.146732</c:v>
                </c:pt>
                <c:pt idx="7">
                  <c:v>25.912918</c:v>
                </c:pt>
                <c:pt idx="8">
                  <c:v>16.275670</c:v>
                </c:pt>
                <c:pt idx="9">
                  <c:v>24.221273</c:v>
                </c:pt>
                <c:pt idx="10">
                  <c:v>30.680279</c:v>
                </c:pt>
                <c:pt idx="11">
                  <c:v>31.141637</c:v>
                </c:pt>
              </c:numCache>
            </c:numRef>
          </c:val>
        </c:ser>
        <c:ser>
          <c:idx val="3"/>
          <c:order val="3"/>
          <c:tx>
            <c:strRef>
              <c:f>'Chart - Zamboanga Peninsula'!$E$3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Peninsula'!$E$4:$E$15</c:f>
              <c:numCache>
                <c:ptCount val="12"/>
                <c:pt idx="0">
                  <c:v>23.606130</c:v>
                </c:pt>
                <c:pt idx="1">
                  <c:v>22.119533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Zamboanga Peninsula'!$F$3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Peninsula'!$F$4:$F$15</c:f>
              <c:numCache>
                <c:ptCount val="12"/>
                <c:pt idx="0">
                  <c:v>22.324581</c:v>
                </c:pt>
                <c:pt idx="1">
                  <c:v>13.789466</c:v>
                </c:pt>
                <c:pt idx="2">
                  <c:v>0.000000</c:v>
                </c:pt>
                <c:pt idx="3">
                  <c:v>374.084109</c:v>
                </c:pt>
                <c:pt idx="4">
                  <c:v>27.707086</c:v>
                </c:pt>
                <c:pt idx="5">
                  <c:v>24.528845</c:v>
                </c:pt>
                <c:pt idx="6">
                  <c:v>0.000000</c:v>
                </c:pt>
                <c:pt idx="7">
                  <c:v>6.971626</c:v>
                </c:pt>
                <c:pt idx="8">
                  <c:v>0.000000</c:v>
                </c:pt>
                <c:pt idx="9">
                  <c:v>0.000000</c:v>
                </c:pt>
                <c:pt idx="10">
                  <c:v>7.996865</c:v>
                </c:pt>
                <c:pt idx="11">
                  <c:v>9.098997</c:v>
                </c:pt>
              </c:numCache>
            </c:numRef>
          </c:val>
        </c:ser>
        <c:ser>
          <c:idx val="5"/>
          <c:order val="5"/>
          <c:tx>
            <c:strRef>
              <c:f>'Chart - Zamboanga Peninsula'!$G$3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Peninsula'!$G$4:$G$15</c:f>
              <c:numCache>
                <c:ptCount val="12"/>
                <c:pt idx="0">
                  <c:v>156.041388</c:v>
                </c:pt>
                <c:pt idx="1">
                  <c:v>104.369338</c:v>
                </c:pt>
                <c:pt idx="2">
                  <c:v>73.509642</c:v>
                </c:pt>
                <c:pt idx="3">
                  <c:v>619.757023</c:v>
                </c:pt>
                <c:pt idx="4">
                  <c:v>28.501646</c:v>
                </c:pt>
                <c:pt idx="5">
                  <c:v>60.796677</c:v>
                </c:pt>
                <c:pt idx="6">
                  <c:v>72.843237</c:v>
                </c:pt>
                <c:pt idx="7">
                  <c:v>44.034018</c:v>
                </c:pt>
                <c:pt idx="8">
                  <c:v>64.641324</c:v>
                </c:pt>
                <c:pt idx="9">
                  <c:v>75.175655</c:v>
                </c:pt>
                <c:pt idx="10">
                  <c:v>41.496552</c:v>
                </c:pt>
                <c:pt idx="11">
                  <c:v>54.568350</c:v>
                </c:pt>
              </c:numCache>
            </c:numRef>
          </c:val>
        </c:ser>
        <c:ser>
          <c:idx val="6"/>
          <c:order val="6"/>
          <c:tx>
            <c:strRef>
              <c:f>'Chart - Zamboanga Peninsula'!$H$3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Peninsula'!$H$4:$H$15</c:f>
              <c:numCache>
                <c:ptCount val="12"/>
                <c:pt idx="0">
                  <c:v>301.497182</c:v>
                </c:pt>
                <c:pt idx="1">
                  <c:v>149.659275</c:v>
                </c:pt>
                <c:pt idx="2">
                  <c:v>329.614364</c:v>
                </c:pt>
                <c:pt idx="3">
                  <c:v>1243.743158</c:v>
                </c:pt>
                <c:pt idx="4">
                  <c:v>84.659117</c:v>
                </c:pt>
                <c:pt idx="5">
                  <c:v>117.953756</c:v>
                </c:pt>
                <c:pt idx="6">
                  <c:v>210.174011</c:v>
                </c:pt>
                <c:pt idx="7">
                  <c:v>59.643283</c:v>
                </c:pt>
                <c:pt idx="8">
                  <c:v>239.444587</c:v>
                </c:pt>
                <c:pt idx="9">
                  <c:v>276.891444</c:v>
                </c:pt>
                <c:pt idx="10">
                  <c:v>121.106366</c:v>
                </c:pt>
                <c:pt idx="11">
                  <c:v>113.058239</c:v>
                </c:pt>
              </c:numCache>
            </c:numRef>
          </c:val>
        </c:ser>
        <c:ser>
          <c:idx val="7"/>
          <c:order val="7"/>
          <c:tx>
            <c:strRef>
              <c:f>'Chart - Zamboanga Peninsula'!$I$3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Zamboanga Peninsula'!$A$4:$A$15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Zamboanga Peninsula'!$I$4:$I$15</c:f>
              <c:numCache>
                <c:ptCount val="12"/>
                <c:pt idx="0">
                  <c:v>62.155119</c:v>
                </c:pt>
                <c:pt idx="1">
                  <c:v>31.577364</c:v>
                </c:pt>
                <c:pt idx="2">
                  <c:v>0.000000</c:v>
                </c:pt>
                <c:pt idx="3">
                  <c:v>539.403911</c:v>
                </c:pt>
                <c:pt idx="4">
                  <c:v>42.957517</c:v>
                </c:pt>
                <c:pt idx="5">
                  <c:v>47.853034</c:v>
                </c:pt>
                <c:pt idx="6">
                  <c:v>55.080970</c:v>
                </c:pt>
                <c:pt idx="7">
                  <c:v>10.483070</c:v>
                </c:pt>
                <c:pt idx="8">
                  <c:v>81.890971</c:v>
                </c:pt>
                <c:pt idx="9">
                  <c:v>81.173304</c:v>
                </c:pt>
                <c:pt idx="10">
                  <c:v>0.000000</c:v>
                </c:pt>
                <c:pt idx="11">
                  <c:v>31.244161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971996"/>
          <c:y val="0.89989"/>
          <c:w val="0.76916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Northern Mindanao</a:t>
            </a:r>
          </a:p>
        </c:rich>
      </c:tx>
      <c:layout>
        <c:manualLayout>
          <c:xMode val="edge"/>
          <c:yMode val="edge"/>
          <c:x val="0.198338"/>
          <c:y val="0"/>
          <c:w val="0.603325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50527"/>
          <c:w val="0.911469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Northern Mindanao'!$B$3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Mindanao'!$B$4:$B$15</c:f>
              <c:numCache>
                <c:ptCount val="12"/>
                <c:pt idx="0">
                  <c:v>68.302436</c:v>
                </c:pt>
                <c:pt idx="1">
                  <c:v>44.561556</c:v>
                </c:pt>
                <c:pt idx="2">
                  <c:v>51.217346</c:v>
                </c:pt>
                <c:pt idx="3">
                  <c:v>853.590827</c:v>
                </c:pt>
                <c:pt idx="4">
                  <c:v>41.660314</c:v>
                </c:pt>
                <c:pt idx="5">
                  <c:v>59.958996</c:v>
                </c:pt>
                <c:pt idx="6">
                  <c:v>70.995092</c:v>
                </c:pt>
                <c:pt idx="7">
                  <c:v>79.073059</c:v>
                </c:pt>
                <c:pt idx="8">
                  <c:v>41.375879</c:v>
                </c:pt>
                <c:pt idx="9">
                  <c:v>62.974012</c:v>
                </c:pt>
                <c:pt idx="10">
                  <c:v>45.623448</c:v>
                </c:pt>
                <c:pt idx="11">
                  <c:v>25.182020</c:v>
                </c:pt>
              </c:numCache>
            </c:numRef>
          </c:val>
        </c:ser>
        <c:ser>
          <c:idx val="1"/>
          <c:order val="1"/>
          <c:tx>
            <c:strRef>
              <c:f>'Chart - Northern Mindanao'!$C$3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Mindanao'!$C$4:$C$15</c:f>
              <c:numCache>
                <c:ptCount val="12"/>
                <c:pt idx="0">
                  <c:v>18.696891</c:v>
                </c:pt>
                <c:pt idx="1">
                  <c:v>0.000000</c:v>
                </c:pt>
                <c:pt idx="2">
                  <c:v>0.000000</c:v>
                </c:pt>
                <c:pt idx="3">
                  <c:v>203.086921</c:v>
                </c:pt>
                <c:pt idx="4">
                  <c:v>10.543075</c:v>
                </c:pt>
                <c:pt idx="5">
                  <c:v>0.000000</c:v>
                </c:pt>
                <c:pt idx="6">
                  <c:v>0.000000</c:v>
                </c:pt>
                <c:pt idx="7">
                  <c:v>18.810665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Northern Mindanao'!$D$3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Mindanao'!$D$4:$D$15</c:f>
              <c:numCache>
                <c:ptCount val="12"/>
                <c:pt idx="0">
                  <c:v>43.632400</c:v>
                </c:pt>
                <c:pt idx="1">
                  <c:v>37.185196</c:v>
                </c:pt>
                <c:pt idx="2">
                  <c:v>14.430359</c:v>
                </c:pt>
                <c:pt idx="3">
                  <c:v>525.921173</c:v>
                </c:pt>
                <c:pt idx="4">
                  <c:v>20.612090</c:v>
                </c:pt>
                <c:pt idx="5">
                  <c:v>27.078256</c:v>
                </c:pt>
                <c:pt idx="6">
                  <c:v>43.310040</c:v>
                </c:pt>
                <c:pt idx="7">
                  <c:v>21.237848</c:v>
                </c:pt>
                <c:pt idx="8">
                  <c:v>18.184907</c:v>
                </c:pt>
                <c:pt idx="9">
                  <c:v>27.590240</c:v>
                </c:pt>
                <c:pt idx="10">
                  <c:v>19.588122</c:v>
                </c:pt>
                <c:pt idx="11">
                  <c:v>19.758784</c:v>
                </c:pt>
              </c:numCache>
            </c:numRef>
          </c:val>
        </c:ser>
        <c:ser>
          <c:idx val="3"/>
          <c:order val="3"/>
          <c:tx>
            <c:strRef>
              <c:f>'Chart - Northern Mindanao'!$E$3</c:f>
              <c:strCache>
                <c:ptCount val="1"/>
                <c:pt idx="0">
                  <c:v>Health Services &amp; Screening</c:v>
                </c:pt>
              </c:strCache>
            </c:strRef>
          </c:tx>
          <c:spPr>
            <a:solidFill>
              <a:srgbClr val="00B0F0"/>
            </a:solidFill>
            <a:ln w="12600" cap="flat">
              <a:solidFill>
                <a:srgbClr val="00B0F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Mindanao'!$E$4:$E$15</c:f>
              <c:numCache>
                <c:ptCount val="12"/>
                <c:pt idx="0">
                  <c:v>33.809895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Northern Mindanao'!$F$3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Mindanao'!$F$4:$F$15</c:f>
              <c:numCache>
                <c:ptCount val="12"/>
                <c:pt idx="0">
                  <c:v>0.000000</c:v>
                </c:pt>
                <c:pt idx="1">
                  <c:v>14.145924</c:v>
                </c:pt>
                <c:pt idx="2">
                  <c:v>35.156223</c:v>
                </c:pt>
                <c:pt idx="3">
                  <c:v>0.000000</c:v>
                </c:pt>
                <c:pt idx="4">
                  <c:v>11.434306</c:v>
                </c:pt>
                <c:pt idx="5">
                  <c:v>19.569160</c:v>
                </c:pt>
                <c:pt idx="6">
                  <c:v>0.000000</c:v>
                </c:pt>
                <c:pt idx="7">
                  <c:v>20.972375</c:v>
                </c:pt>
                <c:pt idx="8">
                  <c:v>16.402445</c:v>
                </c:pt>
                <c:pt idx="9">
                  <c:v>20.270767</c:v>
                </c:pt>
                <c:pt idx="10">
                  <c:v>16.800655</c:v>
                </c:pt>
                <c:pt idx="11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'Chart - Northern Mindanao'!$G$3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Mindanao'!$G$4:$G$15</c:f>
              <c:numCache>
                <c:ptCount val="12"/>
                <c:pt idx="0">
                  <c:v>197.701610</c:v>
                </c:pt>
                <c:pt idx="1">
                  <c:v>124.658583</c:v>
                </c:pt>
                <c:pt idx="2">
                  <c:v>56.223410</c:v>
                </c:pt>
                <c:pt idx="3">
                  <c:v>2156.305252</c:v>
                </c:pt>
                <c:pt idx="4">
                  <c:v>147.565119</c:v>
                </c:pt>
                <c:pt idx="5">
                  <c:v>238.508618</c:v>
                </c:pt>
                <c:pt idx="6">
                  <c:v>166.906730</c:v>
                </c:pt>
                <c:pt idx="7">
                  <c:v>142.160845</c:v>
                </c:pt>
                <c:pt idx="8">
                  <c:v>137.723652</c:v>
                </c:pt>
                <c:pt idx="9">
                  <c:v>170.642316</c:v>
                </c:pt>
                <c:pt idx="10">
                  <c:v>128.716529</c:v>
                </c:pt>
                <c:pt idx="11">
                  <c:v>146.408414</c:v>
                </c:pt>
              </c:numCache>
            </c:numRef>
          </c:val>
        </c:ser>
        <c:ser>
          <c:idx val="6"/>
          <c:order val="6"/>
          <c:tx>
            <c:strRef>
              <c:f>'Chart - Northern Mindanao'!$H$3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Mindanao'!$H$4:$H$15</c:f>
              <c:numCache>
                <c:ptCount val="12"/>
                <c:pt idx="0">
                  <c:v>222.428533</c:v>
                </c:pt>
                <c:pt idx="1">
                  <c:v>176.899896</c:v>
                </c:pt>
                <c:pt idx="2">
                  <c:v>209.647899</c:v>
                </c:pt>
                <c:pt idx="3">
                  <c:v>2380.724833</c:v>
                </c:pt>
                <c:pt idx="4">
                  <c:v>149.195882</c:v>
                </c:pt>
                <c:pt idx="5">
                  <c:v>180.483783</c:v>
                </c:pt>
                <c:pt idx="6">
                  <c:v>238.622392</c:v>
                </c:pt>
                <c:pt idx="7">
                  <c:v>205.722690</c:v>
                </c:pt>
                <c:pt idx="8">
                  <c:v>209.420351</c:v>
                </c:pt>
                <c:pt idx="9">
                  <c:v>291.015404</c:v>
                </c:pt>
                <c:pt idx="10">
                  <c:v>249.999810</c:v>
                </c:pt>
                <c:pt idx="11">
                  <c:v>204.205701</c:v>
                </c:pt>
              </c:numCache>
            </c:numRef>
          </c:val>
        </c:ser>
        <c:ser>
          <c:idx val="7"/>
          <c:order val="7"/>
          <c:tx>
            <c:strRef>
              <c:f>'Chart - Northern Mindanao'!$I$3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Mindanao'!$I$4:$I$15</c:f>
              <c:numCache>
                <c:ptCount val="12"/>
                <c:pt idx="0">
                  <c:v>24.044278</c:v>
                </c:pt>
                <c:pt idx="1">
                  <c:v>31.325826</c:v>
                </c:pt>
                <c:pt idx="2">
                  <c:v>0.000000</c:v>
                </c:pt>
                <c:pt idx="3">
                  <c:v>733.274626</c:v>
                </c:pt>
                <c:pt idx="4">
                  <c:v>41.015594</c:v>
                </c:pt>
                <c:pt idx="5">
                  <c:v>49.491771</c:v>
                </c:pt>
                <c:pt idx="6">
                  <c:v>47.311099</c:v>
                </c:pt>
                <c:pt idx="7">
                  <c:v>39.157282</c:v>
                </c:pt>
                <c:pt idx="8">
                  <c:v>46.723266</c:v>
                </c:pt>
                <c:pt idx="9">
                  <c:v>44.959766</c:v>
                </c:pt>
                <c:pt idx="10">
                  <c:v>17.521225</c:v>
                </c:pt>
                <c:pt idx="11">
                  <c:v>13.596015</c:v>
                </c:pt>
              </c:numCache>
            </c:numRef>
          </c:val>
        </c:ser>
        <c:ser>
          <c:idx val="8"/>
          <c:order val="8"/>
          <c:tx>
            <c:strRef>
              <c:f>'Chart - Northern Mindanao'!$J$3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Northern Mindanao'!$A$4:$A$15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Northern Mindanao'!$J$4:$J$15</c:f>
              <c:numCache>
                <c:ptCount val="12"/>
                <c:pt idx="0">
                  <c:v>25.257869</c:v>
                </c:pt>
                <c:pt idx="1">
                  <c:v>14.714795</c:v>
                </c:pt>
                <c:pt idx="2">
                  <c:v>0.000000</c:v>
                </c:pt>
                <c:pt idx="3">
                  <c:v>375.170377</c:v>
                </c:pt>
                <c:pt idx="4">
                  <c:v>0.000000</c:v>
                </c:pt>
                <c:pt idx="5">
                  <c:v>30.188084</c:v>
                </c:pt>
                <c:pt idx="6">
                  <c:v>21.010300</c:v>
                </c:pt>
                <c:pt idx="7">
                  <c:v>0.000000</c:v>
                </c:pt>
                <c:pt idx="8">
                  <c:v>24.025316</c:v>
                </c:pt>
                <c:pt idx="9">
                  <c:v>0.000000</c:v>
                </c:pt>
                <c:pt idx="10">
                  <c:v>30.946578</c:v>
                </c:pt>
                <c:pt idx="11">
                  <c:v>23.570219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495612"/>
          <c:y val="0.89989"/>
          <c:w val="0.864437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Davao</a:t>
            </a:r>
          </a:p>
        </c:rich>
      </c:tx>
      <c:layout>
        <c:manualLayout>
          <c:xMode val="edge"/>
          <c:yMode val="edge"/>
          <c:x val="0.267492"/>
          <c:y val="0"/>
          <c:w val="0.465017"/>
          <c:h val="0.08761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76112"/>
          <c:w val="0.911469"/>
          <c:h val="0.711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Davao'!$B$3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Davao'!$B$4:$B$15</c:f>
              <c:numCache>
                <c:ptCount val="12"/>
                <c:pt idx="0">
                  <c:v>25.495578</c:v>
                </c:pt>
                <c:pt idx="1">
                  <c:v>0.000000</c:v>
                </c:pt>
                <c:pt idx="2">
                  <c:v>105.268096</c:v>
                </c:pt>
                <c:pt idx="3">
                  <c:v>932.864046</c:v>
                </c:pt>
                <c:pt idx="4">
                  <c:v>75.696037</c:v>
                </c:pt>
                <c:pt idx="5">
                  <c:v>78.226267</c:v>
                </c:pt>
                <c:pt idx="6">
                  <c:v>76.750300</c:v>
                </c:pt>
                <c:pt idx="7">
                  <c:v>67.982351</c:v>
                </c:pt>
                <c:pt idx="8">
                  <c:v>74.799914</c:v>
                </c:pt>
                <c:pt idx="9">
                  <c:v>24.458887</c:v>
                </c:pt>
                <c:pt idx="10">
                  <c:v>32.172573</c:v>
                </c:pt>
                <c:pt idx="11">
                  <c:v>18.537446</c:v>
                </c:pt>
              </c:numCache>
            </c:numRef>
          </c:val>
        </c:ser>
        <c:ser>
          <c:idx val="1"/>
          <c:order val="1"/>
          <c:tx>
            <c:strRef>
              <c:f>'Chart - Davao'!$C$3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Davao'!$C$4:$C$15</c:f>
              <c:numCache>
                <c:ptCount val="12"/>
                <c:pt idx="0">
                  <c:v>8.258388</c:v>
                </c:pt>
                <c:pt idx="1">
                  <c:v>11.386033</c:v>
                </c:pt>
                <c:pt idx="2">
                  <c:v>33.051125</c:v>
                </c:pt>
                <c:pt idx="3">
                  <c:v>368.903970</c:v>
                </c:pt>
                <c:pt idx="4">
                  <c:v>24.125037</c:v>
                </c:pt>
                <c:pt idx="5">
                  <c:v>29.519346</c:v>
                </c:pt>
                <c:pt idx="6">
                  <c:v>24.318318</c:v>
                </c:pt>
                <c:pt idx="7">
                  <c:v>23.966898</c:v>
                </c:pt>
                <c:pt idx="8">
                  <c:v>26.707980</c:v>
                </c:pt>
                <c:pt idx="9">
                  <c:v>20.645971</c:v>
                </c:pt>
                <c:pt idx="10">
                  <c:v>14.285255</c:v>
                </c:pt>
                <c:pt idx="11">
                  <c:v>5.816014</c:v>
                </c:pt>
              </c:numCache>
            </c:numRef>
          </c:val>
        </c:ser>
        <c:ser>
          <c:idx val="2"/>
          <c:order val="2"/>
          <c:tx>
            <c:strRef>
              <c:f>'Chart - Davao'!$D$3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Davao'!$D$4:$D$15</c:f>
              <c:numCache>
                <c:ptCount val="12"/>
                <c:pt idx="0">
                  <c:v>10.700763</c:v>
                </c:pt>
                <c:pt idx="1">
                  <c:v>10.894044</c:v>
                </c:pt>
                <c:pt idx="2">
                  <c:v>24.740023</c:v>
                </c:pt>
                <c:pt idx="3">
                  <c:v>282.876161</c:v>
                </c:pt>
                <c:pt idx="4">
                  <c:v>7.713686</c:v>
                </c:pt>
                <c:pt idx="5">
                  <c:v>10.226345</c:v>
                </c:pt>
                <c:pt idx="6">
                  <c:v>11.913165</c:v>
                </c:pt>
                <c:pt idx="7">
                  <c:v>11.157610</c:v>
                </c:pt>
                <c:pt idx="8">
                  <c:v>10.858902</c:v>
                </c:pt>
                <c:pt idx="9">
                  <c:v>7.731257</c:v>
                </c:pt>
                <c:pt idx="10">
                  <c:v>11.210323</c:v>
                </c:pt>
                <c:pt idx="11">
                  <c:v>10.771047</c:v>
                </c:pt>
              </c:numCache>
            </c:numRef>
          </c:val>
        </c:ser>
        <c:ser>
          <c:idx val="3"/>
          <c:order val="3"/>
          <c:tx>
            <c:strRef>
              <c:f>'Chart - Davao'!$E$3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Davao'!$E$4:$E$15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24.634597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10.507481</c:v>
                </c:pt>
                <c:pt idx="8">
                  <c:v>9.101798</c:v>
                </c:pt>
                <c:pt idx="9">
                  <c:v>0.000000</c:v>
                </c:pt>
                <c:pt idx="10">
                  <c:v>6.624282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Davao'!$F$3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Davao'!$F$4:$F$15</c:f>
              <c:numCache>
                <c:ptCount val="12"/>
                <c:pt idx="0">
                  <c:v>27.656816</c:v>
                </c:pt>
                <c:pt idx="1">
                  <c:v>37.584453</c:v>
                </c:pt>
                <c:pt idx="2">
                  <c:v>158.051498</c:v>
                </c:pt>
                <c:pt idx="3">
                  <c:v>1177.505626</c:v>
                </c:pt>
                <c:pt idx="4">
                  <c:v>75.081051</c:v>
                </c:pt>
                <c:pt idx="5">
                  <c:v>131.361090</c:v>
                </c:pt>
                <c:pt idx="6">
                  <c:v>89.050027</c:v>
                </c:pt>
                <c:pt idx="7">
                  <c:v>67.332222</c:v>
                </c:pt>
                <c:pt idx="8">
                  <c:v>85.360109</c:v>
                </c:pt>
                <c:pt idx="9">
                  <c:v>31.311592</c:v>
                </c:pt>
                <c:pt idx="10">
                  <c:v>66.998373</c:v>
                </c:pt>
                <c:pt idx="11">
                  <c:v>49.972036</c:v>
                </c:pt>
              </c:numCache>
            </c:numRef>
          </c:val>
        </c:ser>
        <c:ser>
          <c:idx val="5"/>
          <c:order val="5"/>
          <c:tx>
            <c:strRef>
              <c:f>'Chart - Davao'!$G$3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Davao'!$G$4:$G$15</c:f>
              <c:numCache>
                <c:ptCount val="12"/>
                <c:pt idx="0">
                  <c:v>104.073266</c:v>
                </c:pt>
                <c:pt idx="1">
                  <c:v>87.134784</c:v>
                </c:pt>
                <c:pt idx="2">
                  <c:v>361.822841</c:v>
                </c:pt>
                <c:pt idx="3">
                  <c:v>1509.668552</c:v>
                </c:pt>
                <c:pt idx="4">
                  <c:v>60.584943</c:v>
                </c:pt>
                <c:pt idx="5">
                  <c:v>84.182849</c:v>
                </c:pt>
                <c:pt idx="6">
                  <c:v>87.205068</c:v>
                </c:pt>
                <c:pt idx="7">
                  <c:v>79.280529</c:v>
                </c:pt>
                <c:pt idx="8">
                  <c:v>113.016925</c:v>
                </c:pt>
                <c:pt idx="9">
                  <c:v>77.172004</c:v>
                </c:pt>
                <c:pt idx="10">
                  <c:v>102.720296</c:v>
                </c:pt>
                <c:pt idx="11">
                  <c:v>74.747201</c:v>
                </c:pt>
              </c:numCache>
            </c:numRef>
          </c:val>
        </c:ser>
        <c:ser>
          <c:idx val="6"/>
          <c:order val="6"/>
          <c:tx>
            <c:strRef>
              <c:f>'Chart - Davao'!$H$3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Davao'!$H$4:$H$15</c:f>
              <c:numCache>
                <c:ptCount val="12"/>
                <c:pt idx="0">
                  <c:v>9.365364</c:v>
                </c:pt>
                <c:pt idx="1">
                  <c:v>0.000000</c:v>
                </c:pt>
                <c:pt idx="2">
                  <c:v>0.000000</c:v>
                </c:pt>
                <c:pt idx="3">
                  <c:v>116.794698</c:v>
                </c:pt>
                <c:pt idx="4">
                  <c:v>8.328673</c:v>
                </c:pt>
                <c:pt idx="5">
                  <c:v>9.505932</c:v>
                </c:pt>
                <c:pt idx="6">
                  <c:v>11.649599</c:v>
                </c:pt>
                <c:pt idx="7">
                  <c:v>7.590689</c:v>
                </c:pt>
                <c:pt idx="8">
                  <c:v>9.172083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7"/>
          <c:order val="7"/>
          <c:tx>
            <c:strRef>
              <c:f>'Chart - Davao'!$I$3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Davao'!$A$4:$A$15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Davao'!$I$4:$I$15</c:f>
              <c:numCache>
                <c:ptCount val="12"/>
                <c:pt idx="0">
                  <c:v>18.098170</c:v>
                </c:pt>
                <c:pt idx="1">
                  <c:v>34.562234</c:v>
                </c:pt>
                <c:pt idx="2">
                  <c:v>0.000000</c:v>
                </c:pt>
                <c:pt idx="3">
                  <c:v>112.015375</c:v>
                </c:pt>
                <c:pt idx="4">
                  <c:v>9.242367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4.937462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0590873"/>
          <c:y val="0.927336"/>
          <c:w val="0.951742"/>
          <c:h val="0.072663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SOCCSKSARGEN</a:t>
            </a:r>
          </a:p>
        </c:rich>
      </c:tx>
      <c:layout>
        <c:manualLayout>
          <c:xMode val="edge"/>
          <c:yMode val="edge"/>
          <c:x val="0.208212"/>
          <c:y val="0"/>
          <c:w val="0.583577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2672"/>
          <c:y val="0.0850527"/>
          <c:w val="0.912328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SOCCSKSARGEN'!$B$3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SOCCSKSARGEN'!$B$4:$B$15</c:f>
              <c:numCache>
                <c:ptCount val="12"/>
                <c:pt idx="0">
                  <c:v>0.000000</c:v>
                </c:pt>
                <c:pt idx="1">
                  <c:v>8.801650</c:v>
                </c:pt>
                <c:pt idx="2">
                  <c:v>60.077497</c:v>
                </c:pt>
                <c:pt idx="3">
                  <c:v>0.000000</c:v>
                </c:pt>
                <c:pt idx="4">
                  <c:v>0.000000</c:v>
                </c:pt>
                <c:pt idx="5">
                  <c:v>5.043212</c:v>
                </c:pt>
                <c:pt idx="6">
                  <c:v>7.075837</c:v>
                </c:pt>
                <c:pt idx="7">
                  <c:v>5.848591</c:v>
                </c:pt>
                <c:pt idx="8">
                  <c:v>5.254144</c:v>
                </c:pt>
                <c:pt idx="9">
                  <c:v>41.381180</c:v>
                </c:pt>
                <c:pt idx="10">
                  <c:v>15.052932</c:v>
                </c:pt>
                <c:pt idx="11">
                  <c:v>12.272454</c:v>
                </c:pt>
              </c:numCache>
            </c:numRef>
          </c:val>
        </c:ser>
        <c:ser>
          <c:idx val="1"/>
          <c:order val="1"/>
          <c:tx>
            <c:strRef>
              <c:f>'Chart - SOCCSKSARGEN'!$C$3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SOCCSKSARGEN'!$C$4:$C$15</c:f>
              <c:numCache>
                <c:ptCount val="12"/>
                <c:pt idx="0">
                  <c:v>7.133364</c:v>
                </c:pt>
                <c:pt idx="1">
                  <c:v>0.000000</c:v>
                </c:pt>
                <c:pt idx="2">
                  <c:v>23.049202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5.292496</c:v>
                </c:pt>
              </c:numCache>
            </c:numRef>
          </c:val>
        </c:ser>
        <c:ser>
          <c:idx val="2"/>
          <c:order val="2"/>
          <c:tx>
            <c:strRef>
              <c:f>'Chart - SOCCSKSARGEN'!$D$3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SOCCSKSARGEN'!$D$4:$D$15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14.324255</c:v>
                </c:pt>
                <c:pt idx="3">
                  <c:v>0.000000</c:v>
                </c:pt>
                <c:pt idx="4">
                  <c:v>0.000000</c:v>
                </c:pt>
                <c:pt idx="5">
                  <c:v>1.054664</c:v>
                </c:pt>
                <c:pt idx="6">
                  <c:v>2.013449</c:v>
                </c:pt>
                <c:pt idx="7">
                  <c:v>2.166855</c:v>
                </c:pt>
                <c:pt idx="8">
                  <c:v>0.000000</c:v>
                </c:pt>
                <c:pt idx="9">
                  <c:v>7.305945</c:v>
                </c:pt>
                <c:pt idx="10">
                  <c:v>0.000000</c:v>
                </c:pt>
                <c:pt idx="11">
                  <c:v>4.046075</c:v>
                </c:pt>
              </c:numCache>
            </c:numRef>
          </c:val>
        </c:ser>
        <c:ser>
          <c:idx val="3"/>
          <c:order val="3"/>
          <c:tx>
            <c:strRef>
              <c:f>'Chart - SOCCSKSARGEN'!$E$3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SOCCSKSARGEN'!$E$4:$E$15</c:f>
              <c:numCache>
                <c:ptCount val="12"/>
                <c:pt idx="0">
                  <c:v>3.605033</c:v>
                </c:pt>
                <c:pt idx="1">
                  <c:v>0.843731</c:v>
                </c:pt>
                <c:pt idx="2">
                  <c:v>15.455622</c:v>
                </c:pt>
                <c:pt idx="3">
                  <c:v>48.361138</c:v>
                </c:pt>
                <c:pt idx="4">
                  <c:v>0.000000</c:v>
                </c:pt>
                <c:pt idx="5">
                  <c:v>3.988547</c:v>
                </c:pt>
                <c:pt idx="6">
                  <c:v>0.383514</c:v>
                </c:pt>
                <c:pt idx="7">
                  <c:v>0.000000</c:v>
                </c:pt>
                <c:pt idx="8">
                  <c:v>10.335707</c:v>
                </c:pt>
                <c:pt idx="9">
                  <c:v>0.000000</c:v>
                </c:pt>
                <c:pt idx="10">
                  <c:v>5.714361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SOCCSKSARGEN'!$F$3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SOCCSKSARGEN'!$F$4:$F$15</c:f>
              <c:numCache>
                <c:ptCount val="12"/>
                <c:pt idx="0">
                  <c:v>0.000000</c:v>
                </c:pt>
                <c:pt idx="1">
                  <c:v>14.899526</c:v>
                </c:pt>
                <c:pt idx="2">
                  <c:v>91.525660</c:v>
                </c:pt>
                <c:pt idx="3">
                  <c:v>515.519764</c:v>
                </c:pt>
                <c:pt idx="4">
                  <c:v>0.000000</c:v>
                </c:pt>
                <c:pt idx="5">
                  <c:v>171.239083</c:v>
                </c:pt>
                <c:pt idx="6">
                  <c:v>50.758102</c:v>
                </c:pt>
                <c:pt idx="7">
                  <c:v>25.618747</c:v>
                </c:pt>
                <c:pt idx="8">
                  <c:v>72.886870</c:v>
                </c:pt>
                <c:pt idx="9">
                  <c:v>69.109256</c:v>
                </c:pt>
                <c:pt idx="10">
                  <c:v>56.951856</c:v>
                </c:pt>
                <c:pt idx="11">
                  <c:v>18.236099</c:v>
                </c:pt>
              </c:numCache>
            </c:numRef>
          </c:val>
        </c:ser>
        <c:ser>
          <c:idx val="5"/>
          <c:order val="5"/>
          <c:tx>
            <c:strRef>
              <c:f>'Chart - SOCCSKSARGEN'!$G$3</c:f>
              <c:strCache>
                <c:ptCount val="1"/>
                <c:pt idx="0">
                  <c:v>No reported data</c:v>
                </c:pt>
              </c:strCache>
            </c:strRef>
          </c:tx>
          <c:spPr>
            <a:solidFill>
              <a:srgbClr val="BFBFBF"/>
            </a:solidFill>
            <a:ln w="12600" cap="flat">
              <a:solidFill>
                <a:srgbClr val="BFBFBF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SOCCSKSARGEN'!$H$3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SOCCSKSARGEN'!$H$4:$H$15</c:f>
              <c:numCache>
                <c:ptCount val="12"/>
                <c:pt idx="0">
                  <c:v>0.000000</c:v>
                </c:pt>
                <c:pt idx="1">
                  <c:v>4.467940</c:v>
                </c:pt>
                <c:pt idx="2">
                  <c:v>235.170897</c:v>
                </c:pt>
                <c:pt idx="3">
                  <c:v>152.811226</c:v>
                </c:pt>
                <c:pt idx="4">
                  <c:v>0.000000</c:v>
                </c:pt>
                <c:pt idx="5">
                  <c:v>29.818228</c:v>
                </c:pt>
                <c:pt idx="6">
                  <c:v>22.742391</c:v>
                </c:pt>
                <c:pt idx="7">
                  <c:v>33.653370</c:v>
                </c:pt>
                <c:pt idx="8">
                  <c:v>28.706037</c:v>
                </c:pt>
                <c:pt idx="9">
                  <c:v>147.959772</c:v>
                </c:pt>
                <c:pt idx="10">
                  <c:v>24.698313</c:v>
                </c:pt>
                <c:pt idx="11">
                  <c:v>61.784135</c:v>
                </c:pt>
              </c:numCache>
            </c:numRef>
          </c:val>
        </c:ser>
        <c:ser>
          <c:idx val="7"/>
          <c:order val="7"/>
          <c:tx>
            <c:strRef>
              <c:f>'Chart - SOCCSKSARGEN'!$I$3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SOCCSKSARGEN'!$I$4:$I$15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1.093015</c:v>
                </c:pt>
                <c:pt idx="7">
                  <c:v>2.013449</c:v>
                </c:pt>
                <c:pt idx="8">
                  <c:v>0.000000</c:v>
                </c:pt>
                <c:pt idx="9">
                  <c:v>6.634795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'Chart - SOCCSKSARGEN'!$J$3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SOCCSKSARGEN'!$A$4:$A$15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SOCCSKSARGEN'!$J$4:$J$15</c:f>
              <c:numCache>
                <c:ptCount val="12"/>
                <c:pt idx="0">
                  <c:v>0.325987</c:v>
                </c:pt>
                <c:pt idx="1">
                  <c:v>1.629935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2.665424</c:v>
                </c:pt>
                <c:pt idx="6">
                  <c:v>2.339437</c:v>
                </c:pt>
                <c:pt idx="7">
                  <c:v>3.394101</c:v>
                </c:pt>
                <c:pt idx="8">
                  <c:v>1.591584</c:v>
                </c:pt>
                <c:pt idx="9">
                  <c:v>0.000000</c:v>
                </c:pt>
                <c:pt idx="10">
                  <c:v>6.673147</c:v>
                </c:pt>
                <c:pt idx="11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161353"/>
          <c:y val="0.89989"/>
          <c:w val="0.941951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Caraga</a:t>
            </a:r>
          </a:p>
        </c:rich>
      </c:tx>
      <c:layout>
        <c:manualLayout>
          <c:xMode val="edge"/>
          <c:yMode val="edge"/>
          <c:x val="0.263126"/>
          <c:y val="0"/>
          <c:w val="0.473747"/>
          <c:h val="0.08761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76112"/>
          <c:w val="0.911469"/>
          <c:h val="0.711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Caraga'!$B$3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Caraga'!$B$4:$B$15</c:f>
              <c:numCache>
                <c:ptCount val="12"/>
                <c:pt idx="0">
                  <c:v>68.381061</c:v>
                </c:pt>
                <c:pt idx="1">
                  <c:v>81.496659</c:v>
                </c:pt>
                <c:pt idx="2">
                  <c:v>69.315418</c:v>
                </c:pt>
                <c:pt idx="3">
                  <c:v>152.611579</c:v>
                </c:pt>
                <c:pt idx="4">
                  <c:v>41.388537</c:v>
                </c:pt>
                <c:pt idx="5">
                  <c:v>68.035003</c:v>
                </c:pt>
                <c:pt idx="6">
                  <c:v>99.906945</c:v>
                </c:pt>
                <c:pt idx="7">
                  <c:v>59.591188</c:v>
                </c:pt>
                <c:pt idx="8">
                  <c:v>931.380505</c:v>
                </c:pt>
                <c:pt idx="9">
                  <c:v>75.613673</c:v>
                </c:pt>
                <c:pt idx="10">
                  <c:v>59.625794</c:v>
                </c:pt>
                <c:pt idx="11">
                  <c:v>55.196251</c:v>
                </c:pt>
              </c:numCache>
            </c:numRef>
          </c:val>
        </c:ser>
        <c:ser>
          <c:idx val="1"/>
          <c:order val="1"/>
          <c:tx>
            <c:strRef>
              <c:f>'Chart - Caraga'!$C$3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Caraga'!$C$4:$C$15</c:f>
              <c:numCache>
                <c:ptCount val="12"/>
                <c:pt idx="0">
                  <c:v>43.153433</c:v>
                </c:pt>
                <c:pt idx="1">
                  <c:v>62.359652</c:v>
                </c:pt>
                <c:pt idx="2">
                  <c:v>23.947214</c:v>
                </c:pt>
                <c:pt idx="3">
                  <c:v>40.488786</c:v>
                </c:pt>
                <c:pt idx="4">
                  <c:v>16.887630</c:v>
                </c:pt>
                <c:pt idx="5">
                  <c:v>46.717830</c:v>
                </c:pt>
                <c:pt idx="6">
                  <c:v>53.673596</c:v>
                </c:pt>
                <c:pt idx="7">
                  <c:v>42.703557</c:v>
                </c:pt>
                <c:pt idx="8">
                  <c:v>638.096349</c:v>
                </c:pt>
                <c:pt idx="9">
                  <c:v>61.667536</c:v>
                </c:pt>
                <c:pt idx="10">
                  <c:v>22.978251</c:v>
                </c:pt>
                <c:pt idx="11">
                  <c:v>18.548709</c:v>
                </c:pt>
              </c:numCache>
            </c:numRef>
          </c:val>
        </c:ser>
        <c:ser>
          <c:idx val="2"/>
          <c:order val="2"/>
          <c:tx>
            <c:strRef>
              <c:f>'Chart - Caraga'!$D$3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Caraga'!$D$4:$D$15</c:f>
              <c:numCache>
                <c:ptCount val="12"/>
                <c:pt idx="0">
                  <c:v>89.836657</c:v>
                </c:pt>
                <c:pt idx="1">
                  <c:v>70.872679</c:v>
                </c:pt>
                <c:pt idx="2">
                  <c:v>0.000000</c:v>
                </c:pt>
                <c:pt idx="3">
                  <c:v>74.229441</c:v>
                </c:pt>
                <c:pt idx="4">
                  <c:v>52.773845</c:v>
                </c:pt>
                <c:pt idx="5">
                  <c:v>57.618657</c:v>
                </c:pt>
                <c:pt idx="6">
                  <c:v>56.165214</c:v>
                </c:pt>
                <c:pt idx="7">
                  <c:v>56.407454</c:v>
                </c:pt>
                <c:pt idx="8">
                  <c:v>206.562021</c:v>
                </c:pt>
                <c:pt idx="9">
                  <c:v>54.919405</c:v>
                </c:pt>
                <c:pt idx="10">
                  <c:v>42.184470</c:v>
                </c:pt>
                <c:pt idx="11">
                  <c:v>61.875171</c:v>
                </c:pt>
              </c:numCache>
            </c:numRef>
          </c:val>
        </c:ser>
        <c:ser>
          <c:idx val="3"/>
          <c:order val="3"/>
          <c:tx>
            <c:strRef>
              <c:f>'Chart - Caraga'!$E$3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Caraga'!$E$4:$E$15</c:f>
              <c:numCache>
                <c:ptCount val="12"/>
                <c:pt idx="0">
                  <c:v>48.863390</c:v>
                </c:pt>
                <c:pt idx="1">
                  <c:v>17.164477</c:v>
                </c:pt>
                <c:pt idx="2">
                  <c:v>52.635422</c:v>
                </c:pt>
                <c:pt idx="3">
                  <c:v>0.000000</c:v>
                </c:pt>
                <c:pt idx="4">
                  <c:v>30.280075</c:v>
                </c:pt>
                <c:pt idx="5">
                  <c:v>0.000000</c:v>
                </c:pt>
                <c:pt idx="6">
                  <c:v>22.078500</c:v>
                </c:pt>
                <c:pt idx="7">
                  <c:v>21.490202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Caraga'!$F$3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Caraga'!$F$4:$F$15</c:f>
              <c:numCache>
                <c:ptCount val="12"/>
                <c:pt idx="0">
                  <c:v>84.195912</c:v>
                </c:pt>
                <c:pt idx="1">
                  <c:v>196.941609</c:v>
                </c:pt>
                <c:pt idx="2">
                  <c:v>83.573007</c:v>
                </c:pt>
                <c:pt idx="3">
                  <c:v>415.269602</c:v>
                </c:pt>
                <c:pt idx="4">
                  <c:v>95.927278</c:v>
                </c:pt>
                <c:pt idx="5">
                  <c:v>186.525263</c:v>
                </c:pt>
                <c:pt idx="6">
                  <c:v>106.966528</c:v>
                </c:pt>
                <c:pt idx="7">
                  <c:v>97.173087</c:v>
                </c:pt>
                <c:pt idx="8">
                  <c:v>333.011615</c:v>
                </c:pt>
                <c:pt idx="9">
                  <c:v>140.257308</c:v>
                </c:pt>
                <c:pt idx="10">
                  <c:v>59.868034</c:v>
                </c:pt>
                <c:pt idx="11">
                  <c:v>238.710809</c:v>
                </c:pt>
              </c:numCache>
            </c:numRef>
          </c:val>
        </c:ser>
        <c:ser>
          <c:idx val="5"/>
          <c:order val="5"/>
          <c:tx>
            <c:strRef>
              <c:f>'Chart - Caraga'!$G$3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Caraga'!$G$4:$G$15</c:f>
              <c:numCache>
                <c:ptCount val="12"/>
                <c:pt idx="0">
                  <c:v>336.368377</c:v>
                </c:pt>
                <c:pt idx="1">
                  <c:v>356.232107</c:v>
                </c:pt>
                <c:pt idx="2">
                  <c:v>266.603084</c:v>
                </c:pt>
                <c:pt idx="3">
                  <c:v>307.818592</c:v>
                </c:pt>
                <c:pt idx="4">
                  <c:v>163.166348</c:v>
                </c:pt>
                <c:pt idx="5">
                  <c:v>177.839207</c:v>
                </c:pt>
                <c:pt idx="6">
                  <c:v>230.059359</c:v>
                </c:pt>
                <c:pt idx="7">
                  <c:v>233.139276</c:v>
                </c:pt>
                <c:pt idx="8">
                  <c:v>2012.638730</c:v>
                </c:pt>
                <c:pt idx="9">
                  <c:v>262.450388</c:v>
                </c:pt>
                <c:pt idx="10">
                  <c:v>265.322670</c:v>
                </c:pt>
                <c:pt idx="11">
                  <c:v>238.503175</c:v>
                </c:pt>
              </c:numCache>
            </c:numRef>
          </c:val>
        </c:ser>
        <c:ser>
          <c:idx val="6"/>
          <c:order val="6"/>
          <c:tx>
            <c:strRef>
              <c:f>'Chart - Caraga'!$H$3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Caraga'!$H$4:$H$15</c:f>
              <c:numCache>
                <c:ptCount val="12"/>
                <c:pt idx="0">
                  <c:v>31.179826</c:v>
                </c:pt>
                <c:pt idx="1">
                  <c:v>35.643974</c:v>
                </c:pt>
                <c:pt idx="2">
                  <c:v>0.000000</c:v>
                </c:pt>
                <c:pt idx="3">
                  <c:v>41.526960</c:v>
                </c:pt>
                <c:pt idx="4">
                  <c:v>20.590451</c:v>
                </c:pt>
                <c:pt idx="5">
                  <c:v>28.203727</c:v>
                </c:pt>
                <c:pt idx="6">
                  <c:v>31.352855</c:v>
                </c:pt>
                <c:pt idx="7">
                  <c:v>29.553353</c:v>
                </c:pt>
                <c:pt idx="8">
                  <c:v>0.000000</c:v>
                </c:pt>
                <c:pt idx="9">
                  <c:v>23.635761</c:v>
                </c:pt>
                <c:pt idx="10">
                  <c:v>17.060659</c:v>
                </c:pt>
                <c:pt idx="11">
                  <c:v>27.269371</c:v>
                </c:pt>
              </c:numCache>
            </c:numRef>
          </c:val>
        </c:ser>
        <c:ser>
          <c:idx val="7"/>
          <c:order val="7"/>
          <c:tx>
            <c:strRef>
              <c:f>'Chart - Caraga'!$I$3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Caraga'!$A$4:$A$15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Caraga'!$I$4:$I$15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64.885875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19.863729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0590873"/>
          <c:y val="0.927336"/>
          <c:w val="0.951742"/>
          <c:h val="0.072663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BARMM</a:t>
            </a:r>
          </a:p>
        </c:rich>
      </c:tx>
      <c:layout>
        <c:manualLayout>
          <c:xMode val="edge"/>
          <c:yMode val="edge"/>
          <c:x val="0.25817"/>
          <c:y val="0"/>
          <c:w val="0.483661"/>
          <c:h val="0.08761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5313"/>
          <c:y val="0.0876112"/>
          <c:w val="0.911469"/>
          <c:h val="0.711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BARMM'!$B$3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BARMM'!$B$4:$B$15</c:f>
              <c:numCache>
                <c:ptCount val="12"/>
                <c:pt idx="0">
                  <c:v>80.271486</c:v>
                </c:pt>
                <c:pt idx="1">
                  <c:v>145.355892</c:v>
                </c:pt>
                <c:pt idx="2">
                  <c:v>17.538489</c:v>
                </c:pt>
                <c:pt idx="3">
                  <c:v>216.761057</c:v>
                </c:pt>
                <c:pt idx="4">
                  <c:v>17.732642</c:v>
                </c:pt>
                <c:pt idx="5">
                  <c:v>73.281978</c:v>
                </c:pt>
                <c:pt idx="6">
                  <c:v>60.273726</c:v>
                </c:pt>
                <c:pt idx="7">
                  <c:v>70.650126</c:v>
                </c:pt>
                <c:pt idx="8">
                  <c:v>77.531772</c:v>
                </c:pt>
                <c:pt idx="9">
                  <c:v>63.337029</c:v>
                </c:pt>
                <c:pt idx="10">
                  <c:v>49.271721</c:v>
                </c:pt>
                <c:pt idx="11">
                  <c:v>57.447721</c:v>
                </c:pt>
              </c:numCache>
            </c:numRef>
          </c:val>
        </c:ser>
        <c:ser>
          <c:idx val="1"/>
          <c:order val="1"/>
          <c:tx>
            <c:strRef>
              <c:f>'Chart - BARMM'!$C$3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BARMM'!$C$4:$C$15</c:f>
              <c:numCache>
                <c:ptCount val="12"/>
                <c:pt idx="0">
                  <c:v>16.351999</c:v>
                </c:pt>
                <c:pt idx="1">
                  <c:v>47.589062</c:v>
                </c:pt>
                <c:pt idx="2">
                  <c:v>5.522575</c:v>
                </c:pt>
                <c:pt idx="3">
                  <c:v>85.254747</c:v>
                </c:pt>
                <c:pt idx="4">
                  <c:v>10.872569</c:v>
                </c:pt>
                <c:pt idx="5">
                  <c:v>0.000000</c:v>
                </c:pt>
                <c:pt idx="6">
                  <c:v>18.466109</c:v>
                </c:pt>
                <c:pt idx="7">
                  <c:v>20.752800</c:v>
                </c:pt>
                <c:pt idx="8">
                  <c:v>49.314866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BARMM'!$D$3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BARMM'!$D$4:$D$15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22.025581</c:v>
                </c:pt>
                <c:pt idx="10">
                  <c:v>0.000000</c:v>
                </c:pt>
                <c:pt idx="11">
                  <c:v>19.846753</c:v>
                </c:pt>
              </c:numCache>
            </c:numRef>
          </c:val>
        </c:ser>
        <c:ser>
          <c:idx val="3"/>
          <c:order val="3"/>
          <c:tx>
            <c:strRef>
              <c:f>'Chart - BARMM'!$E$3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BARMM'!$E$4:$E$15</c:f>
              <c:numCache>
                <c:ptCount val="12"/>
                <c:pt idx="0">
                  <c:v>18.962278</c:v>
                </c:pt>
                <c:pt idx="1">
                  <c:v>0.000000</c:v>
                </c:pt>
                <c:pt idx="2">
                  <c:v>13.072970</c:v>
                </c:pt>
                <c:pt idx="3">
                  <c:v>230.222333</c:v>
                </c:pt>
                <c:pt idx="4">
                  <c:v>13.590711</c:v>
                </c:pt>
                <c:pt idx="5">
                  <c:v>29.791702</c:v>
                </c:pt>
                <c:pt idx="6">
                  <c:v>0.000000</c:v>
                </c:pt>
                <c:pt idx="7">
                  <c:v>24.161264</c:v>
                </c:pt>
                <c:pt idx="8">
                  <c:v>34.063068</c:v>
                </c:pt>
                <c:pt idx="9">
                  <c:v>23.514088</c:v>
                </c:pt>
                <c:pt idx="10">
                  <c:v>31.733232</c:v>
                </c:pt>
                <c:pt idx="11">
                  <c:v>21.529412</c:v>
                </c:pt>
              </c:numCache>
            </c:numRef>
          </c:val>
        </c:ser>
        <c:ser>
          <c:idx val="4"/>
          <c:order val="4"/>
          <c:tx>
            <c:strRef>
              <c:f>'Chart - BARMM'!$F$3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BARMM'!$F$4:$F$15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19.113286</c:v>
                </c:pt>
                <c:pt idx="3">
                  <c:v>185.696575</c:v>
                </c:pt>
                <c:pt idx="4">
                  <c:v>0.000000</c:v>
                </c:pt>
                <c:pt idx="5">
                  <c:v>27.763881</c:v>
                </c:pt>
                <c:pt idx="6">
                  <c:v>40.621126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'Chart - BARMM'!$G$3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BARMM'!$G$4:$G$15</c:f>
              <c:numCache>
                <c:ptCount val="12"/>
                <c:pt idx="0">
                  <c:v>283.139817</c:v>
                </c:pt>
                <c:pt idx="1">
                  <c:v>185.804437</c:v>
                </c:pt>
                <c:pt idx="2">
                  <c:v>77.574917</c:v>
                </c:pt>
                <c:pt idx="3">
                  <c:v>954.715103</c:v>
                </c:pt>
                <c:pt idx="4">
                  <c:v>58.159615</c:v>
                </c:pt>
                <c:pt idx="5">
                  <c:v>140.933518</c:v>
                </c:pt>
                <c:pt idx="6">
                  <c:v>285.253927</c:v>
                </c:pt>
                <c:pt idx="7">
                  <c:v>302.166812</c:v>
                </c:pt>
                <c:pt idx="8">
                  <c:v>296.730528</c:v>
                </c:pt>
                <c:pt idx="9">
                  <c:v>368.653434</c:v>
                </c:pt>
                <c:pt idx="10">
                  <c:v>320.417196</c:v>
                </c:pt>
                <c:pt idx="11">
                  <c:v>309.954506</c:v>
                </c:pt>
              </c:numCache>
            </c:numRef>
          </c:val>
        </c:ser>
        <c:ser>
          <c:idx val="6"/>
          <c:order val="6"/>
          <c:tx>
            <c:strRef>
              <c:f>'Chart - BARMM'!$H$3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BARMM'!$H$4:$H$15</c:f>
              <c:numCache>
                <c:ptCount val="12"/>
                <c:pt idx="0">
                  <c:v>75.935402</c:v>
                </c:pt>
                <c:pt idx="1">
                  <c:v>0.000000</c:v>
                </c:pt>
                <c:pt idx="2">
                  <c:v>0.000000</c:v>
                </c:pt>
                <c:pt idx="3">
                  <c:v>623.015460</c:v>
                </c:pt>
                <c:pt idx="4">
                  <c:v>30.072145</c:v>
                </c:pt>
                <c:pt idx="5">
                  <c:v>56.735826</c:v>
                </c:pt>
                <c:pt idx="6">
                  <c:v>97.529532</c:v>
                </c:pt>
                <c:pt idx="7">
                  <c:v>103.224687</c:v>
                </c:pt>
                <c:pt idx="8">
                  <c:v>116.750681</c:v>
                </c:pt>
                <c:pt idx="9">
                  <c:v>116.254512</c:v>
                </c:pt>
                <c:pt idx="10">
                  <c:v>61.913240</c:v>
                </c:pt>
                <c:pt idx="11">
                  <c:v>67.327952</c:v>
                </c:pt>
              </c:numCache>
            </c:numRef>
          </c:val>
        </c:ser>
        <c:ser>
          <c:idx val="7"/>
          <c:order val="7"/>
          <c:tx>
            <c:strRef>
              <c:f>'Chart - BARMM'!$I$3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BARMM'!$A$4:$A$15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BARMM'!$I$4:$I$15</c:f>
              <c:numCache>
                <c:ptCount val="12"/>
                <c:pt idx="0">
                  <c:v>11.864907</c:v>
                </c:pt>
                <c:pt idx="1">
                  <c:v>11.670754</c:v>
                </c:pt>
                <c:pt idx="2">
                  <c:v>0.000000</c:v>
                </c:pt>
                <c:pt idx="3">
                  <c:v>181.899805</c:v>
                </c:pt>
                <c:pt idx="4">
                  <c:v>0.000000</c:v>
                </c:pt>
                <c:pt idx="5">
                  <c:v>0.000000</c:v>
                </c:pt>
                <c:pt idx="6">
                  <c:v>26.059649</c:v>
                </c:pt>
                <c:pt idx="7">
                  <c:v>26.771544</c:v>
                </c:pt>
                <c:pt idx="8">
                  <c:v>34.041496</c:v>
                </c:pt>
                <c:pt idx="9">
                  <c:v>55.937642</c:v>
                </c:pt>
                <c:pt idx="10">
                  <c:v>0.000000</c:v>
                </c:pt>
                <c:pt idx="11">
                  <c:v>29.317106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4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000"/>
        <c:minorUnit val="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0590873"/>
          <c:y val="0.927336"/>
          <c:w val="0.951742"/>
          <c:h val="0.072663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Arial"/>
              </a:rPr>
              <a:t>Monthly Incidence Rate (per 100k) — NIR</a:t>
            </a:r>
          </a:p>
        </c:rich>
      </c:tx>
      <c:layout>
        <c:manualLayout>
          <c:xMode val="edge"/>
          <c:yMode val="edge"/>
          <c:x val="0.28844"/>
          <c:y val="0"/>
          <c:w val="0.42312"/>
          <c:h val="0.085052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77267"/>
          <c:y val="0.0850527"/>
          <c:w val="0.907273"/>
          <c:h val="0.6907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- NIR'!$B$3</c:f>
              <c:strCache>
                <c:ptCount val="1"/>
                <c:pt idx="0">
                  <c:v>Cardiovascular Diseases</c:v>
                </c:pt>
              </c:strCache>
            </c:strRef>
          </c:tx>
          <c:spPr>
            <a:solidFill>
              <a:srgbClr val="1F3864"/>
            </a:solidFill>
            <a:ln w="12600" cap="flat">
              <a:solidFill>
                <a:srgbClr val="1F3864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NIR'!$B$4:$B$15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'Chart - NIR'!$C$3</c:f>
              <c:strCache>
                <c:ptCount val="1"/>
                <c:pt idx="0">
                  <c:v>Digestive &amp; Metabolic Disorders</c:v>
                </c:pt>
              </c:strCache>
            </c:strRef>
          </c:tx>
          <c:spPr>
            <a:solidFill>
              <a:srgbClr val="548235"/>
            </a:solidFill>
            <a:ln w="12600" cap="flat">
              <a:solidFill>
                <a:srgbClr val="548235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NIR'!$C$4:$C$15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'Chart - NIR'!$D$3</c:f>
              <c:strCache>
                <c:ptCount val="1"/>
                <c:pt idx="0">
                  <c:v>Genitourinary &amp; Reproductive Health</c:v>
                </c:pt>
              </c:strCache>
            </c:strRef>
          </c:tx>
          <c:spPr>
            <a:solidFill>
              <a:srgbClr val="7030A0"/>
            </a:solidFill>
            <a:ln w="12600" cap="flat">
              <a:solidFill>
                <a:srgbClr val="7030A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NIR'!$D$4:$D$15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'Chart - NIR'!$E$3</c:f>
              <c:strCache>
                <c:ptCount val="1"/>
                <c:pt idx="0">
                  <c:v>Infectious &amp; Parasitic Diseases</c:v>
                </c:pt>
              </c:strCache>
            </c:strRef>
          </c:tx>
          <c:spPr>
            <a:solidFill>
              <a:srgbClr val="2E75B6"/>
            </a:solidFill>
            <a:ln w="12600" cap="flat">
              <a:solidFill>
                <a:srgbClr val="2E75B6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NIR'!$E$4:$E$15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'Chart - NIR'!$F$3</c:f>
              <c:strCache>
                <c:ptCount val="1"/>
                <c:pt idx="0">
                  <c:v>Injuries &amp; External Causes</c:v>
                </c:pt>
              </c:strCache>
            </c:strRef>
          </c:tx>
          <c:spPr>
            <a:solidFill>
              <a:srgbClr val="ED7D31"/>
            </a:solidFill>
            <a:ln w="12600" cap="flat">
              <a:solidFill>
                <a:srgbClr val="ED7D31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NIR'!$F$4:$F$15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'Chart - NIR'!$G$3</c:f>
              <c:strCache>
                <c:ptCount val="1"/>
                <c:pt idx="0">
                  <c:v>Musculoskeletal Diseases</c:v>
                </c:pt>
              </c:strCache>
            </c:strRef>
          </c:tx>
          <c:spPr>
            <a:solidFill>
              <a:srgbClr val="8B4513"/>
            </a:solidFill>
            <a:ln w="12600" cap="flat">
              <a:solidFill>
                <a:srgbClr val="8B4513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NIR'!$G$4:$G$15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'Chart - NIR'!$H$3</c:f>
              <c:strCache>
                <c:ptCount val="1"/>
                <c:pt idx="0">
                  <c:v>Respiratory Diseases</c:v>
                </c:pt>
              </c:strCache>
            </c:strRef>
          </c:tx>
          <c:spPr>
            <a:solidFill>
              <a:srgbClr val="C00000"/>
            </a:solidFill>
            <a:ln w="12600" cap="flat">
              <a:solidFill>
                <a:srgbClr val="C0000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NIR'!$H$4:$H$15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7"/>
          <c:order val="7"/>
          <c:tx>
            <c:strRef>
              <c:f>'Chart - NIR'!$I$3</c:f>
              <c:strCache>
                <c:ptCount val="1"/>
                <c:pt idx="0">
                  <c:v>Skin &amp; Soft Tissue Diseases</c:v>
                </c:pt>
              </c:strCache>
            </c:strRef>
          </c:tx>
          <c:spPr>
            <a:solidFill>
              <a:srgbClr val="C586C0"/>
            </a:solidFill>
            <a:ln w="12600" cap="flat">
              <a:solidFill>
                <a:srgbClr val="C586C0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NIR'!$I$4:$I$15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'Chart - NIR'!$J$3</c:f>
              <c:strCache>
                <c:ptCount val="1"/>
                <c:pt idx="0">
                  <c:v>Symptoms &amp; Other Findings</c:v>
                </c:pt>
              </c:strCache>
            </c:strRef>
          </c:tx>
          <c:spPr>
            <a:solidFill>
              <a:srgbClr val="FFE699"/>
            </a:solidFill>
            <a:ln w="12600" cap="flat">
              <a:solidFill>
                <a:srgbClr val="FFE699"/>
              </a:solidFill>
              <a:prstDash val="solid"/>
              <a:round/>
            </a:ln>
            <a:effectLst/>
          </c:spPr>
          <c:invertIfNegative val="0"/>
          <c:dLbls>
            <c:numFmt formatCode="#,##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- NIR'!$A$4:$A$15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- NIR'!$J$4:$J$15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6000"/>
        </c:scaling>
        <c:delete val="0"/>
        <c:axPos val="l"/>
        <c:majorGridlines>
          <c:spPr>
            <a:ln w="12700" cap="flat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trike="noStrike" sz="1000" u="none">
                    <a:solidFill>
                      <a:srgbClr val="000000"/>
                    </a:solidFill>
                    <a:latin typeface="Arial"/>
                  </a:rPr>
                  <a:t>Incidence Rate (per 100k)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8B8B8B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4000"/>
        <c:minorUnit val="20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359757"/>
          <c:y val="0.89989"/>
          <c:w val="0.922956"/>
          <c:h val="0.1001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</Relationships>
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</Relationships>
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</Relationships>
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4.xml"/></Relationships>
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5.xml"/></Relationships>
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18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9</xdr:col>
      <xdr:colOff>422060</xdr:colOff>
      <xdr:row>44</xdr:row>
      <xdr:rowOff>67655</xdr:rowOff>
    </xdr:to>
    <xdr:graphicFrame>
      <xdr:nvGraphicFramePr>
        <xdr:cNvPr id="2" name="Chart 1"/>
        <xdr:cNvGraphicFramePr/>
      </xdr:nvGraphicFramePr>
      <xdr:xfrm>
        <a:off x="536423" y="3584990"/>
        <a:ext cx="10147238" cy="450589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607055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4" name="Chart 1"/>
        <xdr:cNvGraphicFramePr/>
      </xdr:nvGraphicFramePr>
      <xdr:xfrm>
        <a:off x="607055" y="3584990"/>
        <a:ext cx="10119165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430507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6" name="Chart 1"/>
        <xdr:cNvGraphicFramePr/>
      </xdr:nvGraphicFramePr>
      <xdr:xfrm>
        <a:off x="430507" y="3584990"/>
        <a:ext cx="10295713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8" name="Chart 1"/>
        <xdr:cNvGraphicFramePr/>
      </xdr:nvGraphicFramePr>
      <xdr:xfrm>
        <a:off x="536423" y="3584990"/>
        <a:ext cx="1018979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10" name="Chart 1"/>
        <xdr:cNvGraphicFramePr/>
      </xdr:nvGraphicFramePr>
      <xdr:xfrm>
        <a:off x="536423" y="3584990"/>
        <a:ext cx="1018979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12" name="Chart 1"/>
        <xdr:cNvGraphicFramePr/>
      </xdr:nvGraphicFramePr>
      <xdr:xfrm>
        <a:off x="536423" y="3584990"/>
        <a:ext cx="1018979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14" name="Chart 1"/>
        <xdr:cNvGraphicFramePr/>
      </xdr:nvGraphicFramePr>
      <xdr:xfrm>
        <a:off x="536423" y="3584990"/>
        <a:ext cx="1018979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16" name="Chart 1"/>
        <xdr:cNvGraphicFramePr/>
      </xdr:nvGraphicFramePr>
      <xdr:xfrm>
        <a:off x="536423" y="3584990"/>
        <a:ext cx="1018979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44</xdr:row>
      <xdr:rowOff>67655</xdr:rowOff>
    </xdr:to>
    <xdr:graphicFrame>
      <xdr:nvGraphicFramePr>
        <xdr:cNvPr id="18" name="Chart 1"/>
        <xdr:cNvGraphicFramePr/>
      </xdr:nvGraphicFramePr>
      <xdr:xfrm>
        <a:off x="536423" y="3584990"/>
        <a:ext cx="10189797" cy="450589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43</xdr:row>
      <xdr:rowOff>139700</xdr:rowOff>
    </xdr:to>
    <xdr:graphicFrame>
      <xdr:nvGraphicFramePr>
        <xdr:cNvPr id="20" name="Chart 1"/>
        <xdr:cNvGraphicFramePr/>
      </xdr:nvGraphicFramePr>
      <xdr:xfrm>
        <a:off x="536423" y="3584990"/>
        <a:ext cx="10189797" cy="4387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430507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22" name="Chart 1"/>
        <xdr:cNvGraphicFramePr/>
      </xdr:nvGraphicFramePr>
      <xdr:xfrm>
        <a:off x="430507" y="3584990"/>
        <a:ext cx="10295713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24" name="Chart 1"/>
        <xdr:cNvGraphicFramePr/>
      </xdr:nvGraphicFramePr>
      <xdr:xfrm>
        <a:off x="536423" y="3584990"/>
        <a:ext cx="1018979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26" name="Chart 1"/>
        <xdr:cNvGraphicFramePr/>
      </xdr:nvGraphicFramePr>
      <xdr:xfrm>
        <a:off x="536423" y="3584990"/>
        <a:ext cx="1018979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44</xdr:row>
      <xdr:rowOff>67655</xdr:rowOff>
    </xdr:to>
    <xdr:graphicFrame>
      <xdr:nvGraphicFramePr>
        <xdr:cNvPr id="28" name="Chart 1"/>
        <xdr:cNvGraphicFramePr/>
      </xdr:nvGraphicFramePr>
      <xdr:xfrm>
        <a:off x="536423" y="3584990"/>
        <a:ext cx="10189797" cy="450589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430507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30" name="Chart 1"/>
        <xdr:cNvGraphicFramePr/>
      </xdr:nvGraphicFramePr>
      <xdr:xfrm>
        <a:off x="430507" y="3584990"/>
        <a:ext cx="10295713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44</xdr:row>
      <xdr:rowOff>67655</xdr:rowOff>
    </xdr:to>
    <xdr:graphicFrame>
      <xdr:nvGraphicFramePr>
        <xdr:cNvPr id="32" name="Chart 1"/>
        <xdr:cNvGraphicFramePr/>
      </xdr:nvGraphicFramePr>
      <xdr:xfrm>
        <a:off x="536423" y="3584990"/>
        <a:ext cx="10189797" cy="450589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536423</xdr:colOff>
      <xdr:row>18</xdr:row>
      <xdr:rowOff>86140</xdr:rowOff>
    </xdr:from>
    <xdr:to>
      <xdr:col>8</xdr:col>
      <xdr:colOff>1125019</xdr:colOff>
      <xdr:row>44</xdr:row>
      <xdr:rowOff>67655</xdr:rowOff>
    </xdr:to>
    <xdr:graphicFrame>
      <xdr:nvGraphicFramePr>
        <xdr:cNvPr id="34" name="Chart 1"/>
        <xdr:cNvGraphicFramePr/>
      </xdr:nvGraphicFramePr>
      <xdr:xfrm>
        <a:off x="536423" y="3584990"/>
        <a:ext cx="10189797" cy="450589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218613</xdr:colOff>
      <xdr:row>18</xdr:row>
      <xdr:rowOff>86140</xdr:rowOff>
    </xdr:from>
    <xdr:to>
      <xdr:col>8</xdr:col>
      <xdr:colOff>1125019</xdr:colOff>
      <xdr:row>45</xdr:row>
      <xdr:rowOff>12700</xdr:rowOff>
    </xdr:to>
    <xdr:graphicFrame>
      <xdr:nvGraphicFramePr>
        <xdr:cNvPr id="36" name="Chart 1"/>
        <xdr:cNvGraphicFramePr/>
      </xdr:nvGraphicFramePr>
      <xdr:xfrm>
        <a:off x="218613" y="3584990"/>
        <a:ext cx="10507607" cy="464143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sa.gov.ph/system/files/phcd/2022-12/Cities%2520and%2520Municipalities%2520Population%2520Projections_2015CBPP_Phils.pdf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 showGridLines="0" defaultGridColor="1"/>
  </sheetViews>
  <sheetFormatPr defaultColWidth="12.6667" defaultRowHeight="15.75" customHeight="1" outlineLevelRow="0" outlineLevelCol="0"/>
  <cols>
    <col min="1" max="7" width="12.6719" style="1" customWidth="1"/>
    <col min="8" max="16384" width="12.6719" style="1" customWidth="1"/>
  </cols>
  <sheetData>
    <row r="1" ht="15" customHeight="1">
      <c r="A1" t="s" s="2">
        <v>0</v>
      </c>
      <c r="B1" s="3">
        <v>115377992</v>
      </c>
      <c r="C1" s="4"/>
      <c r="D1" s="4"/>
      <c r="E1" s="4"/>
      <c r="F1" t="s" s="2">
        <v>1</v>
      </c>
      <c r="G1" t="s" s="5">
        <v>2</v>
      </c>
    </row>
    <row r="2" ht="14.6" customHeight="1">
      <c r="A2" t="s" s="2">
        <v>3</v>
      </c>
      <c r="B2" s="3">
        <v>14521657</v>
      </c>
      <c r="C2" s="4"/>
      <c r="D2" s="4"/>
      <c r="E2" s="4"/>
      <c r="F2" t="s" s="2">
        <v>4</v>
      </c>
      <c r="G2" s="4"/>
    </row>
    <row r="3" ht="14.6" customHeight="1">
      <c r="A3" t="s" s="2">
        <v>5</v>
      </c>
      <c r="B3" s="3">
        <v>1874281</v>
      </c>
      <c r="C3" s="4"/>
      <c r="D3" s="4"/>
      <c r="E3" s="4"/>
      <c r="F3" t="s" s="2">
        <v>6</v>
      </c>
      <c r="G3" s="4"/>
    </row>
    <row r="4" ht="14.6" customHeight="1">
      <c r="A4" t="s" s="2">
        <v>7</v>
      </c>
      <c r="B4" s="3">
        <v>5458063</v>
      </c>
      <c r="C4" s="4"/>
      <c r="D4" s="4"/>
      <c r="E4" s="4"/>
      <c r="F4" s="4"/>
      <c r="G4" s="4"/>
    </row>
    <row r="5" ht="14.6" customHeight="1">
      <c r="A5" t="s" s="2">
        <v>8</v>
      </c>
      <c r="B5" s="3">
        <v>3817144</v>
      </c>
      <c r="C5" s="4"/>
      <c r="D5" s="4"/>
      <c r="E5" s="4"/>
      <c r="F5" s="4"/>
      <c r="G5" s="4"/>
    </row>
    <row r="6" ht="14.6" customHeight="1">
      <c r="A6" t="s" s="2">
        <v>9</v>
      </c>
      <c r="B6" s="3">
        <v>13239670</v>
      </c>
      <c r="C6" s="4"/>
      <c r="D6" s="4"/>
      <c r="E6" s="4"/>
      <c r="F6" s="4"/>
      <c r="G6" s="4"/>
    </row>
    <row r="7" ht="14.6" customHeight="1">
      <c r="A7" t="s" s="2">
        <v>10</v>
      </c>
      <c r="B7" s="3">
        <v>17477569</v>
      </c>
      <c r="C7" s="4"/>
      <c r="D7" s="4"/>
      <c r="E7" s="4"/>
      <c r="F7" s="4"/>
      <c r="G7" s="4"/>
    </row>
    <row r="8" ht="14.6" customHeight="1">
      <c r="A8" t="s" s="2">
        <v>11</v>
      </c>
      <c r="B8" s="3">
        <v>3342831</v>
      </c>
      <c r="C8" s="4"/>
      <c r="D8" s="4"/>
      <c r="E8" s="4"/>
      <c r="F8" s="4"/>
      <c r="G8" s="4"/>
    </row>
    <row r="9" ht="14.6" customHeight="1">
      <c r="A9" t="s" s="2">
        <v>12</v>
      </c>
      <c r="B9" s="3">
        <v>6397690</v>
      </c>
      <c r="C9" s="4"/>
      <c r="D9" s="4"/>
      <c r="E9" s="4"/>
      <c r="F9" s="4"/>
      <c r="G9" s="4"/>
    </row>
    <row r="10" ht="14.6" customHeight="1">
      <c r="A10" t="s" s="2">
        <v>13</v>
      </c>
      <c r="B10" s="3">
        <v>8201699</v>
      </c>
      <c r="C10" s="4"/>
      <c r="D10" s="4"/>
      <c r="E10" s="4"/>
      <c r="F10" s="4"/>
      <c r="G10" s="4"/>
    </row>
    <row r="11" ht="14.6" customHeight="1">
      <c r="A11" t="s" s="2">
        <v>14</v>
      </c>
      <c r="B11" s="3">
        <v>8391707</v>
      </c>
      <c r="C11" s="4"/>
      <c r="D11" s="4"/>
      <c r="E11" s="4"/>
      <c r="F11" s="4"/>
      <c r="G11" s="4"/>
    </row>
    <row r="12" ht="14.6" customHeight="1">
      <c r="A12" t="s" s="2">
        <v>15</v>
      </c>
      <c r="B12" s="3">
        <v>5049226</v>
      </c>
      <c r="C12" s="4"/>
      <c r="D12" s="4"/>
      <c r="E12" s="4"/>
      <c r="F12" s="4"/>
      <c r="G12" s="4"/>
    </row>
    <row r="13" ht="14.6" customHeight="1">
      <c r="A13" t="s" s="2">
        <v>16</v>
      </c>
      <c r="B13" s="3">
        <v>3901529</v>
      </c>
      <c r="C13" s="4"/>
      <c r="D13" s="4"/>
      <c r="E13" s="4"/>
      <c r="F13" s="4"/>
      <c r="G13" s="4"/>
    </row>
    <row r="14" ht="14.6" customHeight="1">
      <c r="A14" t="s" s="2">
        <v>17</v>
      </c>
      <c r="B14" s="3">
        <v>5273604</v>
      </c>
      <c r="C14" s="4"/>
      <c r="D14" s="4"/>
      <c r="E14" s="4"/>
      <c r="F14" s="4"/>
      <c r="G14" s="4"/>
    </row>
    <row r="15" ht="14.6" customHeight="1">
      <c r="A15" t="s" s="2">
        <v>18</v>
      </c>
      <c r="B15" s="3">
        <v>5691183</v>
      </c>
      <c r="C15" s="4"/>
      <c r="D15" s="4"/>
      <c r="E15" s="4"/>
      <c r="F15" s="4"/>
      <c r="G15" s="4"/>
    </row>
    <row r="16" ht="14.6" customHeight="1">
      <c r="A16" t="s" s="2">
        <v>19</v>
      </c>
      <c r="B16" s="3">
        <v>5214931</v>
      </c>
      <c r="C16" s="4"/>
      <c r="D16" s="4"/>
      <c r="E16" s="4"/>
      <c r="F16" s="4"/>
      <c r="G16" s="4"/>
    </row>
    <row r="17" ht="14.6" customHeight="1">
      <c r="A17" t="s" s="2">
        <v>20</v>
      </c>
      <c r="B17" s="3">
        <v>2889689</v>
      </c>
      <c r="C17" s="4"/>
      <c r="D17" s="4"/>
      <c r="E17" s="4"/>
      <c r="F17" s="4"/>
      <c r="G17" s="4"/>
    </row>
    <row r="18" ht="14.6" customHeight="1">
      <c r="A18" t="s" s="2">
        <v>21</v>
      </c>
      <c r="B18" s="3">
        <v>4635519</v>
      </c>
      <c r="C18" s="4"/>
      <c r="D18" s="4"/>
      <c r="E18" s="4"/>
      <c r="F18" s="4"/>
      <c r="G18" s="4"/>
    </row>
    <row r="19" ht="14.6" customHeight="1">
      <c r="A19" s="4"/>
      <c r="B19" s="3"/>
      <c r="C19" s="4"/>
      <c r="D19" s="4"/>
      <c r="E19" s="4"/>
      <c r="F19" s="4"/>
      <c r="G19" s="4"/>
    </row>
  </sheetData>
  <hyperlinks>
    <hyperlink ref="G1" r:id="rId1" location="" tooltip="" display="https://psa.gov.ph/system/files/phcd/2022-12/Cities%2520and%2520Municipalities%2520Population%2520Projections_2015CBPP_Phils.pdf"/>
  </hyperlink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4303"/>
  <sheetViews>
    <sheetView workbookViewId="0" showGridLines="0" defaultGridColor="1"/>
  </sheetViews>
  <sheetFormatPr defaultColWidth="12.6667" defaultRowHeight="15.75" customHeight="1" outlineLevelRow="0" outlineLevelCol="0"/>
  <cols>
    <col min="1" max="7" width="12.6719" style="6" customWidth="1"/>
    <col min="8" max="8" width="17.3516" style="6" customWidth="1"/>
    <col min="9" max="16384" width="12.6719" style="6" customWidth="1"/>
  </cols>
  <sheetData>
    <row r="1" ht="13" customHeight="1">
      <c r="A1" t="s" s="7">
        <v>22</v>
      </c>
      <c r="B1" t="s" s="7">
        <v>23</v>
      </c>
      <c r="C1" t="s" s="7">
        <v>24</v>
      </c>
      <c r="D1" t="s" s="7">
        <v>25</v>
      </c>
      <c r="E1" t="s" s="7">
        <v>26</v>
      </c>
      <c r="F1" t="s" s="7">
        <v>27</v>
      </c>
      <c r="G1" t="s" s="7">
        <v>28</v>
      </c>
      <c r="H1" t="s" s="7">
        <v>29</v>
      </c>
    </row>
    <row r="2" ht="13" customHeight="1">
      <c r="A2" s="8">
        <v>1</v>
      </c>
      <c r="B2" t="s" s="9">
        <v>30</v>
      </c>
      <c r="C2" t="s" s="9">
        <v>31</v>
      </c>
      <c r="D2" t="s" s="9">
        <v>32</v>
      </c>
      <c r="E2" t="s" s="9">
        <v>33</v>
      </c>
      <c r="F2" s="10">
        <v>4447</v>
      </c>
      <c r="G2" s="10">
        <v>14521657</v>
      </c>
      <c r="H2" s="11" cm="1">
        <f t="array" ref="H2">F2/G2*100000</f>
        <v>30.6232270876526</v>
      </c>
    </row>
    <row r="3" ht="13" customHeight="1">
      <c r="A3" s="8">
        <v>2</v>
      </c>
      <c r="B3" t="s" s="9">
        <v>34</v>
      </c>
      <c r="C3" t="s" s="9">
        <v>31</v>
      </c>
      <c r="D3" t="s" s="9">
        <v>32</v>
      </c>
      <c r="E3" t="s" s="9">
        <v>33</v>
      </c>
      <c r="F3" s="10">
        <v>3297</v>
      </c>
      <c r="G3" s="10">
        <v>14521657</v>
      </c>
      <c r="H3" s="11" cm="1">
        <f t="array" ref="H3">F3/G3*100000</f>
        <v>22.704020622440</v>
      </c>
    </row>
    <row r="4" ht="13" customHeight="1">
      <c r="A4" s="8">
        <v>3</v>
      </c>
      <c r="B4" t="s" s="9">
        <v>30</v>
      </c>
      <c r="C4" t="s" s="9">
        <v>31</v>
      </c>
      <c r="D4" t="s" s="9">
        <v>32</v>
      </c>
      <c r="E4" t="s" s="9">
        <v>33</v>
      </c>
      <c r="F4" s="10">
        <v>3344</v>
      </c>
      <c r="G4" s="10">
        <v>14521657</v>
      </c>
      <c r="H4" s="11" cm="1">
        <f t="array" ref="H4">F4/G4*100000</f>
        <v>23.027675147540</v>
      </c>
    </row>
    <row r="5" ht="13" customHeight="1">
      <c r="A5" s="8">
        <v>4</v>
      </c>
      <c r="B5" t="s" s="9">
        <v>35</v>
      </c>
      <c r="C5" t="s" s="9">
        <v>31</v>
      </c>
      <c r="D5" t="s" s="9">
        <v>32</v>
      </c>
      <c r="E5" t="s" s="9">
        <v>33</v>
      </c>
      <c r="F5" s="10">
        <v>2842</v>
      </c>
      <c r="G5" s="10">
        <v>14521657</v>
      </c>
      <c r="H5" s="11" cm="1">
        <f t="array" ref="H5">F5/G5*100000</f>
        <v>19.5707693688124</v>
      </c>
    </row>
    <row r="6" ht="13" customHeight="1">
      <c r="A6" s="8">
        <v>5</v>
      </c>
      <c r="B6" t="s" s="9">
        <v>30</v>
      </c>
      <c r="C6" t="s" s="9">
        <v>31</v>
      </c>
      <c r="D6" t="s" s="9">
        <v>32</v>
      </c>
      <c r="E6" t="s" s="9">
        <v>33</v>
      </c>
      <c r="F6" s="10">
        <v>1360</v>
      </c>
      <c r="G6" s="10">
        <v>14521657</v>
      </c>
      <c r="H6" s="11" cm="1">
        <f t="array" ref="H6">F6/G6*100000</f>
        <v>9.365322428425349</v>
      </c>
    </row>
    <row r="7" ht="13" customHeight="1">
      <c r="A7" s="8">
        <v>6</v>
      </c>
      <c r="B7" t="s" s="9">
        <v>34</v>
      </c>
      <c r="C7" t="s" s="9">
        <v>31</v>
      </c>
      <c r="D7" t="s" s="9">
        <v>32</v>
      </c>
      <c r="E7" t="s" s="9">
        <v>33</v>
      </c>
      <c r="F7" s="10">
        <v>767</v>
      </c>
      <c r="G7" s="10">
        <v>14521657</v>
      </c>
      <c r="H7" s="11" cm="1">
        <f t="array" ref="H7">F7/G7*100000</f>
        <v>5.28176639897224</v>
      </c>
    </row>
    <row r="8" ht="13" customHeight="1">
      <c r="A8" s="8">
        <v>7</v>
      </c>
      <c r="B8" t="s" s="9">
        <v>36</v>
      </c>
      <c r="C8" t="s" s="9">
        <v>31</v>
      </c>
      <c r="D8" t="s" s="9">
        <v>32</v>
      </c>
      <c r="E8" t="s" s="9">
        <v>33</v>
      </c>
      <c r="F8" s="10">
        <v>733</v>
      </c>
      <c r="G8" s="10">
        <v>14521657</v>
      </c>
      <c r="H8" s="11" cm="1">
        <f t="array" ref="H8">F8/G8*100000</f>
        <v>5.0476333382616</v>
      </c>
    </row>
    <row r="9" ht="13" customHeight="1">
      <c r="A9" s="8">
        <v>8</v>
      </c>
      <c r="B9" t="s" s="9">
        <v>30</v>
      </c>
      <c r="C9" t="s" s="9">
        <v>31</v>
      </c>
      <c r="D9" t="s" s="9">
        <v>32</v>
      </c>
      <c r="E9" t="s" s="9">
        <v>33</v>
      </c>
      <c r="F9" s="10">
        <v>757</v>
      </c>
      <c r="G9" s="10">
        <v>14521657</v>
      </c>
      <c r="H9" s="11" cm="1">
        <f t="array" ref="H9">F9/G9*100000</f>
        <v>5.21290373405735</v>
      </c>
    </row>
    <row r="10" ht="13" customHeight="1">
      <c r="A10" s="8">
        <v>9</v>
      </c>
      <c r="B10" t="s" s="9">
        <v>30</v>
      </c>
      <c r="C10" t="s" s="9">
        <v>31</v>
      </c>
      <c r="D10" t="s" s="9">
        <v>32</v>
      </c>
      <c r="E10" t="s" s="9">
        <v>33</v>
      </c>
      <c r="F10" s="10">
        <v>727</v>
      </c>
      <c r="G10" s="10">
        <v>14521657</v>
      </c>
      <c r="H10" s="11" cm="1">
        <f t="array" ref="H10">F10/G10*100000</f>
        <v>5.00631573931267</v>
      </c>
    </row>
    <row r="11" ht="13" customHeight="1">
      <c r="A11" s="8">
        <v>10</v>
      </c>
      <c r="B11" t="s" s="9">
        <v>37</v>
      </c>
      <c r="C11" t="s" s="9">
        <v>31</v>
      </c>
      <c r="D11" t="s" s="9">
        <v>32</v>
      </c>
      <c r="E11" t="s" s="9">
        <v>33</v>
      </c>
      <c r="F11" s="10">
        <v>644</v>
      </c>
      <c r="G11" s="10">
        <v>14521657</v>
      </c>
      <c r="H11" s="11" cm="1">
        <f t="array" ref="H11">F11/G11*100000</f>
        <v>4.43475562051906</v>
      </c>
    </row>
    <row r="12" ht="13" customHeight="1">
      <c r="A12" s="8">
        <v>1</v>
      </c>
      <c r="B12" t="s" s="9">
        <v>30</v>
      </c>
      <c r="C12" t="s" s="9">
        <v>31</v>
      </c>
      <c r="D12" t="s" s="9">
        <v>38</v>
      </c>
      <c r="E12" t="s" s="9">
        <v>33</v>
      </c>
      <c r="F12" s="10">
        <v>7737</v>
      </c>
      <c r="G12" s="10">
        <v>1874281</v>
      </c>
      <c r="H12" s="11" cm="1">
        <f t="array" ref="H12">F12/G12*100000</f>
        <v>412.798294385954</v>
      </c>
    </row>
    <row r="13" ht="13" customHeight="1">
      <c r="A13" s="8">
        <v>2</v>
      </c>
      <c r="B13" t="s" s="9">
        <v>34</v>
      </c>
      <c r="C13" t="s" s="9">
        <v>31</v>
      </c>
      <c r="D13" t="s" s="9">
        <v>38</v>
      </c>
      <c r="E13" t="s" s="9">
        <v>33</v>
      </c>
      <c r="F13" s="10">
        <v>3088</v>
      </c>
      <c r="G13" s="10">
        <v>1874281</v>
      </c>
      <c r="H13" s="11" cm="1">
        <f t="array" ref="H13">F13/G13*100000</f>
        <v>164.756511963788</v>
      </c>
    </row>
    <row r="14" ht="13" customHeight="1">
      <c r="A14" s="8">
        <v>3</v>
      </c>
      <c r="B14" t="s" s="9">
        <v>30</v>
      </c>
      <c r="C14" t="s" s="9">
        <v>31</v>
      </c>
      <c r="D14" t="s" s="9">
        <v>38</v>
      </c>
      <c r="E14" t="s" s="9">
        <v>33</v>
      </c>
      <c r="F14" s="10">
        <v>998</v>
      </c>
      <c r="G14" s="10">
        <v>1874281</v>
      </c>
      <c r="H14" s="11" cm="1">
        <f t="array" ref="H14">F14/G14*100000</f>
        <v>53.2470851489184</v>
      </c>
    </row>
    <row r="15" ht="13" customHeight="1">
      <c r="A15" s="8">
        <v>4</v>
      </c>
      <c r="B15" t="s" s="9">
        <v>39</v>
      </c>
      <c r="C15" t="s" s="9">
        <v>31</v>
      </c>
      <c r="D15" t="s" s="9">
        <v>38</v>
      </c>
      <c r="E15" t="s" s="9">
        <v>33</v>
      </c>
      <c r="F15" s="10">
        <v>0</v>
      </c>
      <c r="G15" s="10">
        <v>1874281</v>
      </c>
      <c r="H15" s="11" cm="1">
        <f t="array" ref="H15">F15/G15*100000</f>
        <v>0</v>
      </c>
    </row>
    <row r="16" ht="13" customHeight="1">
      <c r="A16" s="8">
        <v>5</v>
      </c>
      <c r="B16" t="s" s="9">
        <v>35</v>
      </c>
      <c r="C16" t="s" s="9">
        <v>31</v>
      </c>
      <c r="D16" t="s" s="9">
        <v>38</v>
      </c>
      <c r="E16" t="s" s="9">
        <v>33</v>
      </c>
      <c r="F16" s="10">
        <v>1137</v>
      </c>
      <c r="G16" s="10">
        <v>1874281</v>
      </c>
      <c r="H16" s="11" cm="1">
        <f t="array" ref="H16">F16/G16*100000</f>
        <v>60.6632623389983</v>
      </c>
    </row>
    <row r="17" ht="13" customHeight="1">
      <c r="A17" s="8">
        <v>6</v>
      </c>
      <c r="B17" t="s" s="9">
        <v>40</v>
      </c>
      <c r="C17" t="s" s="9">
        <v>31</v>
      </c>
      <c r="D17" t="s" s="9">
        <v>38</v>
      </c>
      <c r="E17" t="s" s="9">
        <v>33</v>
      </c>
      <c r="F17" s="10">
        <v>666</v>
      </c>
      <c r="G17" s="10">
        <v>1874281</v>
      </c>
      <c r="H17" s="11" cm="1">
        <f t="array" ref="H17">F17/G17*100000</f>
        <v>35.5336259611019</v>
      </c>
    </row>
    <row r="18" ht="13" customHeight="1">
      <c r="A18" s="8">
        <v>7</v>
      </c>
      <c r="B18" t="s" s="9">
        <v>41</v>
      </c>
      <c r="C18" t="s" s="9">
        <v>31</v>
      </c>
      <c r="D18" t="s" s="9">
        <v>38</v>
      </c>
      <c r="E18" t="s" s="9">
        <v>33</v>
      </c>
      <c r="F18" s="10">
        <v>434</v>
      </c>
      <c r="G18" s="10">
        <v>1874281</v>
      </c>
      <c r="H18" s="11" cm="1">
        <f t="array" ref="H18">F18/G18*100000</f>
        <v>23.1555460467241</v>
      </c>
    </row>
    <row r="19" ht="13" customHeight="1">
      <c r="A19" s="8">
        <v>8</v>
      </c>
      <c r="B19" t="s" s="9">
        <v>39</v>
      </c>
      <c r="C19" t="s" s="9">
        <v>31</v>
      </c>
      <c r="D19" t="s" s="9">
        <v>38</v>
      </c>
      <c r="E19" t="s" s="9">
        <v>33</v>
      </c>
      <c r="F19" s="10">
        <v>494</v>
      </c>
      <c r="G19" s="10">
        <v>1874281</v>
      </c>
      <c r="H19" s="11" cm="1">
        <f t="array" ref="H19">F19/G19*100000</f>
        <v>26.3567736107873</v>
      </c>
    </row>
    <row r="20" ht="13" customHeight="1">
      <c r="A20" s="8">
        <v>9</v>
      </c>
      <c r="B20" t="s" s="9">
        <v>37</v>
      </c>
      <c r="C20" t="s" s="9">
        <v>31</v>
      </c>
      <c r="D20" t="s" s="9">
        <v>38</v>
      </c>
      <c r="E20" t="s" s="9">
        <v>33</v>
      </c>
      <c r="F20" s="10">
        <v>637</v>
      </c>
      <c r="G20" s="10">
        <v>1874281</v>
      </c>
      <c r="H20" s="11" cm="1">
        <f t="array" ref="H20">F20/G20*100000</f>
        <v>33.9863659718047</v>
      </c>
    </row>
    <row r="21" ht="13" customHeight="1">
      <c r="A21" s="8">
        <v>10</v>
      </c>
      <c r="B21" t="s" s="9">
        <v>30</v>
      </c>
      <c r="C21" t="s" s="9">
        <v>31</v>
      </c>
      <c r="D21" t="s" s="9">
        <v>38</v>
      </c>
      <c r="E21" t="s" s="9">
        <v>33</v>
      </c>
      <c r="F21" s="10">
        <v>600</v>
      </c>
      <c r="G21" s="10">
        <v>1874281</v>
      </c>
      <c r="H21" s="11" cm="1">
        <f t="array" ref="H21">F21/G21*100000</f>
        <v>32.0122756406323</v>
      </c>
    </row>
    <row r="22" ht="13" customHeight="1">
      <c r="A22" s="8">
        <v>1</v>
      </c>
      <c r="B22" t="s" s="9">
        <v>30</v>
      </c>
      <c r="C22" t="s" s="9">
        <v>31</v>
      </c>
      <c r="D22" t="s" s="9">
        <v>42</v>
      </c>
      <c r="E22" t="s" s="9">
        <v>33</v>
      </c>
      <c r="F22" s="10">
        <v>2419</v>
      </c>
      <c r="G22" s="10">
        <v>5458063</v>
      </c>
      <c r="H22" s="11" cm="1">
        <f t="array" ref="H22">F22/G22*100000</f>
        <v>44.319752263761</v>
      </c>
    </row>
    <row r="23" ht="13" customHeight="1">
      <c r="A23" s="8">
        <v>2</v>
      </c>
      <c r="B23" t="s" s="9">
        <v>34</v>
      </c>
      <c r="C23" t="s" s="9">
        <v>31</v>
      </c>
      <c r="D23" t="s" s="9">
        <v>42</v>
      </c>
      <c r="E23" t="s" s="9">
        <v>33</v>
      </c>
      <c r="F23" s="10">
        <v>1605</v>
      </c>
      <c r="G23" s="10">
        <v>5458063</v>
      </c>
      <c r="H23" s="11" cm="1">
        <f t="array" ref="H23">F23/G23*100000</f>
        <v>29.4060365371378</v>
      </c>
    </row>
    <row r="24" ht="13" customHeight="1">
      <c r="A24" s="8">
        <v>3</v>
      </c>
      <c r="B24" t="s" s="9">
        <v>35</v>
      </c>
      <c r="C24" t="s" s="9">
        <v>31</v>
      </c>
      <c r="D24" t="s" s="9">
        <v>42</v>
      </c>
      <c r="E24" t="s" s="9">
        <v>33</v>
      </c>
      <c r="F24" s="10">
        <v>1173</v>
      </c>
      <c r="G24" s="10">
        <v>5458063</v>
      </c>
      <c r="H24" s="11" cm="1">
        <f t="array" ref="H24">F24/G24*100000</f>
        <v>21.4911407215344</v>
      </c>
    </row>
    <row r="25" ht="13" customHeight="1">
      <c r="A25" s="8">
        <v>4</v>
      </c>
      <c r="B25" t="s" s="9">
        <v>40</v>
      </c>
      <c r="C25" t="s" s="9">
        <v>31</v>
      </c>
      <c r="D25" t="s" s="9">
        <v>42</v>
      </c>
      <c r="E25" t="s" s="9">
        <v>33</v>
      </c>
      <c r="F25" s="10">
        <v>716</v>
      </c>
      <c r="G25" s="10">
        <v>5458063</v>
      </c>
      <c r="H25" s="11" cm="1">
        <f t="array" ref="H25">F25/G25*100000</f>
        <v>13.118206953639</v>
      </c>
    </row>
    <row r="26" ht="13" customHeight="1">
      <c r="A26" s="8">
        <v>5</v>
      </c>
      <c r="B26" t="s" s="9">
        <v>37</v>
      </c>
      <c r="C26" t="s" s="9">
        <v>31</v>
      </c>
      <c r="D26" t="s" s="9">
        <v>42</v>
      </c>
      <c r="E26" t="s" s="9">
        <v>33</v>
      </c>
      <c r="F26" s="10">
        <v>354</v>
      </c>
      <c r="G26" s="10">
        <v>5458063</v>
      </c>
      <c r="H26" s="11" cm="1">
        <f t="array" ref="H26">F26/G26*100000</f>
        <v>6.48581740445283</v>
      </c>
    </row>
    <row r="27" ht="13" customHeight="1">
      <c r="A27" s="8">
        <v>6</v>
      </c>
      <c r="B27" t="s" s="9">
        <v>30</v>
      </c>
      <c r="C27" t="s" s="9">
        <v>31</v>
      </c>
      <c r="D27" t="s" s="9">
        <v>42</v>
      </c>
      <c r="E27" t="s" s="9">
        <v>33</v>
      </c>
      <c r="F27" s="10">
        <v>486</v>
      </c>
      <c r="G27" s="10">
        <v>5458063</v>
      </c>
      <c r="H27" s="11" cm="1">
        <f t="array" ref="H27">F27/G27*100000</f>
        <v>8.90425779255388</v>
      </c>
    </row>
    <row r="28" ht="13" customHeight="1">
      <c r="A28" s="8">
        <v>7</v>
      </c>
      <c r="B28" t="s" s="9">
        <v>37</v>
      </c>
      <c r="C28" t="s" s="9">
        <v>31</v>
      </c>
      <c r="D28" t="s" s="9">
        <v>42</v>
      </c>
      <c r="E28" t="s" s="9">
        <v>33</v>
      </c>
      <c r="F28" s="10">
        <v>407</v>
      </c>
      <c r="G28" s="10">
        <v>5458063</v>
      </c>
      <c r="H28" s="11" cm="1">
        <f t="array" ref="H28">F28/G28*100000</f>
        <v>7.45685786331158</v>
      </c>
    </row>
    <row r="29" ht="13" customHeight="1">
      <c r="A29" s="8">
        <v>8</v>
      </c>
      <c r="B29" t="s" s="9">
        <v>30</v>
      </c>
      <c r="C29" t="s" s="9">
        <v>31</v>
      </c>
      <c r="D29" t="s" s="9">
        <v>42</v>
      </c>
      <c r="E29" t="s" s="9">
        <v>33</v>
      </c>
      <c r="F29" s="10">
        <v>315</v>
      </c>
      <c r="G29" s="10">
        <v>5458063</v>
      </c>
      <c r="H29" s="11" cm="1">
        <f t="array" ref="H29">F29/G29*100000</f>
        <v>5.77127819887751</v>
      </c>
    </row>
    <row r="30" ht="13" customHeight="1">
      <c r="A30" s="8">
        <v>9</v>
      </c>
      <c r="B30" t="s" s="9">
        <v>36</v>
      </c>
      <c r="C30" t="s" s="9">
        <v>31</v>
      </c>
      <c r="D30" t="s" s="9">
        <v>42</v>
      </c>
      <c r="E30" t="s" s="9">
        <v>33</v>
      </c>
      <c r="F30" s="10">
        <v>294</v>
      </c>
      <c r="G30" s="10">
        <v>5458063</v>
      </c>
      <c r="H30" s="11" cm="1">
        <f t="array" ref="H30">F30/G30*100000</f>
        <v>5.38652631895235</v>
      </c>
    </row>
    <row r="31" ht="13" customHeight="1">
      <c r="A31" s="8">
        <v>10</v>
      </c>
      <c r="B31" t="s" s="9">
        <v>39</v>
      </c>
      <c r="C31" t="s" s="9">
        <v>31</v>
      </c>
      <c r="D31" t="s" s="9">
        <v>42</v>
      </c>
      <c r="E31" t="s" s="9">
        <v>33</v>
      </c>
      <c r="F31" s="10">
        <v>144</v>
      </c>
      <c r="G31" s="10">
        <v>5458063</v>
      </c>
      <c r="H31" s="11" cm="1">
        <f t="array" ref="H31">F31/G31*100000</f>
        <v>2.63829860520115</v>
      </c>
    </row>
    <row r="32" ht="13" customHeight="1">
      <c r="A32" s="8">
        <v>1</v>
      </c>
      <c r="B32" t="s" s="9">
        <v>30</v>
      </c>
      <c r="C32" t="s" s="9">
        <v>31</v>
      </c>
      <c r="D32" t="s" s="9">
        <v>43</v>
      </c>
      <c r="E32" t="s" s="9">
        <v>33</v>
      </c>
      <c r="F32" s="10">
        <v>7960</v>
      </c>
      <c r="G32" s="10">
        <v>3817144</v>
      </c>
      <c r="H32" s="11" cm="1">
        <f t="array" ref="H32">F32/G32*100000</f>
        <v>208.532871696745</v>
      </c>
    </row>
    <row r="33" ht="13" customHeight="1">
      <c r="A33" s="8">
        <v>2</v>
      </c>
      <c r="B33" t="s" s="9">
        <v>34</v>
      </c>
      <c r="C33" t="s" s="9">
        <v>31</v>
      </c>
      <c r="D33" t="s" s="9">
        <v>43</v>
      </c>
      <c r="E33" t="s" s="9">
        <v>33</v>
      </c>
      <c r="F33" s="10">
        <v>4338</v>
      </c>
      <c r="G33" s="10">
        <v>3817144</v>
      </c>
      <c r="H33" s="11" cm="1">
        <f t="array" ref="H33">F33/G33*100000</f>
        <v>113.645175555337</v>
      </c>
    </row>
    <row r="34" ht="13" customHeight="1">
      <c r="A34" s="8">
        <v>3</v>
      </c>
      <c r="B34" t="s" s="9">
        <v>30</v>
      </c>
      <c r="C34" t="s" s="9">
        <v>31</v>
      </c>
      <c r="D34" t="s" s="9">
        <v>43</v>
      </c>
      <c r="E34" t="s" s="9">
        <v>33</v>
      </c>
      <c r="F34" s="10">
        <v>1596</v>
      </c>
      <c r="G34" s="10">
        <v>3817144</v>
      </c>
      <c r="H34" s="11" cm="1">
        <f t="array" ref="H34">F34/G34*100000</f>
        <v>41.8113647271363</v>
      </c>
    </row>
    <row r="35" ht="13" customHeight="1">
      <c r="A35" s="8">
        <v>4</v>
      </c>
      <c r="B35" t="s" s="9">
        <v>39</v>
      </c>
      <c r="C35" t="s" s="9">
        <v>31</v>
      </c>
      <c r="D35" t="s" s="9">
        <v>43</v>
      </c>
      <c r="E35" t="s" s="9">
        <v>33</v>
      </c>
      <c r="F35" s="10">
        <v>865</v>
      </c>
      <c r="G35" s="10">
        <v>3817144</v>
      </c>
      <c r="H35" s="11" cm="1">
        <f t="array" ref="H35">F35/G35*100000</f>
        <v>22.6609213590056</v>
      </c>
    </row>
    <row r="36" ht="13" customHeight="1">
      <c r="A36" s="8">
        <v>5</v>
      </c>
      <c r="B36" t="s" s="9">
        <v>30</v>
      </c>
      <c r="C36" t="s" s="9">
        <v>31</v>
      </c>
      <c r="D36" t="s" s="9">
        <v>43</v>
      </c>
      <c r="E36" t="s" s="9">
        <v>33</v>
      </c>
      <c r="F36" s="10">
        <v>1153</v>
      </c>
      <c r="G36" s="10">
        <v>3817144</v>
      </c>
      <c r="H36" s="11" cm="1">
        <f t="array" ref="H36">F36/G36*100000</f>
        <v>30.2058292796918</v>
      </c>
    </row>
    <row r="37" ht="13" customHeight="1">
      <c r="A37" s="8">
        <v>6</v>
      </c>
      <c r="B37" t="s" s="9">
        <v>36</v>
      </c>
      <c r="C37" t="s" s="9">
        <v>31</v>
      </c>
      <c r="D37" t="s" s="9">
        <v>43</v>
      </c>
      <c r="E37" t="s" s="9">
        <v>33</v>
      </c>
      <c r="F37" s="10">
        <v>796</v>
      </c>
      <c r="G37" s="10">
        <v>3817144</v>
      </c>
      <c r="H37" s="11" cm="1">
        <f t="array" ref="H37">F37/G37*100000</f>
        <v>20.8532871696745</v>
      </c>
    </row>
    <row r="38" ht="13" customHeight="1">
      <c r="A38" s="8">
        <v>7</v>
      </c>
      <c r="B38" t="s" s="9">
        <v>37</v>
      </c>
      <c r="C38" t="s" s="9">
        <v>31</v>
      </c>
      <c r="D38" t="s" s="9">
        <v>43</v>
      </c>
      <c r="E38" t="s" s="9">
        <v>33</v>
      </c>
      <c r="F38" s="10">
        <v>726</v>
      </c>
      <c r="G38" s="10">
        <v>3817144</v>
      </c>
      <c r="H38" s="11" cm="1">
        <f t="array" ref="H38">F38/G38*100000</f>
        <v>19.0194553833966</v>
      </c>
    </row>
    <row r="39" ht="13" customHeight="1">
      <c r="A39" s="8">
        <v>8</v>
      </c>
      <c r="B39" t="s" s="9">
        <v>30</v>
      </c>
      <c r="C39" t="s" s="9">
        <v>31</v>
      </c>
      <c r="D39" t="s" s="9">
        <v>43</v>
      </c>
      <c r="E39" t="s" s="9">
        <v>33</v>
      </c>
      <c r="F39" s="10">
        <v>823</v>
      </c>
      <c r="G39" s="10">
        <v>3817144</v>
      </c>
      <c r="H39" s="11" cm="1">
        <f t="array" ref="H39">F39/G39*100000</f>
        <v>21.5606222872388</v>
      </c>
    </row>
    <row r="40" ht="13" customHeight="1">
      <c r="A40" s="8">
        <v>9</v>
      </c>
      <c r="B40" t="s" s="9">
        <v>30</v>
      </c>
      <c r="C40" t="s" s="9">
        <v>31</v>
      </c>
      <c r="D40" t="s" s="9">
        <v>43</v>
      </c>
      <c r="E40" t="s" s="9">
        <v>33</v>
      </c>
      <c r="F40" s="10">
        <v>679</v>
      </c>
      <c r="G40" s="10">
        <v>3817144</v>
      </c>
      <c r="H40" s="11" cm="1">
        <f t="array" ref="H40">F40/G40*100000</f>
        <v>17.7881683268957</v>
      </c>
    </row>
    <row r="41" ht="13" customHeight="1">
      <c r="A41" s="8">
        <v>10</v>
      </c>
      <c r="B41" t="s" s="9">
        <v>30</v>
      </c>
      <c r="C41" t="s" s="9">
        <v>31</v>
      </c>
      <c r="D41" t="s" s="9">
        <v>43</v>
      </c>
      <c r="E41" t="s" s="9">
        <v>33</v>
      </c>
      <c r="F41" s="10">
        <v>513</v>
      </c>
      <c r="G41" s="10">
        <v>3817144</v>
      </c>
      <c r="H41" s="11" cm="1">
        <f t="array" ref="H41">F41/G41*100000</f>
        <v>13.4393672337224</v>
      </c>
    </row>
    <row r="42" ht="13" customHeight="1">
      <c r="A42" s="8">
        <v>1</v>
      </c>
      <c r="B42" t="s" s="9">
        <v>30</v>
      </c>
      <c r="C42" t="s" s="9">
        <v>31</v>
      </c>
      <c r="D42" t="s" s="9">
        <v>44</v>
      </c>
      <c r="E42" t="s" s="9">
        <v>33</v>
      </c>
      <c r="F42" s="10">
        <v>8712</v>
      </c>
      <c r="G42" s="10">
        <v>13239670</v>
      </c>
      <c r="H42" s="11" cm="1">
        <f t="array" ref="H42">F42/G42*100000</f>
        <v>65.80224431575709</v>
      </c>
    </row>
    <row r="43" ht="13" customHeight="1">
      <c r="A43" s="8">
        <v>2</v>
      </c>
      <c r="B43" t="s" s="9">
        <v>34</v>
      </c>
      <c r="C43" t="s" s="9">
        <v>31</v>
      </c>
      <c r="D43" t="s" s="9">
        <v>44</v>
      </c>
      <c r="E43" t="s" s="9">
        <v>33</v>
      </c>
      <c r="F43" s="10">
        <v>3720</v>
      </c>
      <c r="G43" s="10">
        <v>13239670</v>
      </c>
      <c r="H43" s="11" cm="1">
        <f t="array" ref="H43">F43/G43*100000</f>
        <v>28.097377049428</v>
      </c>
    </row>
    <row r="44" ht="13" customHeight="1">
      <c r="A44" s="8">
        <v>3</v>
      </c>
      <c r="B44" t="s" s="9">
        <v>30</v>
      </c>
      <c r="C44" t="s" s="9">
        <v>31</v>
      </c>
      <c r="D44" t="s" s="9">
        <v>44</v>
      </c>
      <c r="E44" t="s" s="9">
        <v>33</v>
      </c>
      <c r="F44" s="10">
        <v>2712</v>
      </c>
      <c r="G44" s="10">
        <v>13239670</v>
      </c>
      <c r="H44" s="11" cm="1">
        <f t="array" ref="H44">F44/G44*100000</f>
        <v>20.4838942360346</v>
      </c>
    </row>
    <row r="45" ht="13" customHeight="1">
      <c r="A45" s="8">
        <v>4</v>
      </c>
      <c r="B45" t="s" s="9">
        <v>37</v>
      </c>
      <c r="C45" t="s" s="9">
        <v>31</v>
      </c>
      <c r="D45" t="s" s="9">
        <v>44</v>
      </c>
      <c r="E45" t="s" s="9">
        <v>33</v>
      </c>
      <c r="F45" s="10">
        <v>1343</v>
      </c>
      <c r="G45" s="10">
        <v>13239670</v>
      </c>
      <c r="H45" s="11" cm="1">
        <f t="array" ref="H45">F45/G45*100000</f>
        <v>10.1437573595112</v>
      </c>
    </row>
    <row r="46" ht="13" customHeight="1">
      <c r="A46" s="8">
        <v>5</v>
      </c>
      <c r="B46" t="s" s="9">
        <v>39</v>
      </c>
      <c r="C46" t="s" s="9">
        <v>31</v>
      </c>
      <c r="D46" t="s" s="9">
        <v>44</v>
      </c>
      <c r="E46" t="s" s="9">
        <v>33</v>
      </c>
      <c r="F46" s="10">
        <v>1026</v>
      </c>
      <c r="G46" s="10">
        <v>13239670</v>
      </c>
      <c r="H46" s="11" cm="1">
        <f t="array" ref="H46">F46/G46*100000</f>
        <v>7.74943786363255</v>
      </c>
    </row>
    <row r="47" ht="13" customHeight="1">
      <c r="A47" s="8">
        <v>6</v>
      </c>
      <c r="B47" t="s" s="9">
        <v>30</v>
      </c>
      <c r="C47" t="s" s="9">
        <v>31</v>
      </c>
      <c r="D47" t="s" s="9">
        <v>44</v>
      </c>
      <c r="E47" t="s" s="9">
        <v>33</v>
      </c>
      <c r="F47" s="10">
        <v>723</v>
      </c>
      <c r="G47" s="10">
        <v>13239670</v>
      </c>
      <c r="H47" s="11" cm="1">
        <f t="array" ref="H47">F47/G47*100000</f>
        <v>5.46086118460656</v>
      </c>
    </row>
    <row r="48" ht="13" customHeight="1">
      <c r="A48" s="8">
        <v>7</v>
      </c>
      <c r="B48" t="s" s="9">
        <v>45</v>
      </c>
      <c r="C48" t="s" s="9">
        <v>31</v>
      </c>
      <c r="D48" t="s" s="9">
        <v>44</v>
      </c>
      <c r="E48" t="s" s="9">
        <v>33</v>
      </c>
      <c r="F48" s="10">
        <v>660</v>
      </c>
      <c r="G48" s="10">
        <v>13239670</v>
      </c>
      <c r="H48" s="11" cm="1">
        <f t="array" ref="H48">F48/G48*100000</f>
        <v>4.98501850876948</v>
      </c>
    </row>
    <row r="49" ht="13" customHeight="1">
      <c r="A49" s="8">
        <v>8</v>
      </c>
      <c r="B49" t="s" s="9">
        <v>36</v>
      </c>
      <c r="C49" t="s" s="9">
        <v>31</v>
      </c>
      <c r="D49" t="s" s="9">
        <v>44</v>
      </c>
      <c r="E49" t="s" s="9">
        <v>33</v>
      </c>
      <c r="F49" s="10">
        <v>612</v>
      </c>
      <c r="G49" s="10">
        <v>13239670</v>
      </c>
      <c r="H49" s="11" cm="1">
        <f t="array" ref="H49">F49/G49*100000</f>
        <v>4.6224717081317</v>
      </c>
    </row>
    <row r="50" ht="13" customHeight="1">
      <c r="A50" s="8">
        <v>9</v>
      </c>
      <c r="B50" t="s" s="9">
        <v>37</v>
      </c>
      <c r="C50" t="s" s="9">
        <v>31</v>
      </c>
      <c r="D50" t="s" s="9">
        <v>44</v>
      </c>
      <c r="E50" t="s" s="9">
        <v>33</v>
      </c>
      <c r="F50" s="10">
        <v>448</v>
      </c>
      <c r="G50" s="10">
        <v>13239670</v>
      </c>
      <c r="H50" s="11" cm="1">
        <f t="array" ref="H50">F50/G50*100000</f>
        <v>3.38377013928595</v>
      </c>
    </row>
    <row r="51" ht="13" customHeight="1">
      <c r="A51" s="8">
        <v>10</v>
      </c>
      <c r="B51" t="s" s="9">
        <v>41</v>
      </c>
      <c r="C51" t="s" s="9">
        <v>31</v>
      </c>
      <c r="D51" t="s" s="9">
        <v>44</v>
      </c>
      <c r="E51" t="s" s="9">
        <v>33</v>
      </c>
      <c r="F51" s="10">
        <v>456</v>
      </c>
      <c r="G51" s="10">
        <v>13239670</v>
      </c>
      <c r="H51" s="11" cm="1">
        <f t="array" ref="H51">F51/G51*100000</f>
        <v>3.44419460605891</v>
      </c>
    </row>
    <row r="52" ht="13" customHeight="1">
      <c r="A52" s="8">
        <v>1</v>
      </c>
      <c r="B52" t="s" s="9">
        <v>30</v>
      </c>
      <c r="C52" t="s" s="9">
        <v>31</v>
      </c>
      <c r="D52" t="s" s="9">
        <v>46</v>
      </c>
      <c r="E52" t="s" s="9">
        <v>33</v>
      </c>
      <c r="F52" s="10">
        <v>17400</v>
      </c>
      <c r="G52" s="10">
        <v>17477569</v>
      </c>
      <c r="H52" s="11" cm="1">
        <f t="array" ref="H52">F52/G52*100000</f>
        <v>99.55617969524251</v>
      </c>
    </row>
    <row r="53" ht="13" customHeight="1">
      <c r="A53" s="8">
        <v>2</v>
      </c>
      <c r="B53" t="s" s="9">
        <v>30</v>
      </c>
      <c r="C53" t="s" s="9">
        <v>31</v>
      </c>
      <c r="D53" t="s" s="9">
        <v>46</v>
      </c>
      <c r="E53" t="s" s="9">
        <v>33</v>
      </c>
      <c r="F53" s="10">
        <v>6646</v>
      </c>
      <c r="G53" s="10">
        <v>17477569</v>
      </c>
      <c r="H53" s="11" cm="1">
        <f t="array" ref="H53">F53/G53*100000</f>
        <v>38.0258833479645</v>
      </c>
    </row>
    <row r="54" ht="13" customHeight="1">
      <c r="A54" s="8">
        <v>3</v>
      </c>
      <c r="B54" t="s" s="9">
        <v>35</v>
      </c>
      <c r="C54" t="s" s="9">
        <v>31</v>
      </c>
      <c r="D54" t="s" s="9">
        <v>46</v>
      </c>
      <c r="E54" t="s" s="9">
        <v>33</v>
      </c>
      <c r="F54" s="10">
        <v>5619</v>
      </c>
      <c r="G54" s="10">
        <v>17477569</v>
      </c>
      <c r="H54" s="11" cm="1">
        <f t="array" ref="H54">F54/G54*100000</f>
        <v>32.1497800981361</v>
      </c>
    </row>
    <row r="55" ht="13" customHeight="1">
      <c r="A55" s="8">
        <v>4</v>
      </c>
      <c r="B55" t="s" s="9">
        <v>34</v>
      </c>
      <c r="C55" t="s" s="9">
        <v>31</v>
      </c>
      <c r="D55" t="s" s="9">
        <v>46</v>
      </c>
      <c r="E55" t="s" s="9">
        <v>33</v>
      </c>
      <c r="F55" s="10">
        <v>4413</v>
      </c>
      <c r="G55" s="10">
        <v>17477569</v>
      </c>
      <c r="H55" s="11" cm="1">
        <f t="array" ref="H55">F55/G55*100000</f>
        <v>25.2495069537417</v>
      </c>
    </row>
    <row r="56" ht="13" customHeight="1">
      <c r="A56" s="8">
        <v>5</v>
      </c>
      <c r="B56" t="s" s="9">
        <v>41</v>
      </c>
      <c r="C56" t="s" s="9">
        <v>31</v>
      </c>
      <c r="D56" t="s" s="9">
        <v>46</v>
      </c>
      <c r="E56" t="s" s="9">
        <v>33</v>
      </c>
      <c r="F56" s="10">
        <v>3276</v>
      </c>
      <c r="G56" s="10">
        <v>17477569</v>
      </c>
      <c r="H56" s="11" cm="1">
        <f t="array" ref="H56">F56/G56*100000</f>
        <v>18.7440255564146</v>
      </c>
    </row>
    <row r="57" ht="13" customHeight="1">
      <c r="A57" s="8">
        <v>6</v>
      </c>
      <c r="B57" t="s" s="9">
        <v>39</v>
      </c>
      <c r="C57" t="s" s="9">
        <v>31</v>
      </c>
      <c r="D57" t="s" s="9">
        <v>46</v>
      </c>
      <c r="E57" t="s" s="9">
        <v>33</v>
      </c>
      <c r="F57" s="10">
        <v>2544</v>
      </c>
      <c r="G57" s="10">
        <v>17477569</v>
      </c>
      <c r="H57" s="11" cm="1">
        <f t="array" ref="H57">F57/G57*100000</f>
        <v>14.5558000657872</v>
      </c>
    </row>
    <row r="58" ht="13" customHeight="1">
      <c r="A58" s="8">
        <v>7</v>
      </c>
      <c r="B58" t="s" s="9">
        <v>37</v>
      </c>
      <c r="C58" t="s" s="9">
        <v>31</v>
      </c>
      <c r="D58" t="s" s="9">
        <v>46</v>
      </c>
      <c r="E58" t="s" s="9">
        <v>33</v>
      </c>
      <c r="F58" s="10">
        <v>1305</v>
      </c>
      <c r="G58" s="10">
        <v>17477569</v>
      </c>
      <c r="H58" s="11" cm="1">
        <f t="array" ref="H58">F58/G58*100000</f>
        <v>7.46671347714319</v>
      </c>
    </row>
    <row r="59" ht="13" customHeight="1">
      <c r="A59" s="8">
        <v>8</v>
      </c>
      <c r="B59" t="s" s="9">
        <v>45</v>
      </c>
      <c r="C59" t="s" s="9">
        <v>31</v>
      </c>
      <c r="D59" t="s" s="9">
        <v>46</v>
      </c>
      <c r="E59" t="s" s="9">
        <v>33</v>
      </c>
      <c r="F59" s="10">
        <v>1518</v>
      </c>
      <c r="G59" s="10">
        <v>17477569</v>
      </c>
      <c r="H59" s="11" cm="1">
        <f t="array" ref="H59">F59/G59*100000</f>
        <v>8.6854184354815</v>
      </c>
    </row>
    <row r="60" ht="13" customHeight="1">
      <c r="A60" s="8">
        <v>9</v>
      </c>
      <c r="B60" t="s" s="9">
        <v>35</v>
      </c>
      <c r="C60" t="s" s="9">
        <v>31</v>
      </c>
      <c r="D60" t="s" s="9">
        <v>46</v>
      </c>
      <c r="E60" t="s" s="9">
        <v>33</v>
      </c>
      <c r="F60" s="10">
        <v>1541</v>
      </c>
      <c r="G60" s="10">
        <v>17477569</v>
      </c>
      <c r="H60" s="11" cm="1">
        <f t="array" ref="H60">F60/G60*100000</f>
        <v>8.81701568450395</v>
      </c>
    </row>
    <row r="61" ht="13" customHeight="1">
      <c r="A61" s="8">
        <v>10</v>
      </c>
      <c r="B61" t="s" s="9">
        <v>30</v>
      </c>
      <c r="C61" t="s" s="9">
        <v>31</v>
      </c>
      <c r="D61" t="s" s="9">
        <v>46</v>
      </c>
      <c r="E61" t="s" s="9">
        <v>33</v>
      </c>
      <c r="F61" s="10">
        <v>1316</v>
      </c>
      <c r="G61" s="10">
        <v>17477569</v>
      </c>
      <c r="H61" s="11" cm="1">
        <f t="array" ref="H61">F61/G61*100000</f>
        <v>7.52965129189305</v>
      </c>
    </row>
    <row r="62" ht="13" customHeight="1">
      <c r="A62" s="8">
        <v>1</v>
      </c>
      <c r="B62" t="s" s="9">
        <v>30</v>
      </c>
      <c r="C62" t="s" s="9">
        <v>31</v>
      </c>
      <c r="D62" t="s" s="9">
        <v>47</v>
      </c>
      <c r="E62" t="s" s="9">
        <v>33</v>
      </c>
      <c r="F62" s="10">
        <v>1594</v>
      </c>
      <c r="G62" s="10">
        <v>3342831</v>
      </c>
      <c r="H62" s="11" cm="1">
        <f t="array" ref="H62">F62/G62*100000</f>
        <v>47.6841335981388</v>
      </c>
    </row>
    <row r="63" ht="13" customHeight="1">
      <c r="A63" s="8">
        <v>2</v>
      </c>
      <c r="B63" t="s" s="9">
        <v>30</v>
      </c>
      <c r="C63" t="s" s="9">
        <v>31</v>
      </c>
      <c r="D63" t="s" s="9">
        <v>47</v>
      </c>
      <c r="E63" t="s" s="9">
        <v>33</v>
      </c>
      <c r="F63" s="10">
        <v>1325</v>
      </c>
      <c r="G63" s="10">
        <v>3342831</v>
      </c>
      <c r="H63" s="11" cm="1">
        <f t="array" ref="H63">F63/G63*100000</f>
        <v>39.6370621189046</v>
      </c>
    </row>
    <row r="64" ht="13" customHeight="1">
      <c r="A64" s="8">
        <v>3</v>
      </c>
      <c r="B64" t="s" s="9">
        <v>35</v>
      </c>
      <c r="C64" t="s" s="9">
        <v>31</v>
      </c>
      <c r="D64" t="s" s="9">
        <v>47</v>
      </c>
      <c r="E64" t="s" s="9">
        <v>33</v>
      </c>
      <c r="F64" s="10">
        <v>671</v>
      </c>
      <c r="G64" s="10">
        <v>3342831</v>
      </c>
      <c r="H64" s="11" cm="1">
        <f t="array" ref="H64">F64/G64*100000</f>
        <v>20.0728065522906</v>
      </c>
    </row>
    <row r="65" ht="13" customHeight="1">
      <c r="A65" s="8">
        <v>4</v>
      </c>
      <c r="B65" t="s" s="9">
        <v>35</v>
      </c>
      <c r="C65" t="s" s="9">
        <v>31</v>
      </c>
      <c r="D65" t="s" s="9">
        <v>47</v>
      </c>
      <c r="E65" t="s" s="9">
        <v>33</v>
      </c>
      <c r="F65" s="10">
        <v>478</v>
      </c>
      <c r="G65" s="10">
        <v>3342831</v>
      </c>
      <c r="H65" s="11" cm="1">
        <f t="array" ref="H65">F65/G65*100000</f>
        <v>14.299257126669</v>
      </c>
    </row>
    <row r="66" ht="13" customHeight="1">
      <c r="A66" s="8">
        <v>5</v>
      </c>
      <c r="B66" t="s" s="9">
        <v>34</v>
      </c>
      <c r="C66" t="s" s="9">
        <v>31</v>
      </c>
      <c r="D66" t="s" s="9">
        <v>47</v>
      </c>
      <c r="E66" t="s" s="9">
        <v>33</v>
      </c>
      <c r="F66" s="10">
        <v>247</v>
      </c>
      <c r="G66" s="10">
        <v>3342831</v>
      </c>
      <c r="H66" s="11" cm="1">
        <f t="array" ref="H66">F66/G66*100000</f>
        <v>7.38894667424108</v>
      </c>
    </row>
    <row r="67" ht="13" customHeight="1">
      <c r="A67" s="8">
        <v>6</v>
      </c>
      <c r="B67" t="s" s="9">
        <v>30</v>
      </c>
      <c r="C67" t="s" s="9">
        <v>31</v>
      </c>
      <c r="D67" t="s" s="9">
        <v>47</v>
      </c>
      <c r="E67" t="s" s="9">
        <v>33</v>
      </c>
      <c r="F67" s="10">
        <v>240</v>
      </c>
      <c r="G67" s="10">
        <v>3342831</v>
      </c>
      <c r="H67" s="11" cm="1">
        <f t="array" ref="H67">F67/G67*100000</f>
        <v>7.17954332719782</v>
      </c>
    </row>
    <row r="68" ht="13" customHeight="1">
      <c r="A68" s="8">
        <v>7</v>
      </c>
      <c r="B68" t="s" s="9">
        <v>45</v>
      </c>
      <c r="C68" t="s" s="9">
        <v>31</v>
      </c>
      <c r="D68" t="s" s="9">
        <v>47</v>
      </c>
      <c r="E68" t="s" s="9">
        <v>33</v>
      </c>
      <c r="F68" s="10">
        <v>280</v>
      </c>
      <c r="G68" s="10">
        <v>3342831</v>
      </c>
      <c r="H68" s="11" cm="1">
        <f t="array" ref="H68">F68/G68*100000</f>
        <v>8.37613388173078</v>
      </c>
    </row>
    <row r="69" ht="13" customHeight="1">
      <c r="A69" s="8">
        <v>8</v>
      </c>
      <c r="B69" t="s" s="9">
        <v>39</v>
      </c>
      <c r="C69" t="s" s="9">
        <v>31</v>
      </c>
      <c r="D69" t="s" s="9">
        <v>47</v>
      </c>
      <c r="E69" t="s" s="9">
        <v>33</v>
      </c>
      <c r="F69" s="10">
        <v>124</v>
      </c>
      <c r="G69" s="10">
        <v>3342831</v>
      </c>
      <c r="H69" s="11" cm="1">
        <f t="array" ref="H69">F69/G69*100000</f>
        <v>3.7094307190522</v>
      </c>
    </row>
    <row r="70" ht="13" customHeight="1">
      <c r="A70" s="8">
        <v>9</v>
      </c>
      <c r="B70" t="s" s="9">
        <v>30</v>
      </c>
      <c r="C70" t="s" s="9">
        <v>31</v>
      </c>
      <c r="D70" t="s" s="9">
        <v>47</v>
      </c>
      <c r="E70" t="s" s="9">
        <v>33</v>
      </c>
      <c r="F70" s="10">
        <v>214</v>
      </c>
      <c r="G70" s="10">
        <v>3342831</v>
      </c>
      <c r="H70" s="11" cm="1">
        <f t="array" ref="H70">F70/G70*100000</f>
        <v>6.40175946675139</v>
      </c>
    </row>
    <row r="71" ht="13" customHeight="1">
      <c r="A71" s="8">
        <v>10</v>
      </c>
      <c r="B71" t="s" s="9">
        <v>39</v>
      </c>
      <c r="C71" t="s" s="9">
        <v>31</v>
      </c>
      <c r="D71" t="s" s="9">
        <v>47</v>
      </c>
      <c r="E71" t="s" s="9">
        <v>33</v>
      </c>
      <c r="F71" s="10">
        <v>104</v>
      </c>
      <c r="G71" s="10">
        <v>3342831</v>
      </c>
      <c r="H71" s="11" cm="1">
        <f t="array" ref="H71">F71/G71*100000</f>
        <v>3.11113544178572</v>
      </c>
    </row>
    <row r="72" ht="13" customHeight="1">
      <c r="A72" s="8">
        <v>1</v>
      </c>
      <c r="B72" t="s" s="9">
        <v>48</v>
      </c>
      <c r="C72" t="s" s="9">
        <v>31</v>
      </c>
      <c r="D72" t="s" s="9">
        <v>49</v>
      </c>
      <c r="E72" t="s" s="9">
        <v>33</v>
      </c>
      <c r="F72" s="10">
        <v>0</v>
      </c>
      <c r="G72" s="10">
        <v>6397690</v>
      </c>
      <c r="H72" t="s" s="9">
        <v>50</v>
      </c>
    </row>
    <row r="73" ht="13" customHeight="1">
      <c r="A73" s="8">
        <v>2</v>
      </c>
      <c r="B73" t="s" s="9">
        <v>48</v>
      </c>
      <c r="C73" t="s" s="9">
        <v>31</v>
      </c>
      <c r="D73" t="s" s="9">
        <v>49</v>
      </c>
      <c r="E73" t="s" s="9">
        <v>33</v>
      </c>
      <c r="F73" s="10">
        <v>0</v>
      </c>
      <c r="G73" s="10">
        <v>6397690</v>
      </c>
      <c r="H73" t="s" s="9">
        <v>50</v>
      </c>
    </row>
    <row r="74" ht="13" customHeight="1">
      <c r="A74" s="8">
        <v>3</v>
      </c>
      <c r="B74" t="s" s="9">
        <v>48</v>
      </c>
      <c r="C74" t="s" s="9">
        <v>31</v>
      </c>
      <c r="D74" t="s" s="9">
        <v>49</v>
      </c>
      <c r="E74" t="s" s="9">
        <v>33</v>
      </c>
      <c r="F74" s="10">
        <v>0</v>
      </c>
      <c r="G74" s="10">
        <v>6397690</v>
      </c>
      <c r="H74" t="s" s="9">
        <v>50</v>
      </c>
    </row>
    <row r="75" ht="13" customHeight="1">
      <c r="A75" s="8">
        <v>4</v>
      </c>
      <c r="B75" t="s" s="9">
        <v>48</v>
      </c>
      <c r="C75" t="s" s="9">
        <v>31</v>
      </c>
      <c r="D75" t="s" s="9">
        <v>49</v>
      </c>
      <c r="E75" t="s" s="9">
        <v>33</v>
      </c>
      <c r="F75" s="10">
        <v>0</v>
      </c>
      <c r="G75" s="10">
        <v>6397690</v>
      </c>
      <c r="H75" t="s" s="9">
        <v>50</v>
      </c>
    </row>
    <row r="76" ht="13" customHeight="1">
      <c r="A76" s="8">
        <v>5</v>
      </c>
      <c r="B76" t="s" s="9">
        <v>48</v>
      </c>
      <c r="C76" t="s" s="9">
        <v>31</v>
      </c>
      <c r="D76" t="s" s="9">
        <v>49</v>
      </c>
      <c r="E76" t="s" s="9">
        <v>33</v>
      </c>
      <c r="F76" s="10">
        <v>0</v>
      </c>
      <c r="G76" s="10">
        <v>6397690</v>
      </c>
      <c r="H76" t="s" s="9">
        <v>50</v>
      </c>
    </row>
    <row r="77" ht="13" customHeight="1">
      <c r="A77" s="8">
        <v>6</v>
      </c>
      <c r="B77" t="s" s="9">
        <v>48</v>
      </c>
      <c r="C77" t="s" s="9">
        <v>31</v>
      </c>
      <c r="D77" t="s" s="9">
        <v>49</v>
      </c>
      <c r="E77" t="s" s="9">
        <v>33</v>
      </c>
      <c r="F77" s="10">
        <v>0</v>
      </c>
      <c r="G77" s="10">
        <v>6397690</v>
      </c>
      <c r="H77" t="s" s="9">
        <v>50</v>
      </c>
    </row>
    <row r="78" ht="13" customHeight="1">
      <c r="A78" s="8">
        <v>7</v>
      </c>
      <c r="B78" t="s" s="9">
        <v>48</v>
      </c>
      <c r="C78" t="s" s="9">
        <v>31</v>
      </c>
      <c r="D78" t="s" s="9">
        <v>49</v>
      </c>
      <c r="E78" t="s" s="9">
        <v>33</v>
      </c>
      <c r="F78" s="10">
        <v>0</v>
      </c>
      <c r="G78" s="10">
        <v>6397690</v>
      </c>
      <c r="H78" t="s" s="9">
        <v>50</v>
      </c>
    </row>
    <row r="79" ht="13" customHeight="1">
      <c r="A79" s="8">
        <v>8</v>
      </c>
      <c r="B79" t="s" s="9">
        <v>48</v>
      </c>
      <c r="C79" t="s" s="9">
        <v>31</v>
      </c>
      <c r="D79" t="s" s="9">
        <v>49</v>
      </c>
      <c r="E79" t="s" s="9">
        <v>33</v>
      </c>
      <c r="F79" s="10">
        <v>0</v>
      </c>
      <c r="G79" s="10">
        <v>6397690</v>
      </c>
      <c r="H79" t="s" s="9">
        <v>50</v>
      </c>
    </row>
    <row r="80" ht="13" customHeight="1">
      <c r="A80" s="8">
        <v>9</v>
      </c>
      <c r="B80" t="s" s="9">
        <v>48</v>
      </c>
      <c r="C80" t="s" s="9">
        <v>31</v>
      </c>
      <c r="D80" t="s" s="9">
        <v>49</v>
      </c>
      <c r="E80" t="s" s="9">
        <v>33</v>
      </c>
      <c r="F80" s="10">
        <v>0</v>
      </c>
      <c r="G80" s="10">
        <v>6397690</v>
      </c>
      <c r="H80" t="s" s="9">
        <v>50</v>
      </c>
    </row>
    <row r="81" ht="13" customHeight="1">
      <c r="A81" s="8">
        <v>10</v>
      </c>
      <c r="B81" t="s" s="9">
        <v>48</v>
      </c>
      <c r="C81" t="s" s="9">
        <v>31</v>
      </c>
      <c r="D81" t="s" s="9">
        <v>49</v>
      </c>
      <c r="E81" t="s" s="9">
        <v>33</v>
      </c>
      <c r="F81" s="10">
        <v>0</v>
      </c>
      <c r="G81" s="10">
        <v>6397690</v>
      </c>
      <c r="H81" t="s" s="9">
        <v>50</v>
      </c>
    </row>
    <row r="82" ht="13.65" customHeight="1">
      <c r="A82" s="8">
        <v>1</v>
      </c>
      <c r="B82" t="s" s="9">
        <v>30</v>
      </c>
      <c r="C82" t="s" s="9">
        <v>31</v>
      </c>
      <c r="D82" t="s" s="9">
        <v>51</v>
      </c>
      <c r="E82" t="s" s="9">
        <v>33</v>
      </c>
      <c r="F82" s="10">
        <v>1084</v>
      </c>
      <c r="G82" s="12"/>
      <c r="H82" s="13"/>
    </row>
    <row r="83" ht="13.65" customHeight="1">
      <c r="A83" s="8">
        <v>2</v>
      </c>
      <c r="B83" t="s" s="9">
        <v>34</v>
      </c>
      <c r="C83" t="s" s="9">
        <v>31</v>
      </c>
      <c r="D83" t="s" s="9">
        <v>51</v>
      </c>
      <c r="E83" t="s" s="9">
        <v>33</v>
      </c>
      <c r="F83" s="10">
        <v>868</v>
      </c>
      <c r="G83" s="14"/>
      <c r="H83" s="15"/>
    </row>
    <row r="84" ht="13.65" customHeight="1">
      <c r="A84" s="8">
        <v>3</v>
      </c>
      <c r="B84" t="s" s="9">
        <v>30</v>
      </c>
      <c r="C84" t="s" s="9">
        <v>31</v>
      </c>
      <c r="D84" t="s" s="9">
        <v>51</v>
      </c>
      <c r="E84" t="s" s="9">
        <v>33</v>
      </c>
      <c r="F84" s="10">
        <v>839</v>
      </c>
      <c r="G84" s="14"/>
      <c r="H84" s="15"/>
    </row>
    <row r="85" ht="13.65" customHeight="1">
      <c r="A85" s="8">
        <v>4</v>
      </c>
      <c r="B85" t="s" s="9">
        <v>35</v>
      </c>
      <c r="C85" t="s" s="9">
        <v>31</v>
      </c>
      <c r="D85" t="s" s="9">
        <v>51</v>
      </c>
      <c r="E85" t="s" s="9">
        <v>33</v>
      </c>
      <c r="F85" s="10">
        <v>534</v>
      </c>
      <c r="G85" s="14"/>
      <c r="H85" s="15"/>
    </row>
    <row r="86" ht="13.65" customHeight="1">
      <c r="A86" s="8">
        <v>5</v>
      </c>
      <c r="B86" t="s" s="9">
        <v>39</v>
      </c>
      <c r="C86" t="s" s="9">
        <v>31</v>
      </c>
      <c r="D86" t="s" s="9">
        <v>51</v>
      </c>
      <c r="E86" t="s" s="9">
        <v>33</v>
      </c>
      <c r="F86" s="10">
        <v>209</v>
      </c>
      <c r="G86" s="14"/>
      <c r="H86" s="15"/>
    </row>
    <row r="87" ht="13.65" customHeight="1">
      <c r="A87" s="8">
        <v>6</v>
      </c>
      <c r="B87" t="s" s="9">
        <v>30</v>
      </c>
      <c r="C87" t="s" s="9">
        <v>31</v>
      </c>
      <c r="D87" t="s" s="9">
        <v>51</v>
      </c>
      <c r="E87" t="s" s="9">
        <v>33</v>
      </c>
      <c r="F87" s="10">
        <v>267</v>
      </c>
      <c r="G87" s="14"/>
      <c r="H87" s="15"/>
    </row>
    <row r="88" ht="13.65" customHeight="1">
      <c r="A88" s="8">
        <v>7</v>
      </c>
      <c r="B88" t="s" s="9">
        <v>30</v>
      </c>
      <c r="C88" t="s" s="9">
        <v>31</v>
      </c>
      <c r="D88" t="s" s="9">
        <v>51</v>
      </c>
      <c r="E88" t="s" s="9">
        <v>33</v>
      </c>
      <c r="F88" s="10">
        <v>174</v>
      </c>
      <c r="G88" s="14"/>
      <c r="H88" s="15"/>
    </row>
    <row r="89" ht="13.65" customHeight="1">
      <c r="A89" s="8">
        <v>8</v>
      </c>
      <c r="B89" t="s" s="9">
        <v>36</v>
      </c>
      <c r="C89" t="s" s="9">
        <v>31</v>
      </c>
      <c r="D89" t="s" s="9">
        <v>51</v>
      </c>
      <c r="E89" t="s" s="9">
        <v>33</v>
      </c>
      <c r="F89" s="10">
        <v>50</v>
      </c>
      <c r="G89" s="14"/>
      <c r="H89" s="15"/>
    </row>
    <row r="90" ht="13.65" customHeight="1">
      <c r="A90" s="8">
        <v>9</v>
      </c>
      <c r="B90" t="s" s="9">
        <v>30</v>
      </c>
      <c r="C90" t="s" s="9">
        <v>31</v>
      </c>
      <c r="D90" t="s" s="9">
        <v>51</v>
      </c>
      <c r="E90" t="s" s="9">
        <v>33</v>
      </c>
      <c r="F90" s="10">
        <v>39</v>
      </c>
      <c r="G90" s="14"/>
      <c r="H90" s="15"/>
    </row>
    <row r="91" ht="13.65" customHeight="1">
      <c r="A91" s="8">
        <v>10</v>
      </c>
      <c r="B91" t="s" s="9">
        <v>37</v>
      </c>
      <c r="C91" t="s" s="9">
        <v>31</v>
      </c>
      <c r="D91" t="s" s="9">
        <v>51</v>
      </c>
      <c r="E91" t="s" s="9">
        <v>33</v>
      </c>
      <c r="F91" s="10">
        <v>29</v>
      </c>
      <c r="G91" s="14"/>
      <c r="H91" s="15"/>
    </row>
    <row r="92" ht="13.65" customHeight="1">
      <c r="A92" s="8">
        <v>1</v>
      </c>
      <c r="B92" t="s" s="9">
        <v>30</v>
      </c>
      <c r="C92" t="s" s="9">
        <v>31</v>
      </c>
      <c r="D92" t="s" s="9">
        <v>52</v>
      </c>
      <c r="E92" t="s" s="9">
        <v>33</v>
      </c>
      <c r="F92" s="10">
        <v>5354</v>
      </c>
      <c r="G92" s="14"/>
      <c r="H92" s="15"/>
    </row>
    <row r="93" ht="13.65" customHeight="1">
      <c r="A93" s="8">
        <v>2</v>
      </c>
      <c r="B93" t="s" s="9">
        <v>35</v>
      </c>
      <c r="C93" t="s" s="9">
        <v>31</v>
      </c>
      <c r="D93" t="s" s="9">
        <v>52</v>
      </c>
      <c r="E93" t="s" s="9">
        <v>33</v>
      </c>
      <c r="F93" s="10">
        <v>5528</v>
      </c>
      <c r="G93" s="14"/>
      <c r="H93" s="15"/>
    </row>
    <row r="94" ht="13.65" customHeight="1">
      <c r="A94" s="8">
        <v>3</v>
      </c>
      <c r="B94" t="s" s="9">
        <v>34</v>
      </c>
      <c r="C94" t="s" s="9">
        <v>31</v>
      </c>
      <c r="D94" t="s" s="9">
        <v>52</v>
      </c>
      <c r="E94" t="s" s="9">
        <v>33</v>
      </c>
      <c r="F94" s="10">
        <v>2731</v>
      </c>
      <c r="G94" s="14"/>
      <c r="H94" s="15"/>
    </row>
    <row r="95" ht="13.65" customHeight="1">
      <c r="A95" s="8">
        <v>4</v>
      </c>
      <c r="B95" t="s" s="9">
        <v>30</v>
      </c>
      <c r="C95" t="s" s="9">
        <v>31</v>
      </c>
      <c r="D95" t="s" s="9">
        <v>52</v>
      </c>
      <c r="E95" t="s" s="9">
        <v>33</v>
      </c>
      <c r="F95" s="10">
        <v>2240</v>
      </c>
      <c r="G95" s="14"/>
      <c r="H95" s="15"/>
    </row>
    <row r="96" ht="13.65" customHeight="1">
      <c r="A96" s="8">
        <v>5</v>
      </c>
      <c r="B96" t="s" s="9">
        <v>39</v>
      </c>
      <c r="C96" t="s" s="9">
        <v>31</v>
      </c>
      <c r="D96" t="s" s="9">
        <v>52</v>
      </c>
      <c r="E96" t="s" s="9">
        <v>33</v>
      </c>
      <c r="F96" s="10">
        <v>632</v>
      </c>
      <c r="G96" s="14"/>
      <c r="H96" s="15"/>
    </row>
    <row r="97" ht="13.65" customHeight="1">
      <c r="A97" s="8">
        <v>6</v>
      </c>
      <c r="B97" t="s" s="9">
        <v>45</v>
      </c>
      <c r="C97" t="s" s="9">
        <v>31</v>
      </c>
      <c r="D97" t="s" s="9">
        <v>52</v>
      </c>
      <c r="E97" t="s" s="9">
        <v>33</v>
      </c>
      <c r="F97" s="10">
        <v>844</v>
      </c>
      <c r="G97" s="14"/>
      <c r="H97" s="15"/>
    </row>
    <row r="98" ht="13.65" customHeight="1">
      <c r="A98" s="8">
        <v>7</v>
      </c>
      <c r="B98" t="s" s="9">
        <v>30</v>
      </c>
      <c r="C98" t="s" s="9">
        <v>31</v>
      </c>
      <c r="D98" t="s" s="9">
        <v>52</v>
      </c>
      <c r="E98" t="s" s="9">
        <v>33</v>
      </c>
      <c r="F98" s="10">
        <v>658</v>
      </c>
      <c r="G98" s="14"/>
      <c r="H98" s="15"/>
    </row>
    <row r="99" ht="13.65" customHeight="1">
      <c r="A99" s="8">
        <v>8</v>
      </c>
      <c r="B99" t="s" s="9">
        <v>36</v>
      </c>
      <c r="C99" t="s" s="9">
        <v>31</v>
      </c>
      <c r="D99" t="s" s="9">
        <v>52</v>
      </c>
      <c r="E99" t="s" s="9">
        <v>33</v>
      </c>
      <c r="F99" s="10">
        <v>779</v>
      </c>
      <c r="G99" s="14"/>
      <c r="H99" s="15"/>
    </row>
    <row r="100" ht="13.65" customHeight="1">
      <c r="A100" s="8">
        <v>9</v>
      </c>
      <c r="B100" t="s" s="9">
        <v>45</v>
      </c>
      <c r="C100" t="s" s="9">
        <v>31</v>
      </c>
      <c r="D100" t="s" s="9">
        <v>52</v>
      </c>
      <c r="E100" t="s" s="9">
        <v>33</v>
      </c>
      <c r="F100" s="10">
        <v>704</v>
      </c>
      <c r="G100" s="14"/>
      <c r="H100" s="15"/>
    </row>
    <row r="101" ht="13.65" customHeight="1">
      <c r="A101" s="8">
        <v>10</v>
      </c>
      <c r="B101" t="s" s="9">
        <v>41</v>
      </c>
      <c r="C101" t="s" s="9">
        <v>31</v>
      </c>
      <c r="D101" t="s" s="9">
        <v>52</v>
      </c>
      <c r="E101" t="s" s="9">
        <v>33</v>
      </c>
      <c r="F101" s="10">
        <v>627</v>
      </c>
      <c r="G101" s="16"/>
      <c r="H101" s="17"/>
    </row>
    <row r="102" ht="13" customHeight="1">
      <c r="A102" s="8">
        <v>1</v>
      </c>
      <c r="B102" t="s" s="9">
        <v>41</v>
      </c>
      <c r="C102" t="s" s="9">
        <v>31</v>
      </c>
      <c r="D102" t="s" s="9">
        <v>53</v>
      </c>
      <c r="E102" t="s" s="9">
        <v>33</v>
      </c>
      <c r="F102" s="10">
        <v>1156</v>
      </c>
      <c r="G102" s="10">
        <v>5049226</v>
      </c>
      <c r="H102" s="11" cm="1">
        <f t="array" ref="H102">F102/G102*100000</f>
        <v>22.8945981027587</v>
      </c>
    </row>
    <row r="103" ht="13" customHeight="1">
      <c r="A103" s="8">
        <v>2</v>
      </c>
      <c r="B103" t="s" s="9">
        <v>30</v>
      </c>
      <c r="C103" t="s" s="9">
        <v>31</v>
      </c>
      <c r="D103" t="s" s="9">
        <v>53</v>
      </c>
      <c r="E103" t="s" s="9">
        <v>33</v>
      </c>
      <c r="F103" s="10">
        <v>278</v>
      </c>
      <c r="G103" s="10">
        <v>5049226</v>
      </c>
      <c r="H103" s="11" cm="1">
        <f t="array" ref="H103">F103/G103*100000</f>
        <v>5.5057943534316</v>
      </c>
    </row>
    <row r="104" ht="13" customHeight="1">
      <c r="A104" s="8">
        <v>3</v>
      </c>
      <c r="B104" t="s" s="9">
        <v>45</v>
      </c>
      <c r="C104" t="s" s="9">
        <v>31</v>
      </c>
      <c r="D104" t="s" s="9">
        <v>53</v>
      </c>
      <c r="E104" t="s" s="9">
        <v>33</v>
      </c>
      <c r="F104" s="10">
        <v>127</v>
      </c>
      <c r="G104" s="10">
        <v>5049226</v>
      </c>
      <c r="H104" s="11" cm="1">
        <f t="array" ref="H104">F104/G104*100000</f>
        <v>2.51523698879789</v>
      </c>
    </row>
    <row r="105" ht="13" customHeight="1">
      <c r="A105" s="8">
        <v>4</v>
      </c>
      <c r="B105" t="s" s="9">
        <v>34</v>
      </c>
      <c r="C105" t="s" s="9">
        <v>31</v>
      </c>
      <c r="D105" t="s" s="9">
        <v>53</v>
      </c>
      <c r="E105" t="s" s="9">
        <v>33</v>
      </c>
      <c r="F105" s="10">
        <v>49</v>
      </c>
      <c r="G105" s="10">
        <v>5049226</v>
      </c>
      <c r="H105" s="11" cm="1">
        <f t="array" ref="H105">F105/G105*100000</f>
        <v>0.970445767331468</v>
      </c>
    </row>
    <row r="106" ht="13" customHeight="1">
      <c r="A106" s="8">
        <v>5</v>
      </c>
      <c r="B106" t="s" s="9">
        <v>41</v>
      </c>
      <c r="C106" t="s" s="9">
        <v>31</v>
      </c>
      <c r="D106" t="s" s="9">
        <v>53</v>
      </c>
      <c r="E106" t="s" s="9">
        <v>33</v>
      </c>
      <c r="F106" s="10">
        <v>31</v>
      </c>
      <c r="G106" s="10">
        <v>5049226</v>
      </c>
      <c r="H106" s="11" cm="1">
        <f t="array" ref="H106">F106/G106*100000</f>
        <v>0.613955485454602</v>
      </c>
    </row>
    <row r="107" ht="13" customHeight="1">
      <c r="A107" s="8">
        <v>6</v>
      </c>
      <c r="B107" t="s" s="9">
        <v>45</v>
      </c>
      <c r="C107" t="s" s="9">
        <v>31</v>
      </c>
      <c r="D107" t="s" s="9">
        <v>53</v>
      </c>
      <c r="E107" t="s" s="9">
        <v>33</v>
      </c>
      <c r="F107" s="10">
        <v>8</v>
      </c>
      <c r="G107" s="10">
        <v>5049226</v>
      </c>
      <c r="H107" s="11" cm="1">
        <f t="array" ref="H107">F107/G107*100000</f>
        <v>0.158440125278607</v>
      </c>
    </row>
    <row r="108" ht="13" customHeight="1">
      <c r="A108" s="8">
        <v>7</v>
      </c>
      <c r="B108" t="s" s="9">
        <v>45</v>
      </c>
      <c r="C108" t="s" s="9">
        <v>31</v>
      </c>
      <c r="D108" t="s" s="9">
        <v>53</v>
      </c>
      <c r="E108" t="s" s="9">
        <v>33</v>
      </c>
      <c r="F108" s="10">
        <v>5</v>
      </c>
      <c r="G108" s="10">
        <v>5049226</v>
      </c>
      <c r="H108" s="11" cm="1">
        <f t="array" ref="H108">F108/G108*100000</f>
        <v>0.0990250782991294</v>
      </c>
    </row>
    <row r="109" ht="13" customHeight="1">
      <c r="A109" s="8">
        <v>8</v>
      </c>
      <c r="B109" t="s" s="9">
        <v>30</v>
      </c>
      <c r="C109" t="s" s="9">
        <v>31</v>
      </c>
      <c r="D109" t="s" s="9">
        <v>53</v>
      </c>
      <c r="E109" t="s" s="9">
        <v>33</v>
      </c>
      <c r="F109" s="10">
        <v>2</v>
      </c>
      <c r="G109" s="10">
        <v>5049226</v>
      </c>
      <c r="H109" s="11" cm="1">
        <f t="array" ref="H109">F109/G109*100000</f>
        <v>0.0396100313196518</v>
      </c>
    </row>
    <row r="110" ht="13" customHeight="1">
      <c r="A110" s="8">
        <v>9</v>
      </c>
      <c r="B110" t="s" s="9">
        <v>45</v>
      </c>
      <c r="C110" t="s" s="9">
        <v>31</v>
      </c>
      <c r="D110" t="s" s="9">
        <v>53</v>
      </c>
      <c r="E110" t="s" s="9">
        <v>33</v>
      </c>
      <c r="F110" s="10">
        <v>2</v>
      </c>
      <c r="G110" s="10">
        <v>5049226</v>
      </c>
      <c r="H110" s="11" cm="1">
        <f t="array" ref="H110">F110/G110*100000</f>
        <v>0.0396100313196518</v>
      </c>
    </row>
    <row r="111" ht="13" customHeight="1">
      <c r="A111" s="8">
        <v>10</v>
      </c>
      <c r="B111" t="s" s="9">
        <v>45</v>
      </c>
      <c r="C111" t="s" s="9">
        <v>31</v>
      </c>
      <c r="D111" t="s" s="9">
        <v>53</v>
      </c>
      <c r="E111" t="s" s="9">
        <v>33</v>
      </c>
      <c r="F111" s="10">
        <v>0</v>
      </c>
      <c r="G111" s="10">
        <v>5049226</v>
      </c>
      <c r="H111" s="11" cm="1">
        <f t="array" ref="H111">F111/G111*100000</f>
        <v>0</v>
      </c>
    </row>
    <row r="112" ht="13" customHeight="1">
      <c r="A112" s="8">
        <v>1</v>
      </c>
      <c r="B112" t="s" s="9">
        <v>30</v>
      </c>
      <c r="C112" t="s" s="9">
        <v>31</v>
      </c>
      <c r="D112" t="s" s="9">
        <v>54</v>
      </c>
      <c r="E112" t="s" s="9">
        <v>33</v>
      </c>
      <c r="F112" s="10">
        <v>3228</v>
      </c>
      <c r="G112" s="10">
        <v>3901529</v>
      </c>
      <c r="H112" s="11" cm="1">
        <f t="array" ref="H112">F112/G112*100000</f>
        <v>82.73679370318661</v>
      </c>
    </row>
    <row r="113" ht="13" customHeight="1">
      <c r="A113" s="8">
        <v>2</v>
      </c>
      <c r="B113" t="s" s="9">
        <v>35</v>
      </c>
      <c r="C113" t="s" s="9">
        <v>31</v>
      </c>
      <c r="D113" t="s" s="9">
        <v>54</v>
      </c>
      <c r="E113" t="s" s="9">
        <v>33</v>
      </c>
      <c r="F113" s="10">
        <v>3135</v>
      </c>
      <c r="G113" s="10">
        <v>3901529</v>
      </c>
      <c r="H113" s="11" cm="1">
        <f t="array" ref="H113">F113/G113*100000</f>
        <v>80.3531128437082</v>
      </c>
    </row>
    <row r="114" ht="13" customHeight="1">
      <c r="A114" s="8">
        <v>3</v>
      </c>
      <c r="B114" t="s" s="9">
        <v>30</v>
      </c>
      <c r="C114" t="s" s="9">
        <v>31</v>
      </c>
      <c r="D114" t="s" s="9">
        <v>54</v>
      </c>
      <c r="E114" t="s" s="9">
        <v>33</v>
      </c>
      <c r="F114" s="10">
        <v>1207</v>
      </c>
      <c r="G114" s="10">
        <v>3901529</v>
      </c>
      <c r="H114" s="11" cm="1">
        <f t="array" ref="H114">F114/G114*100000</f>
        <v>30.9365892192522</v>
      </c>
    </row>
    <row r="115" ht="13" customHeight="1">
      <c r="A115" s="8">
        <v>4</v>
      </c>
      <c r="B115" t="s" s="9">
        <v>34</v>
      </c>
      <c r="C115" t="s" s="9">
        <v>31</v>
      </c>
      <c r="D115" t="s" s="9">
        <v>54</v>
      </c>
      <c r="E115" t="s" s="9">
        <v>33</v>
      </c>
      <c r="F115" s="10">
        <v>899</v>
      </c>
      <c r="G115" s="10">
        <v>3901529</v>
      </c>
      <c r="H115" s="11" cm="1">
        <f t="array" ref="H115">F115/G115*100000</f>
        <v>23.0422483082914</v>
      </c>
    </row>
    <row r="116" ht="13" customHeight="1">
      <c r="A116" s="8">
        <v>5</v>
      </c>
      <c r="B116" t="s" s="9">
        <v>30</v>
      </c>
      <c r="C116" t="s" s="9">
        <v>31</v>
      </c>
      <c r="D116" t="s" s="9">
        <v>54</v>
      </c>
      <c r="E116" t="s" s="9">
        <v>33</v>
      </c>
      <c r="F116" s="10">
        <v>1121</v>
      </c>
      <c r="G116" s="10">
        <v>3901529</v>
      </c>
      <c r="H116" s="11" cm="1">
        <f t="array" ref="H116">F116/G116*100000</f>
        <v>28.7323251986593</v>
      </c>
    </row>
    <row r="117" ht="13" customHeight="1">
      <c r="A117" s="8">
        <v>6</v>
      </c>
      <c r="B117" t="s" s="9">
        <v>41</v>
      </c>
      <c r="C117" t="s" s="9">
        <v>31</v>
      </c>
      <c r="D117" t="s" s="9">
        <v>54</v>
      </c>
      <c r="E117" t="s" s="9">
        <v>33</v>
      </c>
      <c r="F117" s="10">
        <v>590</v>
      </c>
      <c r="G117" s="10">
        <v>3901529</v>
      </c>
      <c r="H117" s="11" cm="1">
        <f t="array" ref="H117">F117/G117*100000</f>
        <v>15.122276420347</v>
      </c>
    </row>
    <row r="118" ht="13" customHeight="1">
      <c r="A118" s="8">
        <v>7</v>
      </c>
      <c r="B118" t="s" s="9">
        <v>41</v>
      </c>
      <c r="C118" t="s" s="9">
        <v>31</v>
      </c>
      <c r="D118" t="s" s="9">
        <v>54</v>
      </c>
      <c r="E118" t="s" s="9">
        <v>33</v>
      </c>
      <c r="F118" s="10">
        <v>428</v>
      </c>
      <c r="G118" s="10">
        <v>3901529</v>
      </c>
      <c r="H118" s="11" cm="1">
        <f t="array" ref="H118">F118/G118*100000</f>
        <v>10.9700581489975</v>
      </c>
    </row>
    <row r="119" ht="13" customHeight="1">
      <c r="A119" s="8">
        <v>8</v>
      </c>
      <c r="B119" t="s" s="9">
        <v>39</v>
      </c>
      <c r="C119" t="s" s="9">
        <v>31</v>
      </c>
      <c r="D119" t="s" s="9">
        <v>54</v>
      </c>
      <c r="E119" t="s" s="9">
        <v>33</v>
      </c>
      <c r="F119" s="10">
        <v>313</v>
      </c>
      <c r="G119" s="10">
        <v>3901529</v>
      </c>
      <c r="H119" s="11" cm="1">
        <f t="array" ref="H119">F119/G119*100000</f>
        <v>8.022495795878999</v>
      </c>
    </row>
    <row r="120" ht="13" customHeight="1">
      <c r="A120" s="8">
        <v>9</v>
      </c>
      <c r="B120" t="s" s="9">
        <v>40</v>
      </c>
      <c r="C120" t="s" s="9">
        <v>31</v>
      </c>
      <c r="D120" t="s" s="9">
        <v>54</v>
      </c>
      <c r="E120" t="s" s="9">
        <v>33</v>
      </c>
      <c r="F120" s="10">
        <v>443</v>
      </c>
      <c r="G120" s="10">
        <v>3901529</v>
      </c>
      <c r="H120" s="11" cm="1">
        <f t="array" ref="H120">F120/G120*100000</f>
        <v>11.3545228037521</v>
      </c>
    </row>
    <row r="121" ht="13" customHeight="1">
      <c r="A121" s="8">
        <v>10</v>
      </c>
      <c r="B121" t="s" s="9">
        <v>45</v>
      </c>
      <c r="C121" t="s" s="9">
        <v>31</v>
      </c>
      <c r="D121" t="s" s="9">
        <v>54</v>
      </c>
      <c r="E121" t="s" s="9">
        <v>33</v>
      </c>
      <c r="F121" s="10">
        <v>395</v>
      </c>
      <c r="G121" s="10">
        <v>3901529</v>
      </c>
      <c r="H121" s="11" cm="1">
        <f t="array" ref="H121">F121/G121*100000</f>
        <v>10.1242359085374</v>
      </c>
    </row>
    <row r="122" ht="13" customHeight="1">
      <c r="A122" s="8">
        <v>1</v>
      </c>
      <c r="B122" t="s" s="9">
        <v>35</v>
      </c>
      <c r="C122" t="s" s="9">
        <v>31</v>
      </c>
      <c r="D122" t="s" s="9">
        <v>55</v>
      </c>
      <c r="E122" t="s" s="9">
        <v>33</v>
      </c>
      <c r="F122" s="10">
        <v>5049</v>
      </c>
      <c r="G122" s="10">
        <v>5273604</v>
      </c>
      <c r="H122" s="11" cm="1">
        <f t="array" ref="H122">F122/G122*100000</f>
        <v>95.7409771382152</v>
      </c>
    </row>
    <row r="123" ht="13" customHeight="1">
      <c r="A123" s="8">
        <v>2</v>
      </c>
      <c r="B123" t="s" s="9">
        <v>30</v>
      </c>
      <c r="C123" t="s" s="9">
        <v>31</v>
      </c>
      <c r="D123" t="s" s="9">
        <v>55</v>
      </c>
      <c r="E123" t="s" s="9">
        <v>33</v>
      </c>
      <c r="F123" s="10">
        <v>3232</v>
      </c>
      <c r="G123" s="10">
        <v>5273604</v>
      </c>
      <c r="H123" s="11" cm="1">
        <f t="array" ref="H123">F123/G123*100000</f>
        <v>61.2863612815828</v>
      </c>
    </row>
    <row r="124" ht="13" customHeight="1">
      <c r="A124" s="8">
        <v>3</v>
      </c>
      <c r="B124" t="s" s="9">
        <v>34</v>
      </c>
      <c r="C124" t="s" s="9">
        <v>31</v>
      </c>
      <c r="D124" t="s" s="9">
        <v>55</v>
      </c>
      <c r="E124" t="s" s="9">
        <v>33</v>
      </c>
      <c r="F124" s="10">
        <v>1484</v>
      </c>
      <c r="G124" s="10">
        <v>5273604</v>
      </c>
      <c r="H124" s="11" cm="1">
        <f t="array" ref="H124">F124/G124*100000</f>
        <v>28.1401485587465</v>
      </c>
    </row>
    <row r="125" ht="13" customHeight="1">
      <c r="A125" s="8">
        <v>4</v>
      </c>
      <c r="B125" t="s" s="9">
        <v>30</v>
      </c>
      <c r="C125" t="s" s="9">
        <v>31</v>
      </c>
      <c r="D125" t="s" s="9">
        <v>55</v>
      </c>
      <c r="E125" t="s" s="9">
        <v>33</v>
      </c>
      <c r="F125" s="10">
        <v>1419</v>
      </c>
      <c r="G125" s="10">
        <v>5273604</v>
      </c>
      <c r="H125" s="11" cm="1">
        <f t="array" ref="H125">F125/G125*100000</f>
        <v>26.907594881982</v>
      </c>
    </row>
    <row r="126" ht="13" customHeight="1">
      <c r="A126" s="8">
        <v>5</v>
      </c>
      <c r="B126" t="s" s="9">
        <v>39</v>
      </c>
      <c r="C126" t="s" s="9">
        <v>31</v>
      </c>
      <c r="D126" t="s" s="9">
        <v>55</v>
      </c>
      <c r="E126" t="s" s="9">
        <v>33</v>
      </c>
      <c r="F126" s="10">
        <v>790</v>
      </c>
      <c r="G126" s="10">
        <v>5273604</v>
      </c>
      <c r="H126" s="11" cm="1">
        <f t="array" ref="H126">F126/G126*100000</f>
        <v>14.9802677637532</v>
      </c>
    </row>
    <row r="127" ht="13" customHeight="1">
      <c r="A127" s="8">
        <v>6</v>
      </c>
      <c r="B127" t="s" s="9">
        <v>40</v>
      </c>
      <c r="C127" t="s" s="9">
        <v>31</v>
      </c>
      <c r="D127" t="s" s="9">
        <v>55</v>
      </c>
      <c r="E127" t="s" s="9">
        <v>33</v>
      </c>
      <c r="F127" s="10">
        <v>995</v>
      </c>
      <c r="G127" s="10">
        <v>5273604</v>
      </c>
      <c r="H127" s="11" cm="1">
        <f t="array" ref="H127">F127/G127*100000</f>
        <v>18.8675524366259</v>
      </c>
    </row>
    <row r="128" ht="13" customHeight="1">
      <c r="A128" s="8">
        <v>7</v>
      </c>
      <c r="B128" t="s" s="9">
        <v>30</v>
      </c>
      <c r="C128" t="s" s="9">
        <v>31</v>
      </c>
      <c r="D128" t="s" s="9">
        <v>55</v>
      </c>
      <c r="E128" t="s" s="9">
        <v>33</v>
      </c>
      <c r="F128" s="10">
        <v>695</v>
      </c>
      <c r="G128" s="10">
        <v>5273604</v>
      </c>
      <c r="H128" s="11" cm="1">
        <f t="array" ref="H128">F128/G128*100000</f>
        <v>13.1788431592512</v>
      </c>
    </row>
    <row r="129" ht="13" customHeight="1">
      <c r="A129" s="8">
        <v>8</v>
      </c>
      <c r="B129" t="s" s="9">
        <v>41</v>
      </c>
      <c r="C129" t="s" s="9">
        <v>31</v>
      </c>
      <c r="D129" t="s" s="9">
        <v>55</v>
      </c>
      <c r="E129" t="s" s="9">
        <v>33</v>
      </c>
      <c r="F129" s="10">
        <v>596</v>
      </c>
      <c r="G129" s="10">
        <v>5273604</v>
      </c>
      <c r="H129" s="11" cm="1">
        <f t="array" ref="H129">F129/G129*100000</f>
        <v>11.3015690977176</v>
      </c>
    </row>
    <row r="130" ht="13" customHeight="1">
      <c r="A130" s="8">
        <v>9</v>
      </c>
      <c r="B130" t="s" s="9">
        <v>36</v>
      </c>
      <c r="C130" t="s" s="9">
        <v>31</v>
      </c>
      <c r="D130" t="s" s="9">
        <v>55</v>
      </c>
      <c r="E130" t="s" s="9">
        <v>33</v>
      </c>
      <c r="F130" s="10">
        <v>516</v>
      </c>
      <c r="G130" s="10">
        <v>5273604</v>
      </c>
      <c r="H130" s="11" cm="1">
        <f t="array" ref="H130">F130/G130*100000</f>
        <v>9.784579957084381</v>
      </c>
    </row>
    <row r="131" ht="13" customHeight="1">
      <c r="A131" s="8">
        <v>10</v>
      </c>
      <c r="B131" t="s" s="9">
        <v>37</v>
      </c>
      <c r="C131" t="s" s="9">
        <v>31</v>
      </c>
      <c r="D131" t="s" s="9">
        <v>55</v>
      </c>
      <c r="E131" t="s" s="9">
        <v>33</v>
      </c>
      <c r="F131" s="10">
        <v>405</v>
      </c>
      <c r="G131" s="10">
        <v>5273604</v>
      </c>
      <c r="H131" s="11" cm="1">
        <f t="array" ref="H131">F131/G131*100000</f>
        <v>7.67975752445576</v>
      </c>
    </row>
    <row r="132" ht="13" customHeight="1">
      <c r="A132" s="8">
        <v>1</v>
      </c>
      <c r="B132" t="s" s="9">
        <v>30</v>
      </c>
      <c r="C132" t="s" s="9">
        <v>31</v>
      </c>
      <c r="D132" t="s" s="9">
        <v>56</v>
      </c>
      <c r="E132" t="s" s="9">
        <v>33</v>
      </c>
      <c r="F132" s="10">
        <v>1502</v>
      </c>
      <c r="G132" s="10">
        <v>5691183</v>
      </c>
      <c r="H132" s="11" cm="1">
        <f t="array" ref="H132">F132/G132*100000</f>
        <v>26.3917009872991</v>
      </c>
    </row>
    <row r="133" ht="13" customHeight="1">
      <c r="A133" s="8">
        <v>2</v>
      </c>
      <c r="B133" t="s" s="9">
        <v>35</v>
      </c>
      <c r="C133" t="s" s="9">
        <v>31</v>
      </c>
      <c r="D133" t="s" s="9">
        <v>56</v>
      </c>
      <c r="E133" t="s" s="9">
        <v>33</v>
      </c>
      <c r="F133" s="10">
        <v>689</v>
      </c>
      <c r="G133" s="10">
        <v>5691183</v>
      </c>
      <c r="H133" s="11" cm="1">
        <f t="array" ref="H133">F133/G133*100000</f>
        <v>12.1064460587544</v>
      </c>
    </row>
    <row r="134" ht="13" customHeight="1">
      <c r="A134" s="8">
        <v>3</v>
      </c>
      <c r="B134" t="s" s="9">
        <v>34</v>
      </c>
      <c r="C134" t="s" s="9">
        <v>31</v>
      </c>
      <c r="D134" t="s" s="9">
        <v>56</v>
      </c>
      <c r="E134" t="s" s="9">
        <v>33</v>
      </c>
      <c r="F134" s="10">
        <v>594</v>
      </c>
      <c r="G134" s="10">
        <v>5691183</v>
      </c>
      <c r="H134" s="11" cm="1">
        <f t="array" ref="H134">F134/G134*100000</f>
        <v>10.4371973278666</v>
      </c>
    </row>
    <row r="135" ht="13" customHeight="1">
      <c r="A135" s="8">
        <v>4</v>
      </c>
      <c r="B135" t="s" s="9">
        <v>30</v>
      </c>
      <c r="C135" t="s" s="9">
        <v>31</v>
      </c>
      <c r="D135" t="s" s="9">
        <v>56</v>
      </c>
      <c r="E135" t="s" s="9">
        <v>33</v>
      </c>
      <c r="F135" s="10">
        <v>481</v>
      </c>
      <c r="G135" s="10">
        <v>5691183</v>
      </c>
      <c r="H135" s="11" cm="1">
        <f t="array" ref="H135">F135/G135*100000</f>
        <v>8.45166989007382</v>
      </c>
    </row>
    <row r="136" ht="13" customHeight="1">
      <c r="A136" s="8">
        <v>5</v>
      </c>
      <c r="B136" t="s" s="9">
        <v>41</v>
      </c>
      <c r="C136" t="s" s="9">
        <v>31</v>
      </c>
      <c r="D136" t="s" s="9">
        <v>56</v>
      </c>
      <c r="E136" t="s" s="9">
        <v>33</v>
      </c>
      <c r="F136" s="10">
        <v>415</v>
      </c>
      <c r="G136" s="10">
        <v>5691183</v>
      </c>
      <c r="H136" s="11" cm="1">
        <f t="array" ref="H136">F136/G136*100000</f>
        <v>7.29198129808864</v>
      </c>
    </row>
    <row r="137" ht="13" customHeight="1">
      <c r="A137" s="8">
        <v>6</v>
      </c>
      <c r="B137" t="s" s="9">
        <v>30</v>
      </c>
      <c r="C137" t="s" s="9">
        <v>31</v>
      </c>
      <c r="D137" t="s" s="9">
        <v>56</v>
      </c>
      <c r="E137" t="s" s="9">
        <v>33</v>
      </c>
      <c r="F137" s="10">
        <v>543</v>
      </c>
      <c r="G137" s="10">
        <v>5691183</v>
      </c>
      <c r="H137" s="11" cm="1">
        <f t="array" ref="H137">F137/G137*100000</f>
        <v>9.54107432496899</v>
      </c>
    </row>
    <row r="138" ht="13" customHeight="1">
      <c r="A138" s="8">
        <v>7</v>
      </c>
      <c r="B138" t="s" s="9">
        <v>39</v>
      </c>
      <c r="C138" t="s" s="9">
        <v>31</v>
      </c>
      <c r="D138" t="s" s="9">
        <v>56</v>
      </c>
      <c r="E138" t="s" s="9">
        <v>33</v>
      </c>
      <c r="F138" s="10">
        <v>205</v>
      </c>
      <c r="G138" s="10">
        <v>5691183</v>
      </c>
      <c r="H138" s="11" cm="1">
        <f t="array" ref="H138">F138/G138*100000</f>
        <v>3.60206305086306</v>
      </c>
    </row>
    <row r="139" ht="13" customHeight="1">
      <c r="A139" s="8">
        <v>8</v>
      </c>
      <c r="B139" t="s" s="9">
        <v>36</v>
      </c>
      <c r="C139" t="s" s="9">
        <v>31</v>
      </c>
      <c r="D139" t="s" s="9">
        <v>56</v>
      </c>
      <c r="E139" t="s" s="9">
        <v>33</v>
      </c>
      <c r="F139" s="10">
        <v>270</v>
      </c>
      <c r="G139" s="10">
        <v>5691183</v>
      </c>
      <c r="H139" s="11" cm="1">
        <f t="array" ref="H139">F139/G139*100000</f>
        <v>4.74418060357574</v>
      </c>
    </row>
    <row r="140" ht="13" customHeight="1">
      <c r="A140" s="8">
        <v>9</v>
      </c>
      <c r="B140" t="s" s="9">
        <v>37</v>
      </c>
      <c r="C140" t="s" s="9">
        <v>31</v>
      </c>
      <c r="D140" t="s" s="9">
        <v>56</v>
      </c>
      <c r="E140" t="s" s="9">
        <v>33</v>
      </c>
      <c r="F140" s="10">
        <v>208</v>
      </c>
      <c r="G140" s="10">
        <v>5691183</v>
      </c>
      <c r="H140" s="11" cm="1">
        <f t="array" ref="H140">F140/G140*100000</f>
        <v>3.65477616868057</v>
      </c>
    </row>
    <row r="141" ht="13" customHeight="1">
      <c r="A141" s="8">
        <v>10</v>
      </c>
      <c r="B141" t="s" s="9">
        <v>30</v>
      </c>
      <c r="C141" t="s" s="9">
        <v>31</v>
      </c>
      <c r="D141" t="s" s="9">
        <v>56</v>
      </c>
      <c r="E141" t="s" s="9">
        <v>33</v>
      </c>
      <c r="F141" s="10">
        <v>197</v>
      </c>
      <c r="G141" s="10">
        <v>5691183</v>
      </c>
      <c r="H141" s="11" cm="1">
        <f t="array" ref="H141">F141/G141*100000</f>
        <v>3.46149473668304</v>
      </c>
    </row>
    <row r="142" ht="13" customHeight="1">
      <c r="A142" s="8">
        <v>1</v>
      </c>
      <c r="B142" t="s" s="9">
        <v>37</v>
      </c>
      <c r="C142" t="s" s="9">
        <v>31</v>
      </c>
      <c r="D142" t="s" s="9">
        <v>57</v>
      </c>
      <c r="E142" t="s" s="9">
        <v>33</v>
      </c>
      <c r="F142" s="10">
        <v>162</v>
      </c>
      <c r="G142" s="10">
        <v>5214931</v>
      </c>
      <c r="H142" s="11" cm="1">
        <f t="array" ref="H142">F142/G142*100000</f>
        <v>3.10646487940109</v>
      </c>
    </row>
    <row r="143" ht="13" customHeight="1">
      <c r="A143" s="8">
        <v>2</v>
      </c>
      <c r="B143" t="s" s="9">
        <v>45</v>
      </c>
      <c r="C143" t="s" s="9">
        <v>31</v>
      </c>
      <c r="D143" t="s" s="9">
        <v>57</v>
      </c>
      <c r="E143" t="s" s="9">
        <v>33</v>
      </c>
      <c r="F143" s="10">
        <v>35</v>
      </c>
      <c r="G143" s="10">
        <v>5214931</v>
      </c>
      <c r="H143" s="11" cm="1">
        <f t="array" ref="H143">F143/G143*100000</f>
        <v>0.671149819623692</v>
      </c>
    </row>
    <row r="144" ht="13" customHeight="1">
      <c r="A144" s="8">
        <v>3</v>
      </c>
      <c r="B144" t="s" s="9">
        <v>45</v>
      </c>
      <c r="C144" t="s" s="9">
        <v>31</v>
      </c>
      <c r="D144" t="s" s="9">
        <v>57</v>
      </c>
      <c r="E144" t="s" s="9">
        <v>33</v>
      </c>
      <c r="F144" s="10">
        <v>18</v>
      </c>
      <c r="G144" s="10">
        <v>5214931</v>
      </c>
      <c r="H144" s="11" cm="1">
        <f t="array" ref="H144">F144/G144*100000</f>
        <v>0.345162764377899</v>
      </c>
    </row>
    <row r="145" ht="13" customHeight="1">
      <c r="A145" s="8">
        <v>4</v>
      </c>
      <c r="B145" t="s" s="9">
        <v>37</v>
      </c>
      <c r="C145" t="s" s="9">
        <v>31</v>
      </c>
      <c r="D145" t="s" s="9">
        <v>57</v>
      </c>
      <c r="E145" t="s" s="9">
        <v>33</v>
      </c>
      <c r="F145" s="10">
        <v>5</v>
      </c>
      <c r="G145" s="10">
        <v>5214931</v>
      </c>
      <c r="H145" s="11" cm="1">
        <f t="array" ref="H145">F145/G145*100000</f>
        <v>0.09587854566052741</v>
      </c>
    </row>
    <row r="146" ht="13" customHeight="1">
      <c r="A146" s="8">
        <v>5</v>
      </c>
      <c r="B146" t="s" s="9">
        <v>45</v>
      </c>
      <c r="C146" t="s" s="9">
        <v>31</v>
      </c>
      <c r="D146" t="s" s="9">
        <v>57</v>
      </c>
      <c r="E146" t="s" s="9">
        <v>33</v>
      </c>
      <c r="F146" s="10">
        <v>17</v>
      </c>
      <c r="G146" s="10">
        <v>5214931</v>
      </c>
      <c r="H146" s="11" cm="1">
        <f t="array" ref="H146">F146/G146*100000</f>
        <v>0.325987055245793</v>
      </c>
    </row>
    <row r="147" ht="13" customHeight="1">
      <c r="A147" s="8">
        <v>6</v>
      </c>
      <c r="B147" t="s" s="9">
        <v>45</v>
      </c>
      <c r="C147" t="s" s="9">
        <v>31</v>
      </c>
      <c r="D147" t="s" s="9">
        <v>57</v>
      </c>
      <c r="E147" t="s" s="9">
        <v>33</v>
      </c>
      <c r="F147" s="10">
        <v>17</v>
      </c>
      <c r="G147" s="10">
        <v>5214931</v>
      </c>
      <c r="H147" s="11" cm="1">
        <f t="array" ref="H147">F147/G147*100000</f>
        <v>0.325987055245793</v>
      </c>
    </row>
    <row r="148" ht="13" customHeight="1">
      <c r="A148" s="8">
        <v>7</v>
      </c>
      <c r="B148" t="s" s="9">
        <v>41</v>
      </c>
      <c r="C148" t="s" s="9">
        <v>31</v>
      </c>
      <c r="D148" t="s" s="9">
        <v>57</v>
      </c>
      <c r="E148" t="s" s="9">
        <v>33</v>
      </c>
      <c r="F148" s="10">
        <v>6</v>
      </c>
      <c r="G148" s="10">
        <v>5214931</v>
      </c>
      <c r="H148" s="11" cm="1">
        <f t="array" ref="H148">F148/G148*100000</f>
        <v>0.115054254792633</v>
      </c>
    </row>
    <row r="149" ht="13" customHeight="1">
      <c r="A149" s="8">
        <v>8</v>
      </c>
      <c r="B149" t="s" s="9">
        <v>45</v>
      </c>
      <c r="C149" t="s" s="9">
        <v>31</v>
      </c>
      <c r="D149" t="s" s="9">
        <v>57</v>
      </c>
      <c r="E149" t="s" s="9">
        <v>33</v>
      </c>
      <c r="F149" s="10">
        <v>7</v>
      </c>
      <c r="G149" s="10">
        <v>5214931</v>
      </c>
      <c r="H149" s="11" cm="1">
        <f t="array" ref="H149">F149/G149*100000</f>
        <v>0.134229963924738</v>
      </c>
    </row>
    <row r="150" ht="13" customHeight="1">
      <c r="A150" s="8">
        <v>9</v>
      </c>
      <c r="B150" t="s" s="9">
        <v>45</v>
      </c>
      <c r="C150" t="s" s="9">
        <v>31</v>
      </c>
      <c r="D150" t="s" s="9">
        <v>57</v>
      </c>
      <c r="E150" t="s" s="9">
        <v>33</v>
      </c>
      <c r="F150" s="10">
        <v>4</v>
      </c>
      <c r="G150" s="10">
        <v>5214931</v>
      </c>
      <c r="H150" s="11" cm="1">
        <f t="array" ref="H150">F150/G150*100000</f>
        <v>0.0767028365284219</v>
      </c>
    </row>
    <row r="151" ht="13" customHeight="1">
      <c r="A151" s="8">
        <v>10</v>
      </c>
      <c r="B151" t="s" s="9">
        <v>45</v>
      </c>
      <c r="C151" t="s" s="9">
        <v>31</v>
      </c>
      <c r="D151" t="s" s="9">
        <v>57</v>
      </c>
      <c r="E151" t="s" s="9">
        <v>33</v>
      </c>
      <c r="F151" s="10">
        <v>3</v>
      </c>
      <c r="G151" s="10">
        <v>5214931</v>
      </c>
      <c r="H151" s="11" cm="1">
        <f t="array" ref="H151">F151/G151*100000</f>
        <v>0.0575271273963165</v>
      </c>
    </row>
    <row r="152" ht="13" customHeight="1">
      <c r="A152" s="8">
        <v>1</v>
      </c>
      <c r="B152" t="s" s="9">
        <v>30</v>
      </c>
      <c r="C152" t="s" s="9">
        <v>31</v>
      </c>
      <c r="D152" t="s" s="9">
        <v>20</v>
      </c>
      <c r="E152" t="s" s="9">
        <v>33</v>
      </c>
      <c r="F152" s="10">
        <v>3549</v>
      </c>
      <c r="G152" s="10">
        <v>2889689</v>
      </c>
      <c r="H152" s="11" cm="1">
        <f t="array" ref="H152">F152/G152*100000</f>
        <v>122.815984695931</v>
      </c>
    </row>
    <row r="153" ht="13" customHeight="1">
      <c r="A153" s="8">
        <v>2</v>
      </c>
      <c r="B153" t="s" s="9">
        <v>39</v>
      </c>
      <c r="C153" t="s" s="9">
        <v>31</v>
      </c>
      <c r="D153" t="s" s="9">
        <v>20</v>
      </c>
      <c r="E153" t="s" s="9">
        <v>33</v>
      </c>
      <c r="F153" s="10">
        <v>940</v>
      </c>
      <c r="G153" s="10">
        <v>2889689</v>
      </c>
      <c r="H153" s="11" cm="1">
        <f t="array" ref="H153">F153/G153*100000</f>
        <v>32.5294521313539</v>
      </c>
    </row>
    <row r="154" ht="13" customHeight="1">
      <c r="A154" s="8">
        <v>3</v>
      </c>
      <c r="B154" t="s" s="9">
        <v>35</v>
      </c>
      <c r="C154" t="s" s="9">
        <v>31</v>
      </c>
      <c r="D154" t="s" s="9">
        <v>20</v>
      </c>
      <c r="E154" t="s" s="9">
        <v>33</v>
      </c>
      <c r="F154" s="10">
        <v>1301</v>
      </c>
      <c r="G154" s="10">
        <v>2889689</v>
      </c>
      <c r="H154" s="11" cm="1">
        <f t="array" ref="H154">F154/G154*100000</f>
        <v>45.0221459817994</v>
      </c>
    </row>
    <row r="155" ht="13" customHeight="1">
      <c r="A155" s="8">
        <v>4</v>
      </c>
      <c r="B155" t="s" s="9">
        <v>30</v>
      </c>
      <c r="C155" t="s" s="9">
        <v>31</v>
      </c>
      <c r="D155" t="s" s="9">
        <v>20</v>
      </c>
      <c r="E155" t="s" s="9">
        <v>33</v>
      </c>
      <c r="F155" s="10">
        <v>1075</v>
      </c>
      <c r="G155" s="10">
        <v>2889689</v>
      </c>
      <c r="H155" s="11" cm="1">
        <f t="array" ref="H155">F155/G155*100000</f>
        <v>37.2012351502186</v>
      </c>
    </row>
    <row r="156" ht="13" customHeight="1">
      <c r="A156" s="8">
        <v>5</v>
      </c>
      <c r="B156" t="s" s="9">
        <v>34</v>
      </c>
      <c r="C156" t="s" s="9">
        <v>31</v>
      </c>
      <c r="D156" t="s" s="9">
        <v>20</v>
      </c>
      <c r="E156" t="s" s="9">
        <v>33</v>
      </c>
      <c r="F156" s="10">
        <v>1033</v>
      </c>
      <c r="G156" s="10">
        <v>2889689</v>
      </c>
      <c r="H156" s="11" cm="1">
        <f t="array" ref="H156">F156/G156*100000</f>
        <v>35.7477915443496</v>
      </c>
    </row>
    <row r="157" ht="13" customHeight="1">
      <c r="A157" s="8">
        <v>6</v>
      </c>
      <c r="B157" t="s" s="9">
        <v>36</v>
      </c>
      <c r="C157" t="s" s="9">
        <v>31</v>
      </c>
      <c r="D157" t="s" s="9">
        <v>20</v>
      </c>
      <c r="E157" t="s" s="9">
        <v>33</v>
      </c>
      <c r="F157" s="10">
        <v>437</v>
      </c>
      <c r="G157" s="10">
        <v>2889689</v>
      </c>
      <c r="H157" s="11" cm="1">
        <f t="array" ref="H157">F157/G157*100000</f>
        <v>15.1227346610656</v>
      </c>
    </row>
    <row r="158" ht="13" customHeight="1">
      <c r="A158" s="8">
        <v>7</v>
      </c>
      <c r="B158" t="s" s="9">
        <v>45</v>
      </c>
      <c r="C158" t="s" s="9">
        <v>31</v>
      </c>
      <c r="D158" t="s" s="9">
        <v>20</v>
      </c>
      <c r="E158" t="s" s="9">
        <v>33</v>
      </c>
      <c r="F158" s="10">
        <v>430</v>
      </c>
      <c r="G158" s="10">
        <v>2889689</v>
      </c>
      <c r="H158" s="11" cm="1">
        <f t="array" ref="H158">F158/G158*100000</f>
        <v>14.8804940600874</v>
      </c>
    </row>
    <row r="159" ht="13" customHeight="1">
      <c r="A159" s="8">
        <v>8</v>
      </c>
      <c r="B159" t="s" s="9">
        <v>37</v>
      </c>
      <c r="C159" t="s" s="9">
        <v>31</v>
      </c>
      <c r="D159" t="s" s="9">
        <v>20</v>
      </c>
      <c r="E159" t="s" s="9">
        <v>33</v>
      </c>
      <c r="F159" s="10">
        <v>350</v>
      </c>
      <c r="G159" s="10">
        <v>2889689</v>
      </c>
      <c r="H159" s="11" cm="1">
        <f t="array" ref="H159">F159/G159*100000</f>
        <v>12.1120300489084</v>
      </c>
    </row>
    <row r="160" ht="13" customHeight="1">
      <c r="A160" s="8">
        <v>9</v>
      </c>
      <c r="B160" t="s" s="9">
        <v>45</v>
      </c>
      <c r="C160" t="s" s="9">
        <v>31</v>
      </c>
      <c r="D160" t="s" s="9">
        <v>20</v>
      </c>
      <c r="E160" t="s" s="9">
        <v>33</v>
      </c>
      <c r="F160" s="10">
        <v>272</v>
      </c>
      <c r="G160" s="10">
        <v>2889689</v>
      </c>
      <c r="H160" s="11" cm="1">
        <f t="array" ref="H160">F160/G160*100000</f>
        <v>9.4127776380088</v>
      </c>
    </row>
    <row r="161" ht="13" customHeight="1">
      <c r="A161" s="8">
        <v>10</v>
      </c>
      <c r="B161" t="s" s="9">
        <v>37</v>
      </c>
      <c r="C161" t="s" s="9">
        <v>31</v>
      </c>
      <c r="D161" t="s" s="9">
        <v>20</v>
      </c>
      <c r="E161" t="s" s="9">
        <v>33</v>
      </c>
      <c r="F161" s="10">
        <v>300</v>
      </c>
      <c r="G161" s="10">
        <v>2889689</v>
      </c>
      <c r="H161" s="11" cm="1">
        <f t="array" ref="H161">F161/G161*100000</f>
        <v>10.3817400419215</v>
      </c>
    </row>
    <row r="162" ht="13" customHeight="1">
      <c r="A162" s="8">
        <v>1</v>
      </c>
      <c r="B162" t="s" s="9">
        <v>30</v>
      </c>
      <c r="C162" t="s" s="9">
        <v>31</v>
      </c>
      <c r="D162" t="s" s="9">
        <v>21</v>
      </c>
      <c r="E162" t="s" s="9">
        <v>33</v>
      </c>
      <c r="F162" s="10">
        <v>2927</v>
      </c>
      <c r="G162" s="10">
        <v>4635519</v>
      </c>
      <c r="H162" s="11" cm="1">
        <f t="array" ref="H162">F162/G162*100000</f>
        <v>63.1428756952566</v>
      </c>
    </row>
    <row r="163" ht="13" customHeight="1">
      <c r="A163" s="8">
        <v>2</v>
      </c>
      <c r="B163" t="s" s="9">
        <v>30</v>
      </c>
      <c r="C163" t="s" s="9">
        <v>31</v>
      </c>
      <c r="D163" t="s" s="9">
        <v>21</v>
      </c>
      <c r="E163" t="s" s="9">
        <v>33</v>
      </c>
      <c r="F163" s="10">
        <v>2482</v>
      </c>
      <c r="G163" s="10">
        <v>4635519</v>
      </c>
      <c r="H163" s="11" cm="1">
        <f t="array" ref="H163">F163/G163*100000</f>
        <v>53.5430876240611</v>
      </c>
    </row>
    <row r="164" ht="13" customHeight="1">
      <c r="A164" s="8">
        <v>3</v>
      </c>
      <c r="B164" t="s" s="9">
        <v>34</v>
      </c>
      <c r="C164" t="s" s="9">
        <v>31</v>
      </c>
      <c r="D164" t="s" s="9">
        <v>21</v>
      </c>
      <c r="E164" t="s" s="9">
        <v>33</v>
      </c>
      <c r="F164" s="10">
        <v>1521</v>
      </c>
      <c r="G164" s="10">
        <v>4635519</v>
      </c>
      <c r="H164" s="11" cm="1">
        <f t="array" ref="H164">F164/G164*100000</f>
        <v>32.8118599017715</v>
      </c>
    </row>
    <row r="165" ht="13" customHeight="1">
      <c r="A165" s="8">
        <v>4</v>
      </c>
      <c r="B165" t="s" s="9">
        <v>36</v>
      </c>
      <c r="C165" t="s" s="9">
        <v>31</v>
      </c>
      <c r="D165" t="s" s="9">
        <v>21</v>
      </c>
      <c r="E165" t="s" s="9">
        <v>33</v>
      </c>
      <c r="F165" s="10">
        <v>1299</v>
      </c>
      <c r="G165" s="10">
        <v>4635519</v>
      </c>
      <c r="H165" s="11" cm="1">
        <f t="array" ref="H165">F165/G165*100000</f>
        <v>28.0227521449055</v>
      </c>
    </row>
    <row r="166" ht="13" customHeight="1">
      <c r="A166" s="8">
        <v>5</v>
      </c>
      <c r="B166" t="s" s="9">
        <v>30</v>
      </c>
      <c r="C166" t="s" s="9">
        <v>31</v>
      </c>
      <c r="D166" t="s" s="9">
        <v>21</v>
      </c>
      <c r="E166" t="s" s="9">
        <v>33</v>
      </c>
      <c r="F166" s="10">
        <v>613</v>
      </c>
      <c r="G166" s="10">
        <v>4635519</v>
      </c>
      <c r="H166" s="11" cm="1">
        <f t="array" ref="H166">F166/G166*100000</f>
        <v>13.2239777250401</v>
      </c>
    </row>
    <row r="167" ht="13" customHeight="1">
      <c r="A167" s="8">
        <v>6</v>
      </c>
      <c r="B167" t="s" s="9">
        <v>45</v>
      </c>
      <c r="C167" t="s" s="9">
        <v>31</v>
      </c>
      <c r="D167" t="s" s="9">
        <v>21</v>
      </c>
      <c r="E167" t="s" s="9">
        <v>33</v>
      </c>
      <c r="F167" s="10">
        <v>437</v>
      </c>
      <c r="G167" s="10">
        <v>4635519</v>
      </c>
      <c r="H167" s="11" cm="1">
        <f t="array" ref="H167">F167/G167*100000</f>
        <v>9.427207611488591</v>
      </c>
    </row>
    <row r="168" ht="13" customHeight="1">
      <c r="A168" s="8">
        <v>7</v>
      </c>
      <c r="B168" t="s" s="9">
        <v>36</v>
      </c>
      <c r="C168" t="s" s="9">
        <v>31</v>
      </c>
      <c r="D168" t="s" s="9">
        <v>21</v>
      </c>
      <c r="E168" t="s" s="9">
        <v>33</v>
      </c>
      <c r="F168" s="10">
        <v>384</v>
      </c>
      <c r="G168" s="10">
        <v>4635519</v>
      </c>
      <c r="H168" s="11" cm="1">
        <f t="array" ref="H168">F168/G168*100000</f>
        <v>8.28386206593048</v>
      </c>
    </row>
    <row r="169" ht="13" customHeight="1">
      <c r="A169" s="8">
        <v>8</v>
      </c>
      <c r="B169" t="s" s="9">
        <v>37</v>
      </c>
      <c r="C169" t="s" s="9">
        <v>31</v>
      </c>
      <c r="D169" t="s" s="9">
        <v>21</v>
      </c>
      <c r="E169" t="s" s="9">
        <v>33</v>
      </c>
      <c r="F169" s="10">
        <v>313</v>
      </c>
      <c r="G169" s="10">
        <v>4635519</v>
      </c>
      <c r="H169" s="11" cm="1">
        <f t="array" ref="H169">F169/G169*100000</f>
        <v>6.75221048603188</v>
      </c>
    </row>
    <row r="170" ht="13" customHeight="1">
      <c r="A170" s="8">
        <v>9</v>
      </c>
      <c r="B170" t="s" s="9">
        <v>30</v>
      </c>
      <c r="C170" t="s" s="9">
        <v>31</v>
      </c>
      <c r="D170" t="s" s="9">
        <v>21</v>
      </c>
      <c r="E170" t="s" s="9">
        <v>33</v>
      </c>
      <c r="F170" s="10">
        <v>346</v>
      </c>
      <c r="G170" s="10">
        <v>4635519</v>
      </c>
      <c r="H170" s="11" cm="1">
        <f t="array" ref="H170">F170/G170*100000</f>
        <v>7.46410488232278</v>
      </c>
    </row>
    <row r="171" ht="13" customHeight="1">
      <c r="A171" s="8">
        <v>10</v>
      </c>
      <c r="B171" t="s" s="9">
        <v>41</v>
      </c>
      <c r="C171" t="s" s="9">
        <v>31</v>
      </c>
      <c r="D171" t="s" s="9">
        <v>21</v>
      </c>
      <c r="E171" t="s" s="9">
        <v>33</v>
      </c>
      <c r="F171" s="10">
        <v>257</v>
      </c>
      <c r="G171" s="10">
        <v>4635519</v>
      </c>
      <c r="H171" s="11" cm="1">
        <f t="array" ref="H171">F171/G171*100000</f>
        <v>5.54414726808368</v>
      </c>
    </row>
    <row r="172" ht="13.65" customHeight="1">
      <c r="A172" s="8">
        <v>1</v>
      </c>
      <c r="B172" t="s" s="9">
        <v>30</v>
      </c>
      <c r="C172" t="s" s="9">
        <v>31</v>
      </c>
      <c r="D172" t="s" s="9">
        <v>58</v>
      </c>
      <c r="E172" t="s" s="9">
        <v>33</v>
      </c>
      <c r="F172" s="10">
        <v>3768</v>
      </c>
      <c r="G172" s="12"/>
      <c r="H172" s="13"/>
    </row>
    <row r="173" ht="13.65" customHeight="1">
      <c r="A173" s="8">
        <v>2</v>
      </c>
      <c r="B173" t="s" s="9">
        <v>30</v>
      </c>
      <c r="C173" t="s" s="9">
        <v>31</v>
      </c>
      <c r="D173" t="s" s="9">
        <v>58</v>
      </c>
      <c r="E173" t="s" s="9">
        <v>33</v>
      </c>
      <c r="F173" s="10">
        <v>1153</v>
      </c>
      <c r="G173" s="14"/>
      <c r="H173" s="15"/>
    </row>
    <row r="174" ht="13.65" customHeight="1">
      <c r="A174" s="8">
        <v>3</v>
      </c>
      <c r="B174" t="s" s="9">
        <v>35</v>
      </c>
      <c r="C174" t="s" s="9">
        <v>31</v>
      </c>
      <c r="D174" t="s" s="9">
        <v>58</v>
      </c>
      <c r="E174" t="s" s="9">
        <v>33</v>
      </c>
      <c r="F174" s="10">
        <v>637</v>
      </c>
      <c r="G174" s="14"/>
      <c r="H174" s="15"/>
    </row>
    <row r="175" ht="13.65" customHeight="1">
      <c r="A175" s="8">
        <v>4</v>
      </c>
      <c r="B175" t="s" s="9">
        <v>30</v>
      </c>
      <c r="C175" t="s" s="9">
        <v>31</v>
      </c>
      <c r="D175" t="s" s="9">
        <v>58</v>
      </c>
      <c r="E175" t="s" s="9">
        <v>33</v>
      </c>
      <c r="F175" s="10">
        <v>761</v>
      </c>
      <c r="G175" s="14"/>
      <c r="H175" s="15"/>
    </row>
    <row r="176" ht="13.65" customHeight="1">
      <c r="A176" s="8">
        <v>5</v>
      </c>
      <c r="B176" t="s" s="9">
        <v>30</v>
      </c>
      <c r="C176" t="s" s="9">
        <v>31</v>
      </c>
      <c r="D176" t="s" s="9">
        <v>58</v>
      </c>
      <c r="E176" t="s" s="9">
        <v>33</v>
      </c>
      <c r="F176" s="10">
        <v>601</v>
      </c>
      <c r="G176" s="14"/>
      <c r="H176" s="15"/>
    </row>
    <row r="177" ht="13.65" customHeight="1">
      <c r="A177" s="8">
        <v>6</v>
      </c>
      <c r="B177" t="s" s="9">
        <v>39</v>
      </c>
      <c r="C177" t="s" s="9">
        <v>31</v>
      </c>
      <c r="D177" t="s" s="9">
        <v>58</v>
      </c>
      <c r="E177" t="s" s="9">
        <v>33</v>
      </c>
      <c r="F177" s="10">
        <v>668</v>
      </c>
      <c r="G177" s="14"/>
      <c r="H177" s="15"/>
    </row>
    <row r="178" ht="13.65" customHeight="1">
      <c r="A178" s="8">
        <v>7</v>
      </c>
      <c r="B178" t="s" s="9">
        <v>34</v>
      </c>
      <c r="C178" t="s" s="9">
        <v>31</v>
      </c>
      <c r="D178" t="s" s="9">
        <v>58</v>
      </c>
      <c r="E178" t="s" s="9">
        <v>33</v>
      </c>
      <c r="F178" s="10">
        <v>640</v>
      </c>
      <c r="G178" s="14"/>
      <c r="H178" s="15"/>
    </row>
    <row r="179" ht="13.65" customHeight="1">
      <c r="A179" s="8">
        <v>8</v>
      </c>
      <c r="B179" t="s" s="9">
        <v>45</v>
      </c>
      <c r="C179" t="s" s="9">
        <v>31</v>
      </c>
      <c r="D179" t="s" s="9">
        <v>58</v>
      </c>
      <c r="E179" t="s" s="9">
        <v>33</v>
      </c>
      <c r="F179" s="10">
        <v>231</v>
      </c>
      <c r="G179" s="14"/>
      <c r="H179" s="15"/>
    </row>
    <row r="180" ht="13.65" customHeight="1">
      <c r="A180" s="8">
        <v>9</v>
      </c>
      <c r="B180" t="s" s="9">
        <v>59</v>
      </c>
      <c r="C180" t="s" s="9">
        <v>31</v>
      </c>
      <c r="D180" t="s" s="9">
        <v>58</v>
      </c>
      <c r="E180" t="s" s="9">
        <v>33</v>
      </c>
      <c r="F180" s="10">
        <v>276</v>
      </c>
      <c r="G180" s="14"/>
      <c r="H180" s="15"/>
    </row>
    <row r="181" ht="13.65" customHeight="1">
      <c r="A181" s="8">
        <v>10</v>
      </c>
      <c r="B181" t="s" s="9">
        <v>36</v>
      </c>
      <c r="C181" t="s" s="9">
        <v>31</v>
      </c>
      <c r="D181" t="s" s="9">
        <v>58</v>
      </c>
      <c r="E181" t="s" s="9">
        <v>33</v>
      </c>
      <c r="F181" s="10">
        <v>217</v>
      </c>
      <c r="G181" s="16"/>
      <c r="H181" s="17"/>
    </row>
    <row r="182" ht="13" customHeight="1">
      <c r="A182" s="8">
        <v>1</v>
      </c>
      <c r="B182" t="s" s="9">
        <v>35</v>
      </c>
      <c r="C182" t="s" s="9">
        <v>60</v>
      </c>
      <c r="D182" t="s" s="9">
        <v>32</v>
      </c>
      <c r="E182" t="s" s="9">
        <v>33</v>
      </c>
      <c r="F182" s="10">
        <v>4468</v>
      </c>
      <c r="G182" s="10">
        <v>14521657</v>
      </c>
      <c r="H182" s="11" cm="1">
        <f t="array" ref="H182">F182/G182*100000</f>
        <v>30.7678386839739</v>
      </c>
    </row>
    <row r="183" ht="13" customHeight="1">
      <c r="A183" s="8">
        <v>2</v>
      </c>
      <c r="B183" t="s" s="9">
        <v>30</v>
      </c>
      <c r="C183" t="s" s="9">
        <v>60</v>
      </c>
      <c r="D183" t="s" s="9">
        <v>32</v>
      </c>
      <c r="E183" t="s" s="9">
        <v>33</v>
      </c>
      <c r="F183" s="10">
        <v>4093</v>
      </c>
      <c r="G183" s="10">
        <v>14521657</v>
      </c>
      <c r="H183" s="11" cm="1">
        <f t="array" ref="H183">F183/G183*100000</f>
        <v>28.1854887496654</v>
      </c>
    </row>
    <row r="184" ht="13" customHeight="1">
      <c r="A184" s="8">
        <v>3</v>
      </c>
      <c r="B184" t="s" s="9">
        <v>34</v>
      </c>
      <c r="C184" t="s" s="9">
        <v>60</v>
      </c>
      <c r="D184" t="s" s="9">
        <v>32</v>
      </c>
      <c r="E184" t="s" s="9">
        <v>33</v>
      </c>
      <c r="F184" s="10">
        <v>3020</v>
      </c>
      <c r="G184" s="10">
        <v>14521657</v>
      </c>
      <c r="H184" s="11" cm="1">
        <f t="array" ref="H184">F184/G184*100000</f>
        <v>20.7965248042975</v>
      </c>
    </row>
    <row r="185" ht="13" customHeight="1">
      <c r="A185" s="8">
        <v>4</v>
      </c>
      <c r="B185" t="s" s="9">
        <v>30</v>
      </c>
      <c r="C185" t="s" s="9">
        <v>60</v>
      </c>
      <c r="D185" t="s" s="9">
        <v>32</v>
      </c>
      <c r="E185" t="s" s="9">
        <v>33</v>
      </c>
      <c r="F185" s="10">
        <v>3272</v>
      </c>
      <c r="G185" s="10">
        <v>14521657</v>
      </c>
      <c r="H185" s="11" cm="1">
        <f t="array" ref="H185">F185/G185*100000</f>
        <v>22.5318639601528</v>
      </c>
    </row>
    <row r="186" ht="13" customHeight="1">
      <c r="A186" s="8">
        <v>5</v>
      </c>
      <c r="B186" t="s" s="9">
        <v>41</v>
      </c>
      <c r="C186" t="s" s="9">
        <v>60</v>
      </c>
      <c r="D186" t="s" s="9">
        <v>32</v>
      </c>
      <c r="E186" t="s" s="9">
        <v>33</v>
      </c>
      <c r="F186" s="10">
        <v>2206</v>
      </c>
      <c r="G186" s="10">
        <v>14521657</v>
      </c>
      <c r="H186" s="11" cm="1">
        <f t="array" ref="H186">F186/G186*100000</f>
        <v>15.1911038802252</v>
      </c>
    </row>
    <row r="187" ht="13" customHeight="1">
      <c r="A187" s="8">
        <v>6</v>
      </c>
      <c r="B187" t="s" s="9">
        <v>30</v>
      </c>
      <c r="C187" t="s" s="9">
        <v>60</v>
      </c>
      <c r="D187" t="s" s="9">
        <v>32</v>
      </c>
      <c r="E187" t="s" s="9">
        <v>33</v>
      </c>
      <c r="F187" s="10">
        <v>2332</v>
      </c>
      <c r="G187" s="10">
        <v>14521657</v>
      </c>
      <c r="H187" s="11" cm="1">
        <f t="array" ref="H187">F187/G187*100000</f>
        <v>16.0587734581529</v>
      </c>
    </row>
    <row r="188" ht="13" customHeight="1">
      <c r="A188" s="8">
        <v>7</v>
      </c>
      <c r="B188" t="s" s="9">
        <v>37</v>
      </c>
      <c r="C188" t="s" s="9">
        <v>60</v>
      </c>
      <c r="D188" t="s" s="9">
        <v>32</v>
      </c>
      <c r="E188" t="s" s="9">
        <v>33</v>
      </c>
      <c r="F188" s="10">
        <v>991</v>
      </c>
      <c r="G188" s="10">
        <v>14521657</v>
      </c>
      <c r="H188" s="11" cm="1">
        <f t="array" ref="H188">F188/G188*100000</f>
        <v>6.82429009306583</v>
      </c>
    </row>
    <row r="189" ht="13" customHeight="1">
      <c r="A189" s="8">
        <v>8</v>
      </c>
      <c r="B189" t="s" s="9">
        <v>30</v>
      </c>
      <c r="C189" t="s" s="9">
        <v>60</v>
      </c>
      <c r="D189" t="s" s="9">
        <v>32</v>
      </c>
      <c r="E189" t="s" s="9">
        <v>33</v>
      </c>
      <c r="F189" s="10">
        <v>1003</v>
      </c>
      <c r="G189" s="10">
        <v>14521657</v>
      </c>
      <c r="H189" s="11" cm="1">
        <f t="array" ref="H189">F189/G189*100000</f>
        <v>6.9069252909637</v>
      </c>
    </row>
    <row r="190" ht="13" customHeight="1">
      <c r="A190" s="8">
        <v>9</v>
      </c>
      <c r="B190" t="s" s="9">
        <v>39</v>
      </c>
      <c r="C190" t="s" s="9">
        <v>60</v>
      </c>
      <c r="D190" t="s" s="9">
        <v>32</v>
      </c>
      <c r="E190" t="s" s="9">
        <v>33</v>
      </c>
      <c r="F190" s="10">
        <v>616</v>
      </c>
      <c r="G190" s="10">
        <v>14521657</v>
      </c>
      <c r="H190" s="11" cm="1">
        <f t="array" ref="H190">F190/G190*100000</f>
        <v>4.24194015875736</v>
      </c>
    </row>
    <row r="191" ht="13" customHeight="1">
      <c r="A191" s="8">
        <v>10</v>
      </c>
      <c r="B191" t="s" s="9">
        <v>37</v>
      </c>
      <c r="C191" t="s" s="9">
        <v>60</v>
      </c>
      <c r="D191" t="s" s="9">
        <v>32</v>
      </c>
      <c r="E191" t="s" s="9">
        <v>33</v>
      </c>
      <c r="F191" s="10">
        <v>693</v>
      </c>
      <c r="G191" s="10">
        <v>14521657</v>
      </c>
      <c r="H191" s="11" cm="1">
        <f t="array" ref="H191">F191/G191*100000</f>
        <v>4.77218267860204</v>
      </c>
    </row>
    <row r="192" ht="13" customHeight="1">
      <c r="A192" s="8">
        <v>1</v>
      </c>
      <c r="B192" t="s" s="9">
        <v>30</v>
      </c>
      <c r="C192" t="s" s="9">
        <v>60</v>
      </c>
      <c r="D192" t="s" s="9">
        <v>38</v>
      </c>
      <c r="E192" t="s" s="9">
        <v>33</v>
      </c>
      <c r="F192" s="10">
        <v>8100</v>
      </c>
      <c r="G192" s="10">
        <v>1874281</v>
      </c>
      <c r="H192" s="11" cm="1">
        <f t="array" ref="H192">F192/G192*100000</f>
        <v>432.165721148536</v>
      </c>
    </row>
    <row r="193" ht="13" customHeight="1">
      <c r="A193" s="8">
        <v>2</v>
      </c>
      <c r="B193" t="s" s="9">
        <v>34</v>
      </c>
      <c r="C193" t="s" s="9">
        <v>60</v>
      </c>
      <c r="D193" t="s" s="9">
        <v>38</v>
      </c>
      <c r="E193" t="s" s="9">
        <v>33</v>
      </c>
      <c r="F193" s="10">
        <v>2737</v>
      </c>
      <c r="G193" s="10">
        <v>1874281</v>
      </c>
      <c r="H193" s="11" cm="1">
        <f t="array" ref="H193">F193/G193*100000</f>
        <v>146.029330714018</v>
      </c>
    </row>
    <row r="194" ht="13" customHeight="1">
      <c r="A194" s="8">
        <v>3</v>
      </c>
      <c r="B194" t="s" s="9">
        <v>37</v>
      </c>
      <c r="C194" t="s" s="9">
        <v>60</v>
      </c>
      <c r="D194" t="s" s="9">
        <v>38</v>
      </c>
      <c r="E194" t="s" s="9">
        <v>33</v>
      </c>
      <c r="F194" s="10">
        <v>1370</v>
      </c>
      <c r="G194" s="10">
        <v>1874281</v>
      </c>
      <c r="H194" s="11" cm="1">
        <f t="array" ref="H194">F194/G194*100000</f>
        <v>73.0946960461105</v>
      </c>
    </row>
    <row r="195" ht="13" customHeight="1">
      <c r="A195" s="8">
        <v>4</v>
      </c>
      <c r="B195" t="s" s="9">
        <v>39</v>
      </c>
      <c r="C195" t="s" s="9">
        <v>60</v>
      </c>
      <c r="D195" t="s" s="9">
        <v>38</v>
      </c>
      <c r="E195" t="s" s="9">
        <v>33</v>
      </c>
      <c r="F195" s="10">
        <v>666</v>
      </c>
      <c r="G195" s="10">
        <v>1874281</v>
      </c>
      <c r="H195" s="11" cm="1">
        <f t="array" ref="H195">F195/G195*100000</f>
        <v>35.5336259611019</v>
      </c>
    </row>
    <row r="196" ht="13" customHeight="1">
      <c r="A196" s="8">
        <v>5</v>
      </c>
      <c r="B196" t="s" s="9">
        <v>35</v>
      </c>
      <c r="C196" t="s" s="9">
        <v>60</v>
      </c>
      <c r="D196" t="s" s="9">
        <v>38</v>
      </c>
      <c r="E196" t="s" s="9">
        <v>33</v>
      </c>
      <c r="F196" s="10">
        <v>1166</v>
      </c>
      <c r="G196" s="10">
        <v>1874281</v>
      </c>
      <c r="H196" s="11" cm="1">
        <f t="array" ref="H196">F196/G196*100000</f>
        <v>62.2105223282955</v>
      </c>
    </row>
    <row r="197" ht="13" customHeight="1">
      <c r="A197" s="8">
        <v>6</v>
      </c>
      <c r="B197" t="s" s="9">
        <v>30</v>
      </c>
      <c r="C197" t="s" s="9">
        <v>60</v>
      </c>
      <c r="D197" t="s" s="9">
        <v>38</v>
      </c>
      <c r="E197" t="s" s="9">
        <v>33</v>
      </c>
      <c r="F197" s="10">
        <v>881</v>
      </c>
      <c r="G197" s="10">
        <v>1874281</v>
      </c>
      <c r="H197" s="11" cm="1">
        <f t="array" ref="H197">F197/G197*100000</f>
        <v>47.0046913989951</v>
      </c>
    </row>
    <row r="198" ht="13" customHeight="1">
      <c r="A198" s="8">
        <v>7</v>
      </c>
      <c r="B198" t="s" s="9">
        <v>39</v>
      </c>
      <c r="C198" t="s" s="9">
        <v>60</v>
      </c>
      <c r="D198" t="s" s="9">
        <v>38</v>
      </c>
      <c r="E198" t="s" s="9">
        <v>33</v>
      </c>
      <c r="F198" s="10">
        <v>2</v>
      </c>
      <c r="G198" s="10">
        <v>1874281</v>
      </c>
      <c r="H198" s="11" cm="1">
        <f t="array" ref="H198">F198/G198*100000</f>
        <v>0.106707585468774</v>
      </c>
    </row>
    <row r="199" ht="13" customHeight="1">
      <c r="A199" s="8">
        <v>8</v>
      </c>
      <c r="B199" t="s" s="9">
        <v>40</v>
      </c>
      <c r="C199" t="s" s="9">
        <v>60</v>
      </c>
      <c r="D199" t="s" s="9">
        <v>38</v>
      </c>
      <c r="E199" t="s" s="9">
        <v>33</v>
      </c>
      <c r="F199" s="10">
        <v>643</v>
      </c>
      <c r="G199" s="10">
        <v>1874281</v>
      </c>
      <c r="H199" s="11" cm="1">
        <f t="array" ref="H199">F199/G199*100000</f>
        <v>34.306488728211</v>
      </c>
    </row>
    <row r="200" ht="13" customHeight="1">
      <c r="A200" s="8">
        <v>9</v>
      </c>
      <c r="B200" t="s" s="9">
        <v>37</v>
      </c>
      <c r="C200" t="s" s="9">
        <v>60</v>
      </c>
      <c r="D200" t="s" s="9">
        <v>38</v>
      </c>
      <c r="E200" t="s" s="9">
        <v>33</v>
      </c>
      <c r="F200" s="10">
        <v>457</v>
      </c>
      <c r="G200" s="10">
        <v>1874281</v>
      </c>
      <c r="H200" s="11" cm="1">
        <f t="array" ref="H200">F200/G200*100000</f>
        <v>24.382683279615</v>
      </c>
    </row>
    <row r="201" ht="13" customHeight="1">
      <c r="A201" s="8">
        <v>10</v>
      </c>
      <c r="B201" t="s" s="9">
        <v>45</v>
      </c>
      <c r="C201" t="s" s="9">
        <v>60</v>
      </c>
      <c r="D201" t="s" s="9">
        <v>38</v>
      </c>
      <c r="E201" t="s" s="9">
        <v>33</v>
      </c>
      <c r="F201" s="10">
        <v>499</v>
      </c>
      <c r="G201" s="10">
        <v>1874281</v>
      </c>
      <c r="H201" s="11" cm="1">
        <f t="array" ref="H201">F201/G201*100000</f>
        <v>26.6235425744592</v>
      </c>
    </row>
    <row r="202" ht="13" customHeight="1">
      <c r="A202" s="8">
        <v>1</v>
      </c>
      <c r="B202" t="s" s="9">
        <v>30</v>
      </c>
      <c r="C202" t="s" s="9">
        <v>60</v>
      </c>
      <c r="D202" t="s" s="9">
        <v>42</v>
      </c>
      <c r="E202" t="s" s="9">
        <v>33</v>
      </c>
      <c r="F202" s="10">
        <v>5028</v>
      </c>
      <c r="G202" s="10">
        <v>5458063</v>
      </c>
      <c r="H202" s="11" cm="1">
        <f t="array" ref="H202">F202/G202*100000</f>
        <v>92.1205929649401</v>
      </c>
    </row>
    <row r="203" ht="13" customHeight="1">
      <c r="A203" s="8">
        <v>2</v>
      </c>
      <c r="B203" t="s" s="9">
        <v>34</v>
      </c>
      <c r="C203" t="s" s="9">
        <v>60</v>
      </c>
      <c r="D203" t="s" s="9">
        <v>42</v>
      </c>
      <c r="E203" t="s" s="9">
        <v>33</v>
      </c>
      <c r="F203" s="10">
        <v>2423</v>
      </c>
      <c r="G203" s="10">
        <v>5458063</v>
      </c>
      <c r="H203" s="11" cm="1">
        <f t="array" ref="H203">F203/G203*100000</f>
        <v>44.3930383361277</v>
      </c>
    </row>
    <row r="204" ht="13" customHeight="1">
      <c r="A204" s="8">
        <v>3</v>
      </c>
      <c r="B204" t="s" s="9">
        <v>35</v>
      </c>
      <c r="C204" t="s" s="9">
        <v>60</v>
      </c>
      <c r="D204" t="s" s="9">
        <v>42</v>
      </c>
      <c r="E204" t="s" s="9">
        <v>33</v>
      </c>
      <c r="F204" s="10">
        <v>1836</v>
      </c>
      <c r="G204" s="10">
        <v>5458063</v>
      </c>
      <c r="H204" s="11" cm="1">
        <f t="array" ref="H204">F204/G204*100000</f>
        <v>33.6383072163147</v>
      </c>
    </row>
    <row r="205" ht="13" customHeight="1">
      <c r="A205" s="8">
        <v>4</v>
      </c>
      <c r="B205" t="s" s="9">
        <v>37</v>
      </c>
      <c r="C205" t="s" s="9">
        <v>60</v>
      </c>
      <c r="D205" t="s" s="9">
        <v>42</v>
      </c>
      <c r="E205" t="s" s="9">
        <v>33</v>
      </c>
      <c r="F205" s="10">
        <v>792</v>
      </c>
      <c r="G205" s="10">
        <v>5458063</v>
      </c>
      <c r="H205" s="11" cm="1">
        <f t="array" ref="H205">F205/G205*100000</f>
        <v>14.5106423286063</v>
      </c>
    </row>
    <row r="206" ht="13" customHeight="1">
      <c r="A206" s="8">
        <v>5</v>
      </c>
      <c r="B206" t="s" s="9">
        <v>30</v>
      </c>
      <c r="C206" t="s" s="9">
        <v>60</v>
      </c>
      <c r="D206" t="s" s="9">
        <v>42</v>
      </c>
      <c r="E206" t="s" s="9">
        <v>33</v>
      </c>
      <c r="F206" s="10">
        <v>853</v>
      </c>
      <c r="G206" s="10">
        <v>5458063</v>
      </c>
      <c r="H206" s="11" cm="1">
        <f t="array" ref="H206">F206/G206*100000</f>
        <v>15.6282549321985</v>
      </c>
    </row>
    <row r="207" ht="13" customHeight="1">
      <c r="A207" s="8">
        <v>6</v>
      </c>
      <c r="B207" t="s" s="9">
        <v>39</v>
      </c>
      <c r="C207" t="s" s="9">
        <v>60</v>
      </c>
      <c r="D207" t="s" s="9">
        <v>42</v>
      </c>
      <c r="E207" t="s" s="9">
        <v>33</v>
      </c>
      <c r="F207" s="10">
        <v>503</v>
      </c>
      <c r="G207" s="10">
        <v>5458063</v>
      </c>
      <c r="H207" s="11" cm="1">
        <f t="array" ref="H207">F207/G207*100000</f>
        <v>9.21572360011235</v>
      </c>
    </row>
    <row r="208" ht="13" customHeight="1">
      <c r="A208" s="8">
        <v>7</v>
      </c>
      <c r="B208" t="s" s="9">
        <v>40</v>
      </c>
      <c r="C208" t="s" s="9">
        <v>60</v>
      </c>
      <c r="D208" t="s" s="9">
        <v>42</v>
      </c>
      <c r="E208" t="s" s="9">
        <v>33</v>
      </c>
      <c r="F208" s="10">
        <v>875</v>
      </c>
      <c r="G208" s="10">
        <v>5458063</v>
      </c>
      <c r="H208" s="11" cm="1">
        <f t="array" ref="H208">F208/G208*100000</f>
        <v>16.0313283302153</v>
      </c>
    </row>
    <row r="209" ht="13" customHeight="1">
      <c r="A209" s="8">
        <v>8</v>
      </c>
      <c r="B209" t="s" s="9">
        <v>41</v>
      </c>
      <c r="C209" t="s" s="9">
        <v>60</v>
      </c>
      <c r="D209" t="s" s="9">
        <v>42</v>
      </c>
      <c r="E209" t="s" s="9">
        <v>33</v>
      </c>
      <c r="F209" s="10">
        <v>546</v>
      </c>
      <c r="G209" s="10">
        <v>5458063</v>
      </c>
      <c r="H209" s="11" cm="1">
        <f t="array" ref="H209">F209/G209*100000</f>
        <v>10.0035488780544</v>
      </c>
    </row>
    <row r="210" ht="13" customHeight="1">
      <c r="A210" s="8">
        <v>9</v>
      </c>
      <c r="B210" t="s" s="9">
        <v>37</v>
      </c>
      <c r="C210" t="s" s="9">
        <v>60</v>
      </c>
      <c r="D210" t="s" s="9">
        <v>42</v>
      </c>
      <c r="E210" t="s" s="9">
        <v>33</v>
      </c>
      <c r="F210" s="10">
        <v>442</v>
      </c>
      <c r="G210" s="10">
        <v>5458063</v>
      </c>
      <c r="H210" s="11" cm="1">
        <f t="array" ref="H210">F210/G210*100000</f>
        <v>8.098110996520189</v>
      </c>
    </row>
    <row r="211" ht="13" customHeight="1">
      <c r="A211" s="8">
        <v>10</v>
      </c>
      <c r="B211" t="s" s="9">
        <v>37</v>
      </c>
      <c r="C211" t="s" s="9">
        <v>60</v>
      </c>
      <c r="D211" t="s" s="9">
        <v>42</v>
      </c>
      <c r="E211" t="s" s="9">
        <v>33</v>
      </c>
      <c r="F211" s="10">
        <v>490</v>
      </c>
      <c r="G211" s="10">
        <v>5458063</v>
      </c>
      <c r="H211" s="11" cm="1">
        <f t="array" ref="H211">F211/G211*100000</f>
        <v>8.97754386492058</v>
      </c>
    </row>
    <row r="212" ht="13" customHeight="1">
      <c r="A212" s="8">
        <v>1</v>
      </c>
      <c r="B212" t="s" s="9">
        <v>30</v>
      </c>
      <c r="C212" t="s" s="9">
        <v>60</v>
      </c>
      <c r="D212" t="s" s="9">
        <v>43</v>
      </c>
      <c r="E212" t="s" s="9">
        <v>33</v>
      </c>
      <c r="F212" s="10">
        <v>5154</v>
      </c>
      <c r="G212" s="10">
        <v>3817144</v>
      </c>
      <c r="H212" s="11" cm="1">
        <f t="array" ref="H212">F212/G212*100000</f>
        <v>135.022414663948</v>
      </c>
    </row>
    <row r="213" ht="13" customHeight="1">
      <c r="A213" s="8">
        <v>2</v>
      </c>
      <c r="B213" t="s" s="9">
        <v>34</v>
      </c>
      <c r="C213" t="s" s="9">
        <v>60</v>
      </c>
      <c r="D213" t="s" s="9">
        <v>43</v>
      </c>
      <c r="E213" t="s" s="9">
        <v>33</v>
      </c>
      <c r="F213" s="10">
        <v>4868</v>
      </c>
      <c r="G213" s="10">
        <v>3817144</v>
      </c>
      <c r="H213" s="11" cm="1">
        <f t="array" ref="H213">F213/G213*100000</f>
        <v>127.529901937155</v>
      </c>
    </row>
    <row r="214" ht="13" customHeight="1">
      <c r="A214" s="8">
        <v>3</v>
      </c>
      <c r="B214" t="s" s="9">
        <v>30</v>
      </c>
      <c r="C214" t="s" s="9">
        <v>60</v>
      </c>
      <c r="D214" t="s" s="9">
        <v>43</v>
      </c>
      <c r="E214" t="s" s="9">
        <v>33</v>
      </c>
      <c r="F214" s="10">
        <v>1015</v>
      </c>
      <c r="G214" s="10">
        <v>3817144</v>
      </c>
      <c r="H214" s="11" cm="1">
        <f t="array" ref="H214">F214/G214*100000</f>
        <v>26.5905609010297</v>
      </c>
    </row>
    <row r="215" ht="13" customHeight="1">
      <c r="A215" s="8">
        <v>4</v>
      </c>
      <c r="B215" t="s" s="9">
        <v>45</v>
      </c>
      <c r="C215" t="s" s="9">
        <v>60</v>
      </c>
      <c r="D215" t="s" s="9">
        <v>43</v>
      </c>
      <c r="E215" t="s" s="9">
        <v>33</v>
      </c>
      <c r="F215" s="10">
        <v>908</v>
      </c>
      <c r="G215" s="10">
        <v>3817144</v>
      </c>
      <c r="H215" s="11" cm="1">
        <f t="array" ref="H215">F215/G215*100000</f>
        <v>23.7874180277192</v>
      </c>
    </row>
    <row r="216" ht="13" customHeight="1">
      <c r="A216" s="8">
        <v>5</v>
      </c>
      <c r="B216" t="s" s="9">
        <v>40</v>
      </c>
      <c r="C216" t="s" s="9">
        <v>60</v>
      </c>
      <c r="D216" t="s" s="9">
        <v>43</v>
      </c>
      <c r="E216" t="s" s="9">
        <v>33</v>
      </c>
      <c r="F216" s="10">
        <v>719</v>
      </c>
      <c r="G216" s="10">
        <v>3817144</v>
      </c>
      <c r="H216" s="11" cm="1">
        <f t="array" ref="H216">F216/G216*100000</f>
        <v>18.8360722047688</v>
      </c>
    </row>
    <row r="217" ht="13" customHeight="1">
      <c r="A217" s="8">
        <v>6</v>
      </c>
      <c r="B217" t="s" s="9">
        <v>37</v>
      </c>
      <c r="C217" t="s" s="9">
        <v>60</v>
      </c>
      <c r="D217" t="s" s="9">
        <v>43</v>
      </c>
      <c r="E217" t="s" s="9">
        <v>33</v>
      </c>
      <c r="F217" s="10">
        <v>578</v>
      </c>
      <c r="G217" s="10">
        <v>3817144</v>
      </c>
      <c r="H217" s="11" cm="1">
        <f t="array" ref="H217">F217/G217*100000</f>
        <v>15.1422110352662</v>
      </c>
    </row>
    <row r="218" ht="13" customHeight="1">
      <c r="A218" s="8">
        <v>7</v>
      </c>
      <c r="B218" t="s" s="9">
        <v>30</v>
      </c>
      <c r="C218" t="s" s="9">
        <v>60</v>
      </c>
      <c r="D218" t="s" s="9">
        <v>43</v>
      </c>
      <c r="E218" t="s" s="9">
        <v>33</v>
      </c>
      <c r="F218" s="10">
        <v>497</v>
      </c>
      <c r="G218" s="10">
        <v>3817144</v>
      </c>
      <c r="H218" s="11" cm="1">
        <f t="array" ref="H218">F218/G218*100000</f>
        <v>13.0202056825731</v>
      </c>
    </row>
    <row r="219" ht="13" customHeight="1">
      <c r="A219" s="8">
        <v>8</v>
      </c>
      <c r="B219" t="s" s="9">
        <v>30</v>
      </c>
      <c r="C219" t="s" s="9">
        <v>60</v>
      </c>
      <c r="D219" t="s" s="9">
        <v>43</v>
      </c>
      <c r="E219" t="s" s="9">
        <v>33</v>
      </c>
      <c r="F219" s="10">
        <v>497</v>
      </c>
      <c r="G219" s="10">
        <v>3817144</v>
      </c>
      <c r="H219" s="11" cm="1">
        <f t="array" ref="H219">F219/G219*100000</f>
        <v>13.0202056825731</v>
      </c>
    </row>
    <row r="220" ht="13" customHeight="1">
      <c r="A220" s="8">
        <v>9</v>
      </c>
      <c r="B220" t="s" s="9">
        <v>39</v>
      </c>
      <c r="C220" t="s" s="9">
        <v>60</v>
      </c>
      <c r="D220" t="s" s="9">
        <v>43</v>
      </c>
      <c r="E220" t="s" s="9">
        <v>33</v>
      </c>
      <c r="F220" s="10">
        <v>329</v>
      </c>
      <c r="G220" s="10">
        <v>3817144</v>
      </c>
      <c r="H220" s="11" cm="1">
        <f t="array" ref="H220">F220/G220*100000</f>
        <v>8.61900939550617</v>
      </c>
    </row>
    <row r="221" ht="13" customHeight="1">
      <c r="A221" s="8">
        <v>10</v>
      </c>
      <c r="B221" t="s" s="9">
        <v>30</v>
      </c>
      <c r="C221" t="s" s="9">
        <v>60</v>
      </c>
      <c r="D221" t="s" s="9">
        <v>43</v>
      </c>
      <c r="E221" t="s" s="9">
        <v>33</v>
      </c>
      <c r="F221" s="10">
        <v>393</v>
      </c>
      <c r="G221" s="10">
        <v>3817144</v>
      </c>
      <c r="H221" s="11" cm="1">
        <f t="array" ref="H221">F221/G221*100000</f>
        <v>10.2956556001031</v>
      </c>
    </row>
    <row r="222" ht="13" customHeight="1">
      <c r="A222" s="8">
        <v>1</v>
      </c>
      <c r="B222" t="s" s="9">
        <v>30</v>
      </c>
      <c r="C222" t="s" s="9">
        <v>60</v>
      </c>
      <c r="D222" t="s" s="9">
        <v>44</v>
      </c>
      <c r="E222" t="s" s="9">
        <v>33</v>
      </c>
      <c r="F222" s="10">
        <v>4909</v>
      </c>
      <c r="G222" s="10">
        <v>13239670</v>
      </c>
      <c r="H222" s="11" cm="1">
        <f t="array" ref="H222">F222/G222*100000</f>
        <v>37.0779634235597</v>
      </c>
    </row>
    <row r="223" ht="13" customHeight="1">
      <c r="A223" s="8">
        <v>2</v>
      </c>
      <c r="B223" t="s" s="9">
        <v>34</v>
      </c>
      <c r="C223" t="s" s="9">
        <v>60</v>
      </c>
      <c r="D223" t="s" s="9">
        <v>44</v>
      </c>
      <c r="E223" t="s" s="9">
        <v>33</v>
      </c>
      <c r="F223" s="10">
        <v>1784</v>
      </c>
      <c r="G223" s="10">
        <v>13239670</v>
      </c>
      <c r="H223" s="11" cm="1">
        <f t="array" ref="H223">F223/G223*100000</f>
        <v>13.4746560903708</v>
      </c>
    </row>
    <row r="224" ht="13" customHeight="1">
      <c r="A224" s="8">
        <v>3</v>
      </c>
      <c r="B224" t="s" s="9">
        <v>39</v>
      </c>
      <c r="C224" t="s" s="9">
        <v>60</v>
      </c>
      <c r="D224" t="s" s="9">
        <v>44</v>
      </c>
      <c r="E224" t="s" s="9">
        <v>33</v>
      </c>
      <c r="F224" s="10">
        <v>1362</v>
      </c>
      <c r="G224" s="10">
        <v>13239670</v>
      </c>
      <c r="H224" s="11" cm="1">
        <f t="array" ref="H224">F224/G224*100000</f>
        <v>10.287265468097</v>
      </c>
    </row>
    <row r="225" ht="13" customHeight="1">
      <c r="A225" s="8">
        <v>4</v>
      </c>
      <c r="B225" t="s" s="9">
        <v>37</v>
      </c>
      <c r="C225" t="s" s="9">
        <v>60</v>
      </c>
      <c r="D225" t="s" s="9">
        <v>44</v>
      </c>
      <c r="E225" t="s" s="9">
        <v>33</v>
      </c>
      <c r="F225" s="10">
        <v>757</v>
      </c>
      <c r="G225" s="10">
        <v>13239670</v>
      </c>
      <c r="H225" s="11" cm="1">
        <f t="array" ref="H225">F225/G225*100000</f>
        <v>5.71766516839166</v>
      </c>
    </row>
    <row r="226" ht="13" customHeight="1">
      <c r="A226" s="8">
        <v>5</v>
      </c>
      <c r="B226" t="s" s="9">
        <v>30</v>
      </c>
      <c r="C226" t="s" s="9">
        <v>60</v>
      </c>
      <c r="D226" t="s" s="9">
        <v>44</v>
      </c>
      <c r="E226" t="s" s="9">
        <v>33</v>
      </c>
      <c r="F226" s="10">
        <v>988</v>
      </c>
      <c r="G226" s="10">
        <v>13239670</v>
      </c>
      <c r="H226" s="11" cm="1">
        <f t="array" ref="H226">F226/G226*100000</f>
        <v>7.46242164646098</v>
      </c>
    </row>
    <row r="227" ht="13" customHeight="1">
      <c r="A227" s="8">
        <v>6</v>
      </c>
      <c r="B227" t="s" s="9">
        <v>30</v>
      </c>
      <c r="C227" t="s" s="9">
        <v>60</v>
      </c>
      <c r="D227" t="s" s="9">
        <v>44</v>
      </c>
      <c r="E227" t="s" s="9">
        <v>33</v>
      </c>
      <c r="F227" s="10">
        <v>563</v>
      </c>
      <c r="G227" s="10">
        <v>13239670</v>
      </c>
      <c r="H227" s="11" cm="1">
        <f t="array" ref="H227">F227/G227*100000</f>
        <v>4.2523718491473</v>
      </c>
    </row>
    <row r="228" ht="13" customHeight="1">
      <c r="A228" s="8">
        <v>7</v>
      </c>
      <c r="B228" t="s" s="9">
        <v>36</v>
      </c>
      <c r="C228" t="s" s="9">
        <v>60</v>
      </c>
      <c r="D228" t="s" s="9">
        <v>44</v>
      </c>
      <c r="E228" t="s" s="9">
        <v>33</v>
      </c>
      <c r="F228" s="10">
        <v>530</v>
      </c>
      <c r="G228" s="10">
        <v>13239670</v>
      </c>
      <c r="H228" s="11" cm="1">
        <f t="array" ref="H228">F228/G228*100000</f>
        <v>4.00312092370882</v>
      </c>
    </row>
    <row r="229" ht="13" customHeight="1">
      <c r="A229" s="8">
        <v>8</v>
      </c>
      <c r="B229" t="s" s="9">
        <v>45</v>
      </c>
      <c r="C229" t="s" s="9">
        <v>60</v>
      </c>
      <c r="D229" t="s" s="9">
        <v>44</v>
      </c>
      <c r="E229" t="s" s="9">
        <v>33</v>
      </c>
      <c r="F229" s="10">
        <v>527</v>
      </c>
      <c r="G229" s="10">
        <v>13239670</v>
      </c>
      <c r="H229" s="11" cm="1">
        <f t="array" ref="H229">F229/G229*100000</f>
        <v>3.98046174866896</v>
      </c>
    </row>
    <row r="230" ht="13" customHeight="1">
      <c r="A230" s="8">
        <v>9</v>
      </c>
      <c r="B230" t="s" s="9">
        <v>41</v>
      </c>
      <c r="C230" t="s" s="9">
        <v>60</v>
      </c>
      <c r="D230" t="s" s="9">
        <v>44</v>
      </c>
      <c r="E230" t="s" s="9">
        <v>33</v>
      </c>
      <c r="F230" s="10">
        <v>500</v>
      </c>
      <c r="G230" s="10">
        <v>13239670</v>
      </c>
      <c r="H230" s="11" cm="1">
        <f t="array" ref="H230">F230/G230*100000</f>
        <v>3.77652917331021</v>
      </c>
    </row>
    <row r="231" ht="13" customHeight="1">
      <c r="A231" s="8">
        <v>10</v>
      </c>
      <c r="B231" t="s" s="9">
        <v>30</v>
      </c>
      <c r="C231" t="s" s="9">
        <v>60</v>
      </c>
      <c r="D231" t="s" s="9">
        <v>44</v>
      </c>
      <c r="E231" t="s" s="9">
        <v>33</v>
      </c>
      <c r="F231" s="10">
        <v>400</v>
      </c>
      <c r="G231" s="10">
        <v>13239670</v>
      </c>
      <c r="H231" s="11" cm="1">
        <f t="array" ref="H231">F231/G231*100000</f>
        <v>3.02122333864817</v>
      </c>
    </row>
    <row r="232" ht="13" customHeight="1">
      <c r="A232" s="8">
        <v>1</v>
      </c>
      <c r="B232" t="s" s="9">
        <v>30</v>
      </c>
      <c r="C232" t="s" s="9">
        <v>60</v>
      </c>
      <c r="D232" t="s" s="9">
        <v>46</v>
      </c>
      <c r="E232" t="s" s="9">
        <v>33</v>
      </c>
      <c r="F232" s="10">
        <v>16444</v>
      </c>
      <c r="G232" s="10">
        <v>17477569</v>
      </c>
      <c r="H232" s="11" cm="1">
        <f t="array" ref="H232">F232/G232*100000</f>
        <v>94.08631143152689</v>
      </c>
    </row>
    <row r="233" ht="13" customHeight="1">
      <c r="A233" s="8">
        <v>2</v>
      </c>
      <c r="B233" t="s" s="9">
        <v>30</v>
      </c>
      <c r="C233" t="s" s="9">
        <v>60</v>
      </c>
      <c r="D233" t="s" s="9">
        <v>46</v>
      </c>
      <c r="E233" t="s" s="9">
        <v>33</v>
      </c>
      <c r="F233" s="10">
        <v>7233</v>
      </c>
      <c r="G233" s="10">
        <v>17477569</v>
      </c>
      <c r="H233" s="11" cm="1">
        <f t="array" ref="H233">F233/G233*100000</f>
        <v>41.3844740077982</v>
      </c>
    </row>
    <row r="234" ht="13" customHeight="1">
      <c r="A234" s="8">
        <v>3</v>
      </c>
      <c r="B234" t="s" s="9">
        <v>34</v>
      </c>
      <c r="C234" t="s" s="9">
        <v>60</v>
      </c>
      <c r="D234" t="s" s="9">
        <v>46</v>
      </c>
      <c r="E234" t="s" s="9">
        <v>33</v>
      </c>
      <c r="F234" s="10">
        <v>4286</v>
      </c>
      <c r="G234" s="10">
        <v>17477569</v>
      </c>
      <c r="H234" s="11" cm="1">
        <f t="array" ref="H234">F234/G234*100000</f>
        <v>24.5228612743569</v>
      </c>
    </row>
    <row r="235" ht="13" customHeight="1">
      <c r="A235" s="8">
        <v>4</v>
      </c>
      <c r="B235" t="s" s="9">
        <v>30</v>
      </c>
      <c r="C235" t="s" s="9">
        <v>60</v>
      </c>
      <c r="D235" t="s" s="9">
        <v>46</v>
      </c>
      <c r="E235" t="s" s="9">
        <v>33</v>
      </c>
      <c r="F235" s="10">
        <v>4695</v>
      </c>
      <c r="G235" s="10">
        <v>17477569</v>
      </c>
      <c r="H235" s="11" cm="1">
        <f t="array" ref="H235">F235/G235*100000</f>
        <v>26.8630036591473</v>
      </c>
    </row>
    <row r="236" ht="13" customHeight="1">
      <c r="A236" s="8">
        <v>5</v>
      </c>
      <c r="B236" t="s" s="9">
        <v>35</v>
      </c>
      <c r="C236" t="s" s="9">
        <v>60</v>
      </c>
      <c r="D236" t="s" s="9">
        <v>46</v>
      </c>
      <c r="E236" t="s" s="9">
        <v>33</v>
      </c>
      <c r="F236" s="10">
        <v>4527</v>
      </c>
      <c r="G236" s="10">
        <v>17477569</v>
      </c>
      <c r="H236" s="11" cm="1">
        <f t="array" ref="H236">F236/G236*100000</f>
        <v>25.9017715793312</v>
      </c>
    </row>
    <row r="237" ht="13" customHeight="1">
      <c r="A237" s="8">
        <v>6</v>
      </c>
      <c r="B237" t="s" s="9">
        <v>41</v>
      </c>
      <c r="C237" t="s" s="9">
        <v>60</v>
      </c>
      <c r="D237" t="s" s="9">
        <v>46</v>
      </c>
      <c r="E237" t="s" s="9">
        <v>33</v>
      </c>
      <c r="F237" s="10">
        <v>3448</v>
      </c>
      <c r="G237" s="10">
        <v>17477569</v>
      </c>
      <c r="H237" s="11" cm="1">
        <f t="array" ref="H237">F237/G237*100000</f>
        <v>19.7281441143216</v>
      </c>
    </row>
    <row r="238" ht="13" customHeight="1">
      <c r="A238" s="8">
        <v>7</v>
      </c>
      <c r="B238" t="s" s="9">
        <v>39</v>
      </c>
      <c r="C238" t="s" s="9">
        <v>60</v>
      </c>
      <c r="D238" t="s" s="9">
        <v>46</v>
      </c>
      <c r="E238" t="s" s="9">
        <v>33</v>
      </c>
      <c r="F238" s="10">
        <v>2549</v>
      </c>
      <c r="G238" s="10">
        <v>17477569</v>
      </c>
      <c r="H238" s="11" cm="1">
        <f t="array" ref="H238">F238/G238*100000</f>
        <v>14.5844081634008</v>
      </c>
    </row>
    <row r="239" ht="13" customHeight="1">
      <c r="A239" s="8">
        <v>8</v>
      </c>
      <c r="B239" t="s" s="9">
        <v>37</v>
      </c>
      <c r="C239" t="s" s="9">
        <v>60</v>
      </c>
      <c r="D239" t="s" s="9">
        <v>46</v>
      </c>
      <c r="E239" t="s" s="9">
        <v>33</v>
      </c>
      <c r="F239" s="10">
        <v>1347</v>
      </c>
      <c r="G239" s="10">
        <v>17477569</v>
      </c>
      <c r="H239" s="11" cm="1">
        <f t="array" ref="H239">F239/G239*100000</f>
        <v>7.70702149709722</v>
      </c>
    </row>
    <row r="240" ht="13" customHeight="1">
      <c r="A240" s="8">
        <v>9</v>
      </c>
      <c r="B240" t="s" s="9">
        <v>45</v>
      </c>
      <c r="C240" t="s" s="9">
        <v>60</v>
      </c>
      <c r="D240" t="s" s="9">
        <v>46</v>
      </c>
      <c r="E240" t="s" s="9">
        <v>33</v>
      </c>
      <c r="F240" s="10">
        <v>1484</v>
      </c>
      <c r="G240" s="10">
        <v>17477569</v>
      </c>
      <c r="H240" s="11" cm="1">
        <f t="array" ref="H240">F240/G240*100000</f>
        <v>8.49088337170919</v>
      </c>
    </row>
    <row r="241" ht="13" customHeight="1">
      <c r="A241" s="8">
        <v>10</v>
      </c>
      <c r="B241" t="s" s="9">
        <v>41</v>
      </c>
      <c r="C241" t="s" s="9">
        <v>60</v>
      </c>
      <c r="D241" t="s" s="9">
        <v>46</v>
      </c>
      <c r="E241" t="s" s="9">
        <v>33</v>
      </c>
      <c r="F241" s="10">
        <v>1298</v>
      </c>
      <c r="G241" s="10">
        <v>17477569</v>
      </c>
      <c r="H241" s="11" cm="1">
        <f t="array" ref="H241">F241/G241*100000</f>
        <v>7.42666214048418</v>
      </c>
    </row>
    <row r="242" ht="13" customHeight="1">
      <c r="A242" s="8">
        <v>1</v>
      </c>
      <c r="B242" t="s" s="9">
        <v>30</v>
      </c>
      <c r="C242" t="s" s="9">
        <v>60</v>
      </c>
      <c r="D242" t="s" s="9">
        <v>47</v>
      </c>
      <c r="E242" t="s" s="9">
        <v>33</v>
      </c>
      <c r="F242" s="10">
        <v>1917</v>
      </c>
      <c r="G242" s="10">
        <v>3342831</v>
      </c>
      <c r="H242" s="11" cm="1">
        <f t="array" ref="H242">F242/G242*100000</f>
        <v>57.3466023259925</v>
      </c>
    </row>
    <row r="243" ht="13" customHeight="1">
      <c r="A243" s="8">
        <v>2</v>
      </c>
      <c r="B243" t="s" s="9">
        <v>35</v>
      </c>
      <c r="C243" t="s" s="9">
        <v>60</v>
      </c>
      <c r="D243" t="s" s="9">
        <v>47</v>
      </c>
      <c r="E243" t="s" s="9">
        <v>33</v>
      </c>
      <c r="F243" s="10">
        <v>1043</v>
      </c>
      <c r="G243" s="10">
        <v>3342831</v>
      </c>
      <c r="H243" s="11" cm="1">
        <f t="array" ref="H243">F243/G243*100000</f>
        <v>31.2010987094472</v>
      </c>
    </row>
    <row r="244" ht="13" customHeight="1">
      <c r="A244" s="8">
        <v>3</v>
      </c>
      <c r="B244" t="s" s="9">
        <v>34</v>
      </c>
      <c r="C244" t="s" s="9">
        <v>60</v>
      </c>
      <c r="D244" t="s" s="9">
        <v>47</v>
      </c>
      <c r="E244" t="s" s="9">
        <v>33</v>
      </c>
      <c r="F244" s="10">
        <v>524</v>
      </c>
      <c r="G244" s="10">
        <v>3342831</v>
      </c>
      <c r="H244" s="11" cm="1">
        <f t="array" ref="H244">F244/G244*100000</f>
        <v>15.6753362643819</v>
      </c>
    </row>
    <row r="245" ht="13" customHeight="1">
      <c r="A245" s="8">
        <v>4</v>
      </c>
      <c r="B245" t="s" s="9">
        <v>40</v>
      </c>
      <c r="C245" t="s" s="9">
        <v>60</v>
      </c>
      <c r="D245" t="s" s="9">
        <v>47</v>
      </c>
      <c r="E245" t="s" s="9">
        <v>33</v>
      </c>
      <c r="F245" s="10">
        <v>537</v>
      </c>
      <c r="G245" s="10">
        <v>3342831</v>
      </c>
      <c r="H245" s="11" cm="1">
        <f t="array" ref="H245">F245/G245*100000</f>
        <v>16.0642281946051</v>
      </c>
    </row>
    <row r="246" ht="13" customHeight="1">
      <c r="A246" s="8">
        <v>5</v>
      </c>
      <c r="B246" t="s" s="9">
        <v>45</v>
      </c>
      <c r="C246" t="s" s="9">
        <v>60</v>
      </c>
      <c r="D246" t="s" s="9">
        <v>47</v>
      </c>
      <c r="E246" t="s" s="9">
        <v>33</v>
      </c>
      <c r="F246" s="10">
        <v>388</v>
      </c>
      <c r="G246" s="10">
        <v>3342831</v>
      </c>
      <c r="H246" s="11" cm="1">
        <f t="array" ref="H246">F246/G246*100000</f>
        <v>11.6069283789698</v>
      </c>
    </row>
    <row r="247" ht="13" customHeight="1">
      <c r="A247" s="8">
        <v>6</v>
      </c>
      <c r="B247" t="s" s="9">
        <v>39</v>
      </c>
      <c r="C247" t="s" s="9">
        <v>60</v>
      </c>
      <c r="D247" t="s" s="9">
        <v>47</v>
      </c>
      <c r="E247" t="s" s="9">
        <v>33</v>
      </c>
      <c r="F247" s="10">
        <v>212</v>
      </c>
      <c r="G247" s="10">
        <v>3342831</v>
      </c>
      <c r="H247" s="11" cm="1">
        <f t="array" ref="H247">F247/G247*100000</f>
        <v>6.34192993902474</v>
      </c>
    </row>
    <row r="248" ht="13" customHeight="1">
      <c r="A248" s="8">
        <v>7</v>
      </c>
      <c r="B248" t="s" s="9">
        <v>35</v>
      </c>
      <c r="C248" t="s" s="9">
        <v>60</v>
      </c>
      <c r="D248" t="s" s="9">
        <v>47</v>
      </c>
      <c r="E248" t="s" s="9">
        <v>33</v>
      </c>
      <c r="F248" s="10">
        <v>375</v>
      </c>
      <c r="G248" s="10">
        <v>3342831</v>
      </c>
      <c r="H248" s="11" cm="1">
        <f t="array" ref="H248">F248/G248*100000</f>
        <v>11.2180364487466</v>
      </c>
    </row>
    <row r="249" ht="13" customHeight="1">
      <c r="A249" s="8">
        <v>8</v>
      </c>
      <c r="B249" t="s" s="9">
        <v>30</v>
      </c>
      <c r="C249" t="s" s="9">
        <v>60</v>
      </c>
      <c r="D249" t="s" s="9">
        <v>47</v>
      </c>
      <c r="E249" t="s" s="9">
        <v>33</v>
      </c>
      <c r="F249" s="10">
        <v>283</v>
      </c>
      <c r="G249" s="10">
        <v>3342831</v>
      </c>
      <c r="H249" s="11" cm="1">
        <f t="array" ref="H249">F249/G249*100000</f>
        <v>8.46587817332076</v>
      </c>
    </row>
    <row r="250" ht="13" customHeight="1">
      <c r="A250" s="8">
        <v>9</v>
      </c>
      <c r="B250" t="s" s="9">
        <v>36</v>
      </c>
      <c r="C250" t="s" s="9">
        <v>60</v>
      </c>
      <c r="D250" t="s" s="9">
        <v>47</v>
      </c>
      <c r="E250" t="s" s="9">
        <v>33</v>
      </c>
      <c r="F250" s="10">
        <v>186</v>
      </c>
      <c r="G250" s="10">
        <v>3342831</v>
      </c>
      <c r="H250" s="11" cm="1">
        <f t="array" ref="H250">F250/G250*100000</f>
        <v>5.56414607857831</v>
      </c>
    </row>
    <row r="251" ht="13" customHeight="1">
      <c r="A251" s="8">
        <v>10</v>
      </c>
      <c r="B251" t="s" s="9">
        <v>37</v>
      </c>
      <c r="C251" t="s" s="9">
        <v>60</v>
      </c>
      <c r="D251" t="s" s="9">
        <v>47</v>
      </c>
      <c r="E251" t="s" s="9">
        <v>33</v>
      </c>
      <c r="F251" s="10">
        <v>157</v>
      </c>
      <c r="G251" s="10">
        <v>3342831</v>
      </c>
      <c r="H251" s="11" cm="1">
        <f t="array" ref="H251">F251/G251*100000</f>
        <v>4.6966179265419</v>
      </c>
    </row>
    <row r="252" ht="13" customHeight="1">
      <c r="A252" s="8">
        <v>1</v>
      </c>
      <c r="B252" t="s" s="9">
        <v>48</v>
      </c>
      <c r="C252" t="s" s="9">
        <v>60</v>
      </c>
      <c r="D252" t="s" s="9">
        <v>49</v>
      </c>
      <c r="E252" t="s" s="9">
        <v>33</v>
      </c>
      <c r="F252" s="10">
        <v>0</v>
      </c>
      <c r="G252" s="10">
        <v>6397690</v>
      </c>
      <c r="H252" t="s" s="9">
        <v>50</v>
      </c>
    </row>
    <row r="253" ht="13" customHeight="1">
      <c r="A253" s="8">
        <v>2</v>
      </c>
      <c r="B253" t="s" s="9">
        <v>48</v>
      </c>
      <c r="C253" t="s" s="9">
        <v>60</v>
      </c>
      <c r="D253" t="s" s="9">
        <v>49</v>
      </c>
      <c r="E253" t="s" s="9">
        <v>33</v>
      </c>
      <c r="F253" s="10">
        <v>0</v>
      </c>
      <c r="G253" s="10">
        <v>6397690</v>
      </c>
      <c r="H253" t="s" s="9">
        <v>50</v>
      </c>
    </row>
    <row r="254" ht="13" customHeight="1">
      <c r="A254" s="8">
        <v>3</v>
      </c>
      <c r="B254" t="s" s="9">
        <v>48</v>
      </c>
      <c r="C254" t="s" s="9">
        <v>60</v>
      </c>
      <c r="D254" t="s" s="9">
        <v>49</v>
      </c>
      <c r="E254" t="s" s="9">
        <v>33</v>
      </c>
      <c r="F254" s="10">
        <v>0</v>
      </c>
      <c r="G254" s="10">
        <v>6397690</v>
      </c>
      <c r="H254" t="s" s="9">
        <v>50</v>
      </c>
    </row>
    <row r="255" ht="13" customHeight="1">
      <c r="A255" s="8">
        <v>4</v>
      </c>
      <c r="B255" t="s" s="9">
        <v>48</v>
      </c>
      <c r="C255" t="s" s="9">
        <v>60</v>
      </c>
      <c r="D255" t="s" s="9">
        <v>49</v>
      </c>
      <c r="E255" t="s" s="9">
        <v>33</v>
      </c>
      <c r="F255" s="10">
        <v>0</v>
      </c>
      <c r="G255" s="10">
        <v>6397690</v>
      </c>
      <c r="H255" t="s" s="9">
        <v>50</v>
      </c>
    </row>
    <row r="256" ht="13" customHeight="1">
      <c r="A256" s="8">
        <v>5</v>
      </c>
      <c r="B256" t="s" s="9">
        <v>48</v>
      </c>
      <c r="C256" t="s" s="9">
        <v>60</v>
      </c>
      <c r="D256" t="s" s="9">
        <v>49</v>
      </c>
      <c r="E256" t="s" s="9">
        <v>33</v>
      </c>
      <c r="F256" s="10">
        <v>0</v>
      </c>
      <c r="G256" s="10">
        <v>6397690</v>
      </c>
      <c r="H256" t="s" s="9">
        <v>50</v>
      </c>
    </row>
    <row r="257" ht="13" customHeight="1">
      <c r="A257" s="8">
        <v>6</v>
      </c>
      <c r="B257" t="s" s="9">
        <v>48</v>
      </c>
      <c r="C257" t="s" s="9">
        <v>60</v>
      </c>
      <c r="D257" t="s" s="9">
        <v>49</v>
      </c>
      <c r="E257" t="s" s="9">
        <v>33</v>
      </c>
      <c r="F257" s="10">
        <v>0</v>
      </c>
      <c r="G257" s="10">
        <v>6397690</v>
      </c>
      <c r="H257" t="s" s="9">
        <v>50</v>
      </c>
    </row>
    <row r="258" ht="13" customHeight="1">
      <c r="A258" s="8">
        <v>7</v>
      </c>
      <c r="B258" t="s" s="9">
        <v>48</v>
      </c>
      <c r="C258" t="s" s="9">
        <v>60</v>
      </c>
      <c r="D258" t="s" s="9">
        <v>49</v>
      </c>
      <c r="E258" t="s" s="9">
        <v>33</v>
      </c>
      <c r="F258" s="10">
        <v>0</v>
      </c>
      <c r="G258" s="10">
        <v>6397690</v>
      </c>
      <c r="H258" t="s" s="9">
        <v>50</v>
      </c>
    </row>
    <row r="259" ht="13" customHeight="1">
      <c r="A259" s="8">
        <v>8</v>
      </c>
      <c r="B259" t="s" s="9">
        <v>48</v>
      </c>
      <c r="C259" t="s" s="9">
        <v>60</v>
      </c>
      <c r="D259" t="s" s="9">
        <v>49</v>
      </c>
      <c r="E259" t="s" s="9">
        <v>33</v>
      </c>
      <c r="F259" s="10">
        <v>0</v>
      </c>
      <c r="G259" s="10">
        <v>6397690</v>
      </c>
      <c r="H259" t="s" s="9">
        <v>50</v>
      </c>
    </row>
    <row r="260" ht="13" customHeight="1">
      <c r="A260" s="8">
        <v>9</v>
      </c>
      <c r="B260" t="s" s="9">
        <v>48</v>
      </c>
      <c r="C260" t="s" s="9">
        <v>60</v>
      </c>
      <c r="D260" t="s" s="9">
        <v>49</v>
      </c>
      <c r="E260" t="s" s="9">
        <v>33</v>
      </c>
      <c r="F260" s="10">
        <v>0</v>
      </c>
      <c r="G260" s="10">
        <v>6397690</v>
      </c>
      <c r="H260" t="s" s="9">
        <v>50</v>
      </c>
    </row>
    <row r="261" ht="13" customHeight="1">
      <c r="A261" s="8">
        <v>10</v>
      </c>
      <c r="B261" t="s" s="9">
        <v>48</v>
      </c>
      <c r="C261" t="s" s="9">
        <v>60</v>
      </c>
      <c r="D261" t="s" s="9">
        <v>49</v>
      </c>
      <c r="E261" t="s" s="9">
        <v>33</v>
      </c>
      <c r="F261" s="10">
        <v>0</v>
      </c>
      <c r="G261" s="10">
        <v>6397690</v>
      </c>
      <c r="H261" t="s" s="9">
        <v>50</v>
      </c>
    </row>
    <row r="262" ht="13.65" customHeight="1">
      <c r="A262" s="8">
        <v>1</v>
      </c>
      <c r="B262" t="s" s="9">
        <v>30</v>
      </c>
      <c r="C262" t="s" s="9">
        <v>60</v>
      </c>
      <c r="D262" t="s" s="9">
        <v>51</v>
      </c>
      <c r="E262" t="s" s="9">
        <v>33</v>
      </c>
      <c r="F262" s="10">
        <v>1340</v>
      </c>
      <c r="G262" s="12"/>
      <c r="H262" s="13"/>
    </row>
    <row r="263" ht="13.65" customHeight="1">
      <c r="A263" s="8">
        <v>2</v>
      </c>
      <c r="B263" t="s" s="9">
        <v>34</v>
      </c>
      <c r="C263" t="s" s="9">
        <v>60</v>
      </c>
      <c r="D263" t="s" s="9">
        <v>51</v>
      </c>
      <c r="E263" t="s" s="9">
        <v>33</v>
      </c>
      <c r="F263" s="10">
        <v>754</v>
      </c>
      <c r="G263" s="14"/>
      <c r="H263" s="15"/>
    </row>
    <row r="264" ht="13.65" customHeight="1">
      <c r="A264" s="8">
        <v>3</v>
      </c>
      <c r="B264" t="s" s="9">
        <v>30</v>
      </c>
      <c r="C264" t="s" s="9">
        <v>60</v>
      </c>
      <c r="D264" t="s" s="9">
        <v>51</v>
      </c>
      <c r="E264" t="s" s="9">
        <v>33</v>
      </c>
      <c r="F264" s="10">
        <v>673</v>
      </c>
      <c r="G264" s="14"/>
      <c r="H264" s="15"/>
    </row>
    <row r="265" ht="13.65" customHeight="1">
      <c r="A265" s="8">
        <v>4</v>
      </c>
      <c r="B265" t="s" s="9">
        <v>35</v>
      </c>
      <c r="C265" t="s" s="9">
        <v>60</v>
      </c>
      <c r="D265" t="s" s="9">
        <v>51</v>
      </c>
      <c r="E265" t="s" s="9">
        <v>33</v>
      </c>
      <c r="F265" s="10">
        <v>414</v>
      </c>
      <c r="G265" s="14"/>
      <c r="H265" s="15"/>
    </row>
    <row r="266" ht="13.65" customHeight="1">
      <c r="A266" s="8">
        <v>5</v>
      </c>
      <c r="B266" t="s" s="9">
        <v>39</v>
      </c>
      <c r="C266" t="s" s="9">
        <v>60</v>
      </c>
      <c r="D266" t="s" s="9">
        <v>51</v>
      </c>
      <c r="E266" t="s" s="9">
        <v>33</v>
      </c>
      <c r="F266" s="10">
        <v>191</v>
      </c>
      <c r="G266" s="14"/>
      <c r="H266" s="15"/>
    </row>
    <row r="267" ht="13.65" customHeight="1">
      <c r="A267" s="8">
        <v>6</v>
      </c>
      <c r="B267" t="s" s="9">
        <v>30</v>
      </c>
      <c r="C267" t="s" s="9">
        <v>60</v>
      </c>
      <c r="D267" t="s" s="9">
        <v>51</v>
      </c>
      <c r="E267" t="s" s="9">
        <v>33</v>
      </c>
      <c r="F267" s="10">
        <v>349</v>
      </c>
      <c r="G267" s="14"/>
      <c r="H267" s="15"/>
    </row>
    <row r="268" ht="13.65" customHeight="1">
      <c r="A268" s="8">
        <v>7</v>
      </c>
      <c r="B268" t="s" s="9">
        <v>30</v>
      </c>
      <c r="C268" t="s" s="9">
        <v>60</v>
      </c>
      <c r="D268" t="s" s="9">
        <v>51</v>
      </c>
      <c r="E268" t="s" s="9">
        <v>33</v>
      </c>
      <c r="F268" s="10">
        <v>198</v>
      </c>
      <c r="G268" s="14"/>
      <c r="H268" s="15"/>
    </row>
    <row r="269" ht="13.65" customHeight="1">
      <c r="A269" s="8">
        <v>8</v>
      </c>
      <c r="B269" t="s" s="9">
        <v>30</v>
      </c>
      <c r="C269" t="s" s="9">
        <v>60</v>
      </c>
      <c r="D269" t="s" s="9">
        <v>51</v>
      </c>
      <c r="E269" t="s" s="9">
        <v>33</v>
      </c>
      <c r="F269" s="10">
        <v>48</v>
      </c>
      <c r="G269" s="14"/>
      <c r="H269" s="15"/>
    </row>
    <row r="270" ht="13.65" customHeight="1">
      <c r="A270" s="8">
        <v>9</v>
      </c>
      <c r="B270" t="s" s="9">
        <v>30</v>
      </c>
      <c r="C270" t="s" s="9">
        <v>60</v>
      </c>
      <c r="D270" t="s" s="9">
        <v>51</v>
      </c>
      <c r="E270" t="s" s="9">
        <v>33</v>
      </c>
      <c r="F270" s="10">
        <v>32</v>
      </c>
      <c r="G270" s="14"/>
      <c r="H270" s="15"/>
    </row>
    <row r="271" ht="13.65" customHeight="1">
      <c r="A271" s="8">
        <v>10</v>
      </c>
      <c r="B271" t="s" s="9">
        <v>34</v>
      </c>
      <c r="C271" t="s" s="9">
        <v>60</v>
      </c>
      <c r="D271" t="s" s="9">
        <v>51</v>
      </c>
      <c r="E271" t="s" s="9">
        <v>33</v>
      </c>
      <c r="F271" s="10">
        <v>21</v>
      </c>
      <c r="G271" s="14"/>
      <c r="H271" s="15"/>
    </row>
    <row r="272" ht="13.65" customHeight="1">
      <c r="A272" s="8">
        <v>1</v>
      </c>
      <c r="B272" t="s" s="9">
        <v>34</v>
      </c>
      <c r="C272" t="s" s="9">
        <v>60</v>
      </c>
      <c r="D272" t="s" s="9">
        <v>52</v>
      </c>
      <c r="E272" t="s" s="9">
        <v>33</v>
      </c>
      <c r="F272" s="10">
        <v>2279</v>
      </c>
      <c r="G272" s="14"/>
      <c r="H272" s="15"/>
    </row>
    <row r="273" ht="13.65" customHeight="1">
      <c r="A273" s="8">
        <v>2</v>
      </c>
      <c r="B273" t="s" s="9">
        <v>35</v>
      </c>
      <c r="C273" t="s" s="9">
        <v>60</v>
      </c>
      <c r="D273" t="s" s="9">
        <v>52</v>
      </c>
      <c r="E273" t="s" s="9">
        <v>33</v>
      </c>
      <c r="F273" s="10">
        <v>2275</v>
      </c>
      <c r="G273" s="14"/>
      <c r="H273" s="15"/>
    </row>
    <row r="274" ht="13.65" customHeight="1">
      <c r="A274" s="8">
        <v>3</v>
      </c>
      <c r="B274" t="s" s="9">
        <v>41</v>
      </c>
      <c r="C274" t="s" s="9">
        <v>60</v>
      </c>
      <c r="D274" t="s" s="9">
        <v>52</v>
      </c>
      <c r="E274" t="s" s="9">
        <v>33</v>
      </c>
      <c r="F274" s="10">
        <v>1106</v>
      </c>
      <c r="G274" s="14"/>
      <c r="H274" s="15"/>
    </row>
    <row r="275" ht="13.65" customHeight="1">
      <c r="A275" s="8">
        <v>4</v>
      </c>
      <c r="B275" t="s" s="9">
        <v>35</v>
      </c>
      <c r="C275" t="s" s="9">
        <v>60</v>
      </c>
      <c r="D275" t="s" s="9">
        <v>52</v>
      </c>
      <c r="E275" t="s" s="9">
        <v>33</v>
      </c>
      <c r="F275" s="10">
        <v>1093</v>
      </c>
      <c r="G275" s="14"/>
      <c r="H275" s="15"/>
    </row>
    <row r="276" ht="13.65" customHeight="1">
      <c r="A276" s="8">
        <v>5</v>
      </c>
      <c r="B276" t="s" s="9">
        <v>30</v>
      </c>
      <c r="C276" t="s" s="9">
        <v>60</v>
      </c>
      <c r="D276" t="s" s="9">
        <v>52</v>
      </c>
      <c r="E276" t="s" s="9">
        <v>33</v>
      </c>
      <c r="F276" s="10">
        <v>941</v>
      </c>
      <c r="G276" s="14"/>
      <c r="H276" s="15"/>
    </row>
    <row r="277" ht="13.65" customHeight="1">
      <c r="A277" s="8">
        <v>6</v>
      </c>
      <c r="B277" t="s" s="9">
        <v>30</v>
      </c>
      <c r="C277" t="s" s="9">
        <v>60</v>
      </c>
      <c r="D277" t="s" s="9">
        <v>52</v>
      </c>
      <c r="E277" t="s" s="9">
        <v>33</v>
      </c>
      <c r="F277" s="10">
        <v>806</v>
      </c>
      <c r="G277" s="14"/>
      <c r="H277" s="15"/>
    </row>
    <row r="278" ht="13.65" customHeight="1">
      <c r="A278" s="8">
        <v>7</v>
      </c>
      <c r="B278" t="s" s="9">
        <v>34</v>
      </c>
      <c r="C278" t="s" s="9">
        <v>60</v>
      </c>
      <c r="D278" t="s" s="9">
        <v>52</v>
      </c>
      <c r="E278" t="s" s="9">
        <v>33</v>
      </c>
      <c r="F278" s="10">
        <v>743</v>
      </c>
      <c r="G278" s="14"/>
      <c r="H278" s="15"/>
    </row>
    <row r="279" ht="13.65" customHeight="1">
      <c r="A279" s="8">
        <v>8</v>
      </c>
      <c r="B279" t="s" s="9">
        <v>35</v>
      </c>
      <c r="C279" t="s" s="9">
        <v>60</v>
      </c>
      <c r="D279" t="s" s="9">
        <v>52</v>
      </c>
      <c r="E279" t="s" s="9">
        <v>33</v>
      </c>
      <c r="F279" s="10">
        <v>691</v>
      </c>
      <c r="G279" s="14"/>
      <c r="H279" s="15"/>
    </row>
    <row r="280" ht="13.65" customHeight="1">
      <c r="A280" s="8">
        <v>9</v>
      </c>
      <c r="B280" t="s" s="9">
        <v>59</v>
      </c>
      <c r="C280" t="s" s="9">
        <v>60</v>
      </c>
      <c r="D280" t="s" s="9">
        <v>52</v>
      </c>
      <c r="E280" t="s" s="9">
        <v>33</v>
      </c>
      <c r="F280" s="10">
        <v>620</v>
      </c>
      <c r="G280" s="14"/>
      <c r="H280" s="15"/>
    </row>
    <row r="281" ht="13.65" customHeight="1">
      <c r="A281" s="8">
        <v>10</v>
      </c>
      <c r="B281" t="s" s="9">
        <v>30</v>
      </c>
      <c r="C281" t="s" s="9">
        <v>60</v>
      </c>
      <c r="D281" t="s" s="9">
        <v>52</v>
      </c>
      <c r="E281" t="s" s="9">
        <v>33</v>
      </c>
      <c r="F281" s="10">
        <v>462</v>
      </c>
      <c r="G281" s="16"/>
      <c r="H281" s="17"/>
    </row>
    <row r="282" ht="13" customHeight="1">
      <c r="A282" s="8">
        <v>1</v>
      </c>
      <c r="B282" t="s" s="9">
        <v>41</v>
      </c>
      <c r="C282" t="s" s="9">
        <v>60</v>
      </c>
      <c r="D282" t="s" s="9">
        <v>53</v>
      </c>
      <c r="E282" t="s" s="9">
        <v>33</v>
      </c>
      <c r="F282" s="10">
        <v>1547</v>
      </c>
      <c r="G282" s="10">
        <v>5049226</v>
      </c>
      <c r="H282" s="11" cm="1">
        <f t="array" ref="H282">F282/G282*100000</f>
        <v>30.6383592257506</v>
      </c>
    </row>
    <row r="283" ht="13" customHeight="1">
      <c r="A283" s="8">
        <v>2</v>
      </c>
      <c r="B283" t="s" s="9">
        <v>30</v>
      </c>
      <c r="C283" t="s" s="9">
        <v>60</v>
      </c>
      <c r="D283" t="s" s="9">
        <v>53</v>
      </c>
      <c r="E283" t="s" s="9">
        <v>33</v>
      </c>
      <c r="F283" s="10">
        <v>262</v>
      </c>
      <c r="G283" s="10">
        <v>5049226</v>
      </c>
      <c r="H283" s="11" cm="1">
        <f t="array" ref="H283">F283/G283*100000</f>
        <v>5.18891410287438</v>
      </c>
    </row>
    <row r="284" ht="13" customHeight="1">
      <c r="A284" s="8">
        <v>3</v>
      </c>
      <c r="B284" t="s" s="9">
        <v>45</v>
      </c>
      <c r="C284" t="s" s="9">
        <v>60</v>
      </c>
      <c r="D284" t="s" s="9">
        <v>53</v>
      </c>
      <c r="E284" t="s" s="9">
        <v>33</v>
      </c>
      <c r="F284" s="10">
        <v>118</v>
      </c>
      <c r="G284" s="10">
        <v>5049226</v>
      </c>
      <c r="H284" s="11" cm="1">
        <f t="array" ref="H284">F284/G284*100000</f>
        <v>2.33699184785945</v>
      </c>
    </row>
    <row r="285" ht="13" customHeight="1">
      <c r="A285" s="8">
        <v>4</v>
      </c>
      <c r="B285" t="s" s="9">
        <v>34</v>
      </c>
      <c r="C285" t="s" s="9">
        <v>60</v>
      </c>
      <c r="D285" t="s" s="9">
        <v>53</v>
      </c>
      <c r="E285" t="s" s="9">
        <v>33</v>
      </c>
      <c r="F285" s="10">
        <v>36</v>
      </c>
      <c r="G285" s="10">
        <v>5049226</v>
      </c>
      <c r="H285" s="11" cm="1">
        <f t="array" ref="H285">F285/G285*100000</f>
        <v>0.712980563753732</v>
      </c>
    </row>
    <row r="286" ht="13" customHeight="1">
      <c r="A286" s="8">
        <v>5</v>
      </c>
      <c r="B286" t="s" s="9">
        <v>41</v>
      </c>
      <c r="C286" t="s" s="9">
        <v>60</v>
      </c>
      <c r="D286" t="s" s="9">
        <v>53</v>
      </c>
      <c r="E286" t="s" s="9">
        <v>33</v>
      </c>
      <c r="F286" s="10">
        <v>43</v>
      </c>
      <c r="G286" s="10">
        <v>5049226</v>
      </c>
      <c r="H286" s="11" cm="1">
        <f t="array" ref="H286">F286/G286*100000</f>
        <v>0.851615673372513</v>
      </c>
    </row>
    <row r="287" ht="13" customHeight="1">
      <c r="A287" s="8">
        <v>6</v>
      </c>
      <c r="B287" t="s" s="9">
        <v>45</v>
      </c>
      <c r="C287" t="s" s="9">
        <v>60</v>
      </c>
      <c r="D287" t="s" s="9">
        <v>53</v>
      </c>
      <c r="E287" t="s" s="9">
        <v>33</v>
      </c>
      <c r="F287" s="10">
        <v>11</v>
      </c>
      <c r="G287" s="10">
        <v>5049226</v>
      </c>
      <c r="H287" s="11" cm="1">
        <f t="array" ref="H287">F287/G287*100000</f>
        <v>0.217855172258085</v>
      </c>
    </row>
    <row r="288" ht="13" customHeight="1">
      <c r="A288" s="8">
        <v>7</v>
      </c>
      <c r="B288" t="s" s="9">
        <v>30</v>
      </c>
      <c r="C288" t="s" s="9">
        <v>60</v>
      </c>
      <c r="D288" t="s" s="9">
        <v>53</v>
      </c>
      <c r="E288" t="s" s="9">
        <v>33</v>
      </c>
      <c r="F288" s="10">
        <v>1</v>
      </c>
      <c r="G288" s="10">
        <v>5049226</v>
      </c>
      <c r="H288" s="11" cm="1">
        <f t="array" ref="H288">F288/G288*100000</f>
        <v>0.0198050156598259</v>
      </c>
    </row>
    <row r="289" ht="13" customHeight="1">
      <c r="A289" s="8">
        <v>8</v>
      </c>
      <c r="B289" t="s" s="9">
        <v>45</v>
      </c>
      <c r="C289" t="s" s="9">
        <v>60</v>
      </c>
      <c r="D289" t="s" s="9">
        <v>53</v>
      </c>
      <c r="E289" t="s" s="9">
        <v>33</v>
      </c>
      <c r="F289" s="10">
        <v>0</v>
      </c>
      <c r="G289" s="10">
        <v>5049226</v>
      </c>
      <c r="H289" s="11" cm="1">
        <f t="array" ref="H289">F289/G289*100000</f>
        <v>0</v>
      </c>
    </row>
    <row r="290" ht="13" customHeight="1">
      <c r="A290" s="8">
        <v>9</v>
      </c>
      <c r="B290" t="s" s="9">
        <v>48</v>
      </c>
      <c r="C290" t="s" s="9">
        <v>60</v>
      </c>
      <c r="D290" t="s" s="9">
        <v>53</v>
      </c>
      <c r="E290" t="s" s="9">
        <v>33</v>
      </c>
      <c r="F290" s="10">
        <v>0</v>
      </c>
      <c r="G290" s="10">
        <v>5049226</v>
      </c>
      <c r="H290" t="s" s="9">
        <v>50</v>
      </c>
    </row>
    <row r="291" ht="13" customHeight="1">
      <c r="A291" s="8">
        <v>10</v>
      </c>
      <c r="B291" t="s" s="9">
        <v>48</v>
      </c>
      <c r="C291" t="s" s="9">
        <v>60</v>
      </c>
      <c r="D291" t="s" s="9">
        <v>53</v>
      </c>
      <c r="E291" t="s" s="9">
        <v>33</v>
      </c>
      <c r="F291" s="10">
        <v>0</v>
      </c>
      <c r="G291" s="10">
        <v>5049226</v>
      </c>
      <c r="H291" t="s" s="9">
        <v>50</v>
      </c>
    </row>
    <row r="292" ht="13" customHeight="1">
      <c r="A292" s="8">
        <v>1</v>
      </c>
      <c r="B292" t="s" s="9">
        <v>35</v>
      </c>
      <c r="C292" t="s" s="9">
        <v>60</v>
      </c>
      <c r="D292" t="s" s="9">
        <v>54</v>
      </c>
      <c r="E292" t="s" s="9">
        <v>33</v>
      </c>
      <c r="F292" s="10">
        <v>1894</v>
      </c>
      <c r="G292" s="10">
        <v>3901529</v>
      </c>
      <c r="H292" s="11" cm="1">
        <f t="array" ref="H292">F292/G292*100000</f>
        <v>48.5450704070122</v>
      </c>
    </row>
    <row r="293" ht="13" customHeight="1">
      <c r="A293" s="8">
        <v>2</v>
      </c>
      <c r="B293" t="s" s="9">
        <v>30</v>
      </c>
      <c r="C293" t="s" s="9">
        <v>60</v>
      </c>
      <c r="D293" t="s" s="9">
        <v>54</v>
      </c>
      <c r="E293" t="s" s="9">
        <v>33</v>
      </c>
      <c r="F293" s="10">
        <v>1794</v>
      </c>
      <c r="G293" s="10">
        <v>3901529</v>
      </c>
      <c r="H293" s="11" cm="1">
        <f t="array" ref="H293">F293/G293*100000</f>
        <v>45.9819727086483</v>
      </c>
    </row>
    <row r="294" ht="13" customHeight="1">
      <c r="A294" s="8">
        <v>3</v>
      </c>
      <c r="B294" t="s" s="9">
        <v>34</v>
      </c>
      <c r="C294" t="s" s="9">
        <v>60</v>
      </c>
      <c r="D294" t="s" s="9">
        <v>54</v>
      </c>
      <c r="E294" t="s" s="9">
        <v>33</v>
      </c>
      <c r="F294" s="10">
        <v>537</v>
      </c>
      <c r="G294" s="10">
        <v>3901529</v>
      </c>
      <c r="H294" s="11" cm="1">
        <f t="array" ref="H294">F294/G294*100000</f>
        <v>13.7638346402141</v>
      </c>
    </row>
    <row r="295" ht="13" customHeight="1">
      <c r="A295" s="8">
        <v>4</v>
      </c>
      <c r="B295" t="s" s="9">
        <v>30</v>
      </c>
      <c r="C295" t="s" s="9">
        <v>60</v>
      </c>
      <c r="D295" t="s" s="9">
        <v>54</v>
      </c>
      <c r="E295" t="s" s="9">
        <v>33</v>
      </c>
      <c r="F295" s="10">
        <v>605</v>
      </c>
      <c r="G295" s="10">
        <v>3901529</v>
      </c>
      <c r="H295" s="11" cm="1">
        <f t="array" ref="H295">F295/G295*100000</f>
        <v>15.5067410751016</v>
      </c>
    </row>
    <row r="296" ht="13" customHeight="1">
      <c r="A296" s="8">
        <v>5</v>
      </c>
      <c r="B296" t="s" s="9">
        <v>40</v>
      </c>
      <c r="C296" t="s" s="9">
        <v>60</v>
      </c>
      <c r="D296" t="s" s="9">
        <v>54</v>
      </c>
      <c r="E296" t="s" s="9">
        <v>33</v>
      </c>
      <c r="F296" s="10">
        <v>393</v>
      </c>
      <c r="G296" s="10">
        <v>3901529</v>
      </c>
      <c r="H296" s="11" cm="1">
        <f t="array" ref="H296">F296/G296*100000</f>
        <v>10.0729739545701</v>
      </c>
    </row>
    <row r="297" ht="13" customHeight="1">
      <c r="A297" s="8">
        <v>6</v>
      </c>
      <c r="B297" t="s" s="9">
        <v>39</v>
      </c>
      <c r="C297" t="s" s="9">
        <v>60</v>
      </c>
      <c r="D297" t="s" s="9">
        <v>54</v>
      </c>
      <c r="E297" t="s" s="9">
        <v>33</v>
      </c>
      <c r="F297" s="10">
        <v>254</v>
      </c>
      <c r="G297" s="10">
        <v>3901529</v>
      </c>
      <c r="H297" s="11" cm="1">
        <f t="array" ref="H297">F297/G297*100000</f>
        <v>6.5102681538443</v>
      </c>
    </row>
    <row r="298" ht="13" customHeight="1">
      <c r="A298" s="8">
        <v>7</v>
      </c>
      <c r="B298" t="s" s="9">
        <v>41</v>
      </c>
      <c r="C298" t="s" s="9">
        <v>60</v>
      </c>
      <c r="D298" t="s" s="9">
        <v>54</v>
      </c>
      <c r="E298" t="s" s="9">
        <v>33</v>
      </c>
      <c r="F298" s="10">
        <v>242</v>
      </c>
      <c r="G298" s="10">
        <v>3901529</v>
      </c>
      <c r="H298" s="11" cm="1">
        <f t="array" ref="H298">F298/G298*100000</f>
        <v>6.20269643004063</v>
      </c>
    </row>
    <row r="299" ht="13" customHeight="1">
      <c r="A299" s="8">
        <v>8</v>
      </c>
      <c r="B299" t="s" s="9">
        <v>45</v>
      </c>
      <c r="C299" t="s" s="9">
        <v>60</v>
      </c>
      <c r="D299" t="s" s="9">
        <v>54</v>
      </c>
      <c r="E299" t="s" s="9">
        <v>33</v>
      </c>
      <c r="F299" s="10">
        <v>257</v>
      </c>
      <c r="G299" s="10">
        <v>3901529</v>
      </c>
      <c r="H299" s="11" cm="1">
        <f t="array" ref="H299">F299/G299*100000</f>
        <v>6.58716108479522</v>
      </c>
    </row>
    <row r="300" ht="13" customHeight="1">
      <c r="A300" s="8">
        <v>9</v>
      </c>
      <c r="B300" t="s" s="9">
        <v>41</v>
      </c>
      <c r="C300" t="s" s="9">
        <v>60</v>
      </c>
      <c r="D300" t="s" s="9">
        <v>54</v>
      </c>
      <c r="E300" t="s" s="9">
        <v>33</v>
      </c>
      <c r="F300" s="10">
        <v>280</v>
      </c>
      <c r="G300" s="10">
        <v>3901529</v>
      </c>
      <c r="H300" s="11" cm="1">
        <f t="array" ref="H300">F300/G300*100000</f>
        <v>7.17667355541891</v>
      </c>
    </row>
    <row r="301" ht="13" customHeight="1">
      <c r="A301" s="8">
        <v>10</v>
      </c>
      <c r="B301" t="s" s="9">
        <v>30</v>
      </c>
      <c r="C301" t="s" s="9">
        <v>60</v>
      </c>
      <c r="D301" t="s" s="9">
        <v>54</v>
      </c>
      <c r="E301" t="s" s="9">
        <v>33</v>
      </c>
      <c r="F301" s="10">
        <v>274</v>
      </c>
      <c r="G301" s="10">
        <v>3901529</v>
      </c>
      <c r="H301" s="11" cm="1">
        <f t="array" ref="H301">F301/G301*100000</f>
        <v>7.02288769351708</v>
      </c>
    </row>
    <row r="302" ht="13" customHeight="1">
      <c r="A302" s="8">
        <v>1</v>
      </c>
      <c r="B302" t="s" s="9">
        <v>35</v>
      </c>
      <c r="C302" t="s" s="9">
        <v>60</v>
      </c>
      <c r="D302" t="s" s="9">
        <v>55</v>
      </c>
      <c r="E302" t="s" s="9">
        <v>33</v>
      </c>
      <c r="F302" s="10">
        <v>3182</v>
      </c>
      <c r="G302" s="10">
        <v>5273604</v>
      </c>
      <c r="H302" s="11" cm="1">
        <f t="array" ref="H302">F302/G302*100000</f>
        <v>60.338243068687</v>
      </c>
    </row>
    <row r="303" ht="13" customHeight="1">
      <c r="A303" s="8">
        <v>2</v>
      </c>
      <c r="B303" t="s" s="9">
        <v>30</v>
      </c>
      <c r="C303" t="s" s="9">
        <v>60</v>
      </c>
      <c r="D303" t="s" s="9">
        <v>55</v>
      </c>
      <c r="E303" t="s" s="9">
        <v>33</v>
      </c>
      <c r="F303" s="10">
        <v>2810</v>
      </c>
      <c r="G303" s="10">
        <v>5273604</v>
      </c>
      <c r="H303" s="11" cm="1">
        <f t="array" ref="H303">F303/G303*100000</f>
        <v>53.2842435647424</v>
      </c>
    </row>
    <row r="304" ht="13" customHeight="1">
      <c r="A304" s="8">
        <v>3</v>
      </c>
      <c r="B304" t="s" s="9">
        <v>30</v>
      </c>
      <c r="C304" t="s" s="9">
        <v>60</v>
      </c>
      <c r="D304" t="s" s="9">
        <v>55</v>
      </c>
      <c r="E304" t="s" s="9">
        <v>33</v>
      </c>
      <c r="F304" s="10">
        <v>1167</v>
      </c>
      <c r="G304" s="10">
        <v>5273604</v>
      </c>
      <c r="H304" s="11" cm="1">
        <f t="array" ref="H304">F304/G304*100000</f>
        <v>22.1290790889873</v>
      </c>
    </row>
    <row r="305" ht="13" customHeight="1">
      <c r="A305" s="8">
        <v>4</v>
      </c>
      <c r="B305" t="s" s="9">
        <v>34</v>
      </c>
      <c r="C305" t="s" s="9">
        <v>60</v>
      </c>
      <c r="D305" t="s" s="9">
        <v>55</v>
      </c>
      <c r="E305" t="s" s="9">
        <v>33</v>
      </c>
      <c r="F305" s="10">
        <v>910</v>
      </c>
      <c r="G305" s="10">
        <v>5273604</v>
      </c>
      <c r="H305" s="11" cm="1">
        <f t="array" ref="H305">F305/G305*100000</f>
        <v>17.2557514747031</v>
      </c>
    </row>
    <row r="306" ht="13" customHeight="1">
      <c r="A306" s="8">
        <v>5</v>
      </c>
      <c r="B306" t="s" s="9">
        <v>39</v>
      </c>
      <c r="C306" t="s" s="9">
        <v>60</v>
      </c>
      <c r="D306" t="s" s="9">
        <v>55</v>
      </c>
      <c r="E306" t="s" s="9">
        <v>33</v>
      </c>
      <c r="F306" s="10">
        <v>624</v>
      </c>
      <c r="G306" s="10">
        <v>5273604</v>
      </c>
      <c r="H306" s="11" cm="1">
        <f t="array" ref="H306">F306/G306*100000</f>
        <v>11.8325152969392</v>
      </c>
    </row>
    <row r="307" ht="13" customHeight="1">
      <c r="A307" s="8">
        <v>6</v>
      </c>
      <c r="B307" t="s" s="9">
        <v>36</v>
      </c>
      <c r="C307" t="s" s="9">
        <v>60</v>
      </c>
      <c r="D307" t="s" s="9">
        <v>55</v>
      </c>
      <c r="E307" t="s" s="9">
        <v>33</v>
      </c>
      <c r="F307" s="10">
        <v>463</v>
      </c>
      <c r="G307" s="10">
        <v>5273604</v>
      </c>
      <c r="H307" s="11" cm="1">
        <f t="array" ref="H307">F307/G307*100000</f>
        <v>8.77957465141486</v>
      </c>
    </row>
    <row r="308" ht="13" customHeight="1">
      <c r="A308" s="8">
        <v>7</v>
      </c>
      <c r="B308" t="s" s="9">
        <v>41</v>
      </c>
      <c r="C308" t="s" s="9">
        <v>60</v>
      </c>
      <c r="D308" t="s" s="9">
        <v>55</v>
      </c>
      <c r="E308" t="s" s="9">
        <v>33</v>
      </c>
      <c r="F308" s="10">
        <v>297</v>
      </c>
      <c r="G308" s="10">
        <v>5273604</v>
      </c>
      <c r="H308" s="11" cm="1">
        <f t="array" ref="H308">F308/G308*100000</f>
        <v>5.63182218460089</v>
      </c>
    </row>
    <row r="309" ht="13" customHeight="1">
      <c r="A309" s="8">
        <v>8</v>
      </c>
      <c r="B309" t="s" s="9">
        <v>45</v>
      </c>
      <c r="C309" t="s" s="9">
        <v>60</v>
      </c>
      <c r="D309" t="s" s="9">
        <v>55</v>
      </c>
      <c r="E309" t="s" s="9">
        <v>33</v>
      </c>
      <c r="F309" s="10">
        <v>355</v>
      </c>
      <c r="G309" s="10">
        <v>5273604</v>
      </c>
      <c r="H309" s="11" cm="1">
        <f t="array" ref="H309">F309/G309*100000</f>
        <v>6.73163931155999</v>
      </c>
    </row>
    <row r="310" ht="13" customHeight="1">
      <c r="A310" s="8">
        <v>9</v>
      </c>
      <c r="B310" t="s" s="9">
        <v>36</v>
      </c>
      <c r="C310" t="s" s="9">
        <v>60</v>
      </c>
      <c r="D310" t="s" s="9">
        <v>55</v>
      </c>
      <c r="E310" t="s" s="9">
        <v>33</v>
      </c>
      <c r="F310" s="10">
        <v>317</v>
      </c>
      <c r="G310" s="10">
        <v>5273604</v>
      </c>
      <c r="H310" s="11" cm="1">
        <f t="array" ref="H310">F310/G310*100000</f>
        <v>6.0110694697592</v>
      </c>
    </row>
    <row r="311" ht="13" customHeight="1">
      <c r="A311" s="8">
        <v>10</v>
      </c>
      <c r="B311" t="s" s="9">
        <v>30</v>
      </c>
      <c r="C311" t="s" s="9">
        <v>60</v>
      </c>
      <c r="D311" t="s" s="9">
        <v>55</v>
      </c>
      <c r="E311" t="s" s="9">
        <v>33</v>
      </c>
      <c r="F311" s="10">
        <v>329</v>
      </c>
      <c r="G311" s="10">
        <v>5273604</v>
      </c>
      <c r="H311" s="11" cm="1">
        <f t="array" ref="H311">F311/G311*100000</f>
        <v>6.23861784085419</v>
      </c>
    </row>
    <row r="312" ht="13" customHeight="1">
      <c r="A312" s="8">
        <v>1</v>
      </c>
      <c r="B312" t="s" s="9">
        <v>30</v>
      </c>
      <c r="C312" t="s" s="9">
        <v>60</v>
      </c>
      <c r="D312" t="s" s="9">
        <v>56</v>
      </c>
      <c r="E312" t="s" s="9">
        <v>33</v>
      </c>
      <c r="F312" s="10">
        <v>1224</v>
      </c>
      <c r="G312" s="10">
        <v>5691183</v>
      </c>
      <c r="H312" s="11" cm="1">
        <f t="array" ref="H312">F312/G312*100000</f>
        <v>21.5069520695434</v>
      </c>
    </row>
    <row r="313" ht="13" customHeight="1">
      <c r="A313" s="8">
        <v>2</v>
      </c>
      <c r="B313" t="s" s="9">
        <v>35</v>
      </c>
      <c r="C313" t="s" s="9">
        <v>60</v>
      </c>
      <c r="D313" t="s" s="9">
        <v>56</v>
      </c>
      <c r="E313" t="s" s="9">
        <v>33</v>
      </c>
      <c r="F313" s="10">
        <v>829</v>
      </c>
      <c r="G313" s="10">
        <v>5691183</v>
      </c>
      <c r="H313" s="11" cm="1">
        <f t="array" ref="H313">F313/G313*100000</f>
        <v>14.5663915569048</v>
      </c>
    </row>
    <row r="314" ht="13" customHeight="1">
      <c r="A314" s="8">
        <v>3</v>
      </c>
      <c r="B314" t="s" s="9">
        <v>41</v>
      </c>
      <c r="C314" t="s" s="9">
        <v>60</v>
      </c>
      <c r="D314" t="s" s="9">
        <v>56</v>
      </c>
      <c r="E314" t="s" s="9">
        <v>33</v>
      </c>
      <c r="F314" s="10">
        <v>578</v>
      </c>
      <c r="G314" s="10">
        <v>5691183</v>
      </c>
      <c r="H314" s="11" cm="1">
        <f t="array" ref="H314">F314/G314*100000</f>
        <v>10.1560606995066</v>
      </c>
    </row>
    <row r="315" ht="13" customHeight="1">
      <c r="A315" s="8">
        <v>4</v>
      </c>
      <c r="B315" t="s" s="9">
        <v>30</v>
      </c>
      <c r="C315" t="s" s="9">
        <v>60</v>
      </c>
      <c r="D315" t="s" s="9">
        <v>56</v>
      </c>
      <c r="E315" t="s" s="9">
        <v>33</v>
      </c>
      <c r="F315" s="10">
        <v>500</v>
      </c>
      <c r="G315" s="10">
        <v>5691183</v>
      </c>
      <c r="H315" s="11" cm="1">
        <f t="array" ref="H315">F315/G315*100000</f>
        <v>8.785519636251371</v>
      </c>
    </row>
    <row r="316" ht="13" customHeight="1">
      <c r="A316" s="8">
        <v>5</v>
      </c>
      <c r="B316" t="s" s="9">
        <v>37</v>
      </c>
      <c r="C316" t="s" s="9">
        <v>60</v>
      </c>
      <c r="D316" t="s" s="9">
        <v>56</v>
      </c>
      <c r="E316" t="s" s="9">
        <v>33</v>
      </c>
      <c r="F316" s="10">
        <v>277</v>
      </c>
      <c r="G316" s="10">
        <v>5691183</v>
      </c>
      <c r="H316" s="11" cm="1">
        <f t="array" ref="H316">F316/G316*100000</f>
        <v>4.86717787848326</v>
      </c>
    </row>
    <row r="317" ht="13" customHeight="1">
      <c r="A317" s="8">
        <v>6</v>
      </c>
      <c r="B317" t="s" s="9">
        <v>39</v>
      </c>
      <c r="C317" t="s" s="9">
        <v>60</v>
      </c>
      <c r="D317" t="s" s="9">
        <v>56</v>
      </c>
      <c r="E317" t="s" s="9">
        <v>33</v>
      </c>
      <c r="F317" s="10">
        <v>181</v>
      </c>
      <c r="G317" s="10">
        <v>5691183</v>
      </c>
      <c r="H317" s="11" cm="1">
        <f t="array" ref="H317">F317/G317*100000</f>
        <v>3.180358108323</v>
      </c>
    </row>
    <row r="318" ht="13" customHeight="1">
      <c r="A318" s="8">
        <v>7</v>
      </c>
      <c r="B318" t="s" s="9">
        <v>30</v>
      </c>
      <c r="C318" t="s" s="9">
        <v>60</v>
      </c>
      <c r="D318" t="s" s="9">
        <v>56</v>
      </c>
      <c r="E318" t="s" s="9">
        <v>33</v>
      </c>
      <c r="F318" s="10">
        <v>262</v>
      </c>
      <c r="G318" s="10">
        <v>5691183</v>
      </c>
      <c r="H318" s="11" cm="1">
        <f t="array" ref="H318">F318/G318*100000</f>
        <v>4.60361228939572</v>
      </c>
    </row>
    <row r="319" ht="13" customHeight="1">
      <c r="A319" s="8">
        <v>8</v>
      </c>
      <c r="B319" t="s" s="9">
        <v>41</v>
      </c>
      <c r="C319" t="s" s="9">
        <v>60</v>
      </c>
      <c r="D319" t="s" s="9">
        <v>56</v>
      </c>
      <c r="E319" t="s" s="9">
        <v>33</v>
      </c>
      <c r="F319" s="10">
        <v>222</v>
      </c>
      <c r="G319" s="10">
        <v>5691183</v>
      </c>
      <c r="H319" s="11" cm="1">
        <f t="array" ref="H319">F319/G319*100000</f>
        <v>3.90077071849561</v>
      </c>
    </row>
    <row r="320" ht="13" customHeight="1">
      <c r="A320" s="8">
        <v>9</v>
      </c>
      <c r="B320" t="s" s="9">
        <v>30</v>
      </c>
      <c r="C320" t="s" s="9">
        <v>60</v>
      </c>
      <c r="D320" t="s" s="9">
        <v>56</v>
      </c>
      <c r="E320" t="s" s="9">
        <v>33</v>
      </c>
      <c r="F320" s="10">
        <v>240</v>
      </c>
      <c r="G320" s="10">
        <v>5691183</v>
      </c>
      <c r="H320" s="11" cm="1">
        <f t="array" ref="H320">F320/G320*100000</f>
        <v>4.21704942540066</v>
      </c>
    </row>
    <row r="321" ht="13" customHeight="1">
      <c r="A321" s="8">
        <v>10</v>
      </c>
      <c r="B321" t="s" s="9">
        <v>35</v>
      </c>
      <c r="C321" t="s" s="9">
        <v>60</v>
      </c>
      <c r="D321" t="s" s="9">
        <v>56</v>
      </c>
      <c r="E321" t="s" s="9">
        <v>33</v>
      </c>
      <c r="F321" s="10">
        <v>258</v>
      </c>
      <c r="G321" s="10">
        <v>5691183</v>
      </c>
      <c r="H321" s="11" cm="1">
        <f t="array" ref="H321">F321/G321*100000</f>
        <v>4.53332813230571</v>
      </c>
    </row>
    <row r="322" ht="13" customHeight="1">
      <c r="A322" s="8">
        <v>1</v>
      </c>
      <c r="B322" t="s" s="9">
        <v>35</v>
      </c>
      <c r="C322" t="s" s="9">
        <v>60</v>
      </c>
      <c r="D322" t="s" s="9">
        <v>57</v>
      </c>
      <c r="E322" t="s" s="9">
        <v>33</v>
      </c>
      <c r="F322" s="10">
        <v>351</v>
      </c>
      <c r="G322" s="10">
        <v>5214931</v>
      </c>
      <c r="H322" s="11" cm="1">
        <f t="array" ref="H322">F322/G322*100000</f>
        <v>6.73067390536903</v>
      </c>
    </row>
    <row r="323" ht="13" customHeight="1">
      <c r="A323" s="8">
        <v>2</v>
      </c>
      <c r="B323" t="s" s="9">
        <v>34</v>
      </c>
      <c r="C323" t="s" s="9">
        <v>60</v>
      </c>
      <c r="D323" t="s" s="9">
        <v>57</v>
      </c>
      <c r="E323" t="s" s="9">
        <v>33</v>
      </c>
      <c r="F323" s="10">
        <v>183</v>
      </c>
      <c r="G323" s="10">
        <v>5214931</v>
      </c>
      <c r="H323" s="11" cm="1">
        <f t="array" ref="H323">F323/G323*100000</f>
        <v>3.5091547711753</v>
      </c>
    </row>
    <row r="324" ht="13" customHeight="1">
      <c r="A324" s="8">
        <v>3</v>
      </c>
      <c r="B324" t="s" s="9">
        <v>30</v>
      </c>
      <c r="C324" t="s" s="9">
        <v>60</v>
      </c>
      <c r="D324" t="s" s="9">
        <v>57</v>
      </c>
      <c r="E324" t="s" s="9">
        <v>33</v>
      </c>
      <c r="F324" s="10">
        <v>67</v>
      </c>
      <c r="G324" s="10">
        <v>5214931</v>
      </c>
      <c r="H324" s="11" cm="1">
        <f t="array" ref="H324">F324/G324*100000</f>
        <v>1.28477251185107</v>
      </c>
    </row>
    <row r="325" ht="13" customHeight="1">
      <c r="A325" s="8">
        <v>4</v>
      </c>
      <c r="B325" t="s" s="9">
        <v>30</v>
      </c>
      <c r="C325" t="s" s="9">
        <v>60</v>
      </c>
      <c r="D325" t="s" s="9">
        <v>57</v>
      </c>
      <c r="E325" t="s" s="9">
        <v>33</v>
      </c>
      <c r="F325" s="10">
        <v>42</v>
      </c>
      <c r="G325" s="10">
        <v>5214931</v>
      </c>
      <c r="H325" s="11" cm="1">
        <f t="array" ref="H325">F325/G325*100000</f>
        <v>0.80537978354843</v>
      </c>
    </row>
    <row r="326" ht="13" customHeight="1">
      <c r="A326" s="8">
        <v>5</v>
      </c>
      <c r="B326" t="s" s="9">
        <v>41</v>
      </c>
      <c r="C326" t="s" s="9">
        <v>60</v>
      </c>
      <c r="D326" t="s" s="9">
        <v>57</v>
      </c>
      <c r="E326" t="s" s="9">
        <v>33</v>
      </c>
      <c r="F326" s="10">
        <v>41</v>
      </c>
      <c r="G326" s="10">
        <v>5214931</v>
      </c>
      <c r="H326" s="11" cm="1">
        <f t="array" ref="H326">F326/G326*100000</f>
        <v>0.786204074416325</v>
      </c>
    </row>
    <row r="327" ht="13" customHeight="1">
      <c r="A327" s="8">
        <v>6</v>
      </c>
      <c r="B327" t="s" s="9">
        <v>45</v>
      </c>
      <c r="C327" t="s" s="9">
        <v>60</v>
      </c>
      <c r="D327" t="s" s="9">
        <v>57</v>
      </c>
      <c r="E327" t="s" s="9">
        <v>33</v>
      </c>
      <c r="F327" s="10">
        <v>13</v>
      </c>
      <c r="G327" s="10">
        <v>5214931</v>
      </c>
      <c r="H327" s="11" cm="1">
        <f t="array" ref="H327">F327/G327*100000</f>
        <v>0.249284218717371</v>
      </c>
    </row>
    <row r="328" ht="13" customHeight="1">
      <c r="A328" s="8">
        <v>7</v>
      </c>
      <c r="B328" t="s" s="9">
        <v>45</v>
      </c>
      <c r="C328" t="s" s="9">
        <v>60</v>
      </c>
      <c r="D328" t="s" s="9">
        <v>57</v>
      </c>
      <c r="E328" t="s" s="9">
        <v>33</v>
      </c>
      <c r="F328" s="10">
        <v>7</v>
      </c>
      <c r="G328" s="10">
        <v>5214931</v>
      </c>
      <c r="H328" s="11" cm="1">
        <f t="array" ref="H328">F328/G328*100000</f>
        <v>0.134229963924738</v>
      </c>
    </row>
    <row r="329" ht="13" customHeight="1">
      <c r="A329" s="8">
        <v>8</v>
      </c>
      <c r="B329" t="s" s="9">
        <v>48</v>
      </c>
      <c r="C329" t="s" s="9">
        <v>60</v>
      </c>
      <c r="D329" t="s" s="9">
        <v>57</v>
      </c>
      <c r="E329" t="s" s="9">
        <v>33</v>
      </c>
      <c r="F329" s="10">
        <v>0</v>
      </c>
      <c r="G329" s="10">
        <v>5214931</v>
      </c>
      <c r="H329" t="s" s="9">
        <v>50</v>
      </c>
    </row>
    <row r="330" ht="13" customHeight="1">
      <c r="A330" s="8">
        <v>9</v>
      </c>
      <c r="B330" t="s" s="9">
        <v>48</v>
      </c>
      <c r="C330" t="s" s="9">
        <v>60</v>
      </c>
      <c r="D330" t="s" s="9">
        <v>57</v>
      </c>
      <c r="E330" t="s" s="9">
        <v>33</v>
      </c>
      <c r="F330" s="10">
        <v>0</v>
      </c>
      <c r="G330" s="10">
        <v>5214931</v>
      </c>
      <c r="H330" t="s" s="9">
        <v>50</v>
      </c>
    </row>
    <row r="331" ht="13" customHeight="1">
      <c r="A331" s="8">
        <v>10</v>
      </c>
      <c r="B331" t="s" s="9">
        <v>48</v>
      </c>
      <c r="C331" t="s" s="9">
        <v>60</v>
      </c>
      <c r="D331" t="s" s="9">
        <v>57</v>
      </c>
      <c r="E331" t="s" s="9">
        <v>33</v>
      </c>
      <c r="F331" s="10">
        <v>0</v>
      </c>
      <c r="G331" s="10">
        <v>5214931</v>
      </c>
      <c r="H331" t="s" s="9">
        <v>50</v>
      </c>
    </row>
    <row r="332" ht="13" customHeight="1">
      <c r="A332" s="8">
        <v>1</v>
      </c>
      <c r="B332" t="s" s="9">
        <v>30</v>
      </c>
      <c r="C332" t="s" s="9">
        <v>60</v>
      </c>
      <c r="D332" t="s" s="9">
        <v>20</v>
      </c>
      <c r="E332" t="s" s="9">
        <v>33</v>
      </c>
      <c r="F332" s="10">
        <v>3847</v>
      </c>
      <c r="G332" s="10">
        <v>2889689</v>
      </c>
      <c r="H332" s="11" cm="1">
        <f t="array" ref="H332">F332/G332*100000</f>
        <v>133.128513137573</v>
      </c>
    </row>
    <row r="333" ht="13" customHeight="1">
      <c r="A333" s="8">
        <v>2</v>
      </c>
      <c r="B333" t="s" s="9">
        <v>35</v>
      </c>
      <c r="C333" t="s" s="9">
        <v>60</v>
      </c>
      <c r="D333" t="s" s="9">
        <v>20</v>
      </c>
      <c r="E333" t="s" s="9">
        <v>33</v>
      </c>
      <c r="F333" s="10">
        <v>2953</v>
      </c>
      <c r="G333" s="10">
        <v>2889689</v>
      </c>
      <c r="H333" s="11" cm="1">
        <f t="array" ref="H333">F333/G333*100000</f>
        <v>102.190927812647</v>
      </c>
    </row>
    <row r="334" ht="13" customHeight="1">
      <c r="A334" s="8">
        <v>3</v>
      </c>
      <c r="B334" t="s" s="9">
        <v>34</v>
      </c>
      <c r="C334" t="s" s="9">
        <v>60</v>
      </c>
      <c r="D334" t="s" s="9">
        <v>20</v>
      </c>
      <c r="E334" t="s" s="9">
        <v>33</v>
      </c>
      <c r="F334" s="10">
        <v>1221</v>
      </c>
      <c r="G334" s="10">
        <v>2889689</v>
      </c>
      <c r="H334" s="11" cm="1">
        <f t="array" ref="H334">F334/G334*100000</f>
        <v>42.2536819706204</v>
      </c>
    </row>
    <row r="335" ht="13" customHeight="1">
      <c r="A335" s="8">
        <v>4</v>
      </c>
      <c r="B335" t="s" s="9">
        <v>39</v>
      </c>
      <c r="C335" t="s" s="9">
        <v>60</v>
      </c>
      <c r="D335" t="s" s="9">
        <v>20</v>
      </c>
      <c r="E335" t="s" s="9">
        <v>33</v>
      </c>
      <c r="F335" s="10">
        <v>782</v>
      </c>
      <c r="G335" s="10">
        <v>2889689</v>
      </c>
      <c r="H335" s="11" cm="1">
        <f t="array" ref="H335">F335/G335*100000</f>
        <v>27.0617357092753</v>
      </c>
    </row>
    <row r="336" ht="13" customHeight="1">
      <c r="A336" s="8">
        <v>5</v>
      </c>
      <c r="B336" t="s" s="9">
        <v>30</v>
      </c>
      <c r="C336" t="s" s="9">
        <v>60</v>
      </c>
      <c r="D336" t="s" s="9">
        <v>20</v>
      </c>
      <c r="E336" t="s" s="9">
        <v>33</v>
      </c>
      <c r="F336" s="10">
        <v>912</v>
      </c>
      <c r="G336" s="10">
        <v>2889689</v>
      </c>
      <c r="H336" s="11" cm="1">
        <f t="array" ref="H336">F336/G336*100000</f>
        <v>31.5604897274413</v>
      </c>
    </row>
    <row r="337" ht="13" customHeight="1">
      <c r="A337" s="8">
        <v>6</v>
      </c>
      <c r="B337" t="s" s="9">
        <v>36</v>
      </c>
      <c r="C337" t="s" s="9">
        <v>60</v>
      </c>
      <c r="D337" t="s" s="9">
        <v>20</v>
      </c>
      <c r="E337" t="s" s="9">
        <v>33</v>
      </c>
      <c r="F337" s="10">
        <v>494</v>
      </c>
      <c r="G337" s="10">
        <v>2889689</v>
      </c>
      <c r="H337" s="11" cm="1">
        <f t="array" ref="H337">F337/G337*100000</f>
        <v>17.0952652690307</v>
      </c>
    </row>
    <row r="338" ht="13" customHeight="1">
      <c r="A338" s="8">
        <v>7</v>
      </c>
      <c r="B338" t="s" s="9">
        <v>37</v>
      </c>
      <c r="C338" t="s" s="9">
        <v>60</v>
      </c>
      <c r="D338" t="s" s="9">
        <v>20</v>
      </c>
      <c r="E338" t="s" s="9">
        <v>33</v>
      </c>
      <c r="F338" s="10">
        <v>482</v>
      </c>
      <c r="G338" s="10">
        <v>2889689</v>
      </c>
      <c r="H338" s="11" cm="1">
        <f t="array" ref="H338">F338/G338*100000</f>
        <v>16.6799956673538</v>
      </c>
    </row>
    <row r="339" ht="13" customHeight="1">
      <c r="A339" s="8">
        <v>8</v>
      </c>
      <c r="B339" t="s" s="9">
        <v>37</v>
      </c>
      <c r="C339" t="s" s="9">
        <v>60</v>
      </c>
      <c r="D339" t="s" s="9">
        <v>20</v>
      </c>
      <c r="E339" t="s" s="9">
        <v>33</v>
      </c>
      <c r="F339" s="10">
        <v>402</v>
      </c>
      <c r="G339" s="10">
        <v>2889689</v>
      </c>
      <c r="H339" s="11" cm="1">
        <f t="array" ref="H339">F339/G339*100000</f>
        <v>13.9115316561748</v>
      </c>
    </row>
    <row r="340" ht="13" customHeight="1">
      <c r="A340" s="8">
        <v>9</v>
      </c>
      <c r="B340" t="s" s="9">
        <v>30</v>
      </c>
      <c r="C340" t="s" s="9">
        <v>60</v>
      </c>
      <c r="D340" t="s" s="9">
        <v>20</v>
      </c>
      <c r="E340" t="s" s="9">
        <v>33</v>
      </c>
      <c r="F340" s="10">
        <v>219</v>
      </c>
      <c r="G340" s="10">
        <v>2889689</v>
      </c>
      <c r="H340" s="11" cm="1">
        <f t="array" ref="H340">F340/G340*100000</f>
        <v>7.57867023060267</v>
      </c>
    </row>
    <row r="341" ht="13" customHeight="1">
      <c r="A341" s="8">
        <v>10</v>
      </c>
      <c r="B341" t="s" s="9">
        <v>45</v>
      </c>
      <c r="C341" t="s" s="9">
        <v>60</v>
      </c>
      <c r="D341" t="s" s="9">
        <v>20</v>
      </c>
      <c r="E341" t="s" s="9">
        <v>33</v>
      </c>
      <c r="F341" s="10">
        <v>258</v>
      </c>
      <c r="G341" s="10">
        <v>2889689</v>
      </c>
      <c r="H341" s="11" cm="1">
        <f t="array" ref="H341">F341/G341*100000</f>
        <v>8.928296436052459</v>
      </c>
    </row>
    <row r="342" ht="13" customHeight="1">
      <c r="A342" s="8">
        <v>1</v>
      </c>
      <c r="B342" t="s" s="9">
        <v>30</v>
      </c>
      <c r="C342" t="s" s="9">
        <v>60</v>
      </c>
      <c r="D342" t="s" s="9">
        <v>21</v>
      </c>
      <c r="E342" t="s" s="9">
        <v>33</v>
      </c>
      <c r="F342" s="10">
        <v>1779</v>
      </c>
      <c r="G342" s="10">
        <v>4635519</v>
      </c>
      <c r="H342" s="11" cm="1">
        <f t="array" ref="H342">F342/G342*100000</f>
        <v>38.3775797273186</v>
      </c>
    </row>
    <row r="343" ht="13" customHeight="1">
      <c r="A343" s="8">
        <v>2</v>
      </c>
      <c r="B343" t="s" s="9">
        <v>30</v>
      </c>
      <c r="C343" t="s" s="9">
        <v>60</v>
      </c>
      <c r="D343" t="s" s="9">
        <v>21</v>
      </c>
      <c r="E343" t="s" s="9">
        <v>33</v>
      </c>
      <c r="F343" s="10">
        <v>1680</v>
      </c>
      <c r="G343" s="10">
        <v>4635519</v>
      </c>
      <c r="H343" s="11" cm="1">
        <f t="array" ref="H343">F343/G343*100000</f>
        <v>36.2418965384459</v>
      </c>
    </row>
    <row r="344" ht="13" customHeight="1">
      <c r="A344" s="8">
        <v>3</v>
      </c>
      <c r="B344" t="s" s="9">
        <v>34</v>
      </c>
      <c r="C344" t="s" s="9">
        <v>60</v>
      </c>
      <c r="D344" t="s" s="9">
        <v>21</v>
      </c>
      <c r="E344" t="s" s="9">
        <v>33</v>
      </c>
      <c r="F344" s="10">
        <v>1441</v>
      </c>
      <c r="G344" s="10">
        <v>4635519</v>
      </c>
      <c r="H344" s="11" cm="1">
        <f t="array" ref="H344">F344/G344*100000</f>
        <v>31.0860553047027</v>
      </c>
    </row>
    <row r="345" ht="13" customHeight="1">
      <c r="A345" s="8">
        <v>4</v>
      </c>
      <c r="B345" t="s" s="9">
        <v>34</v>
      </c>
      <c r="C345" t="s" s="9">
        <v>60</v>
      </c>
      <c r="D345" t="s" s="9">
        <v>21</v>
      </c>
      <c r="E345" t="s" s="9">
        <v>33</v>
      </c>
      <c r="F345" s="10">
        <v>958</v>
      </c>
      <c r="G345" s="10">
        <v>4635519</v>
      </c>
      <c r="H345" s="11" cm="1">
        <f t="array" ref="H345">F345/G345*100000</f>
        <v>20.6665100498995</v>
      </c>
    </row>
    <row r="346" ht="13" customHeight="1">
      <c r="A346" s="8">
        <v>5</v>
      </c>
      <c r="B346" t="s" s="9">
        <v>34</v>
      </c>
      <c r="C346" t="s" s="9">
        <v>60</v>
      </c>
      <c r="D346" t="s" s="9">
        <v>21</v>
      </c>
      <c r="E346" t="s" s="9">
        <v>33</v>
      </c>
      <c r="F346" s="10">
        <v>496</v>
      </c>
      <c r="G346" s="10">
        <v>4635519</v>
      </c>
      <c r="H346" s="11" cm="1">
        <f t="array" ref="H346">F346/G346*100000</f>
        <v>10.6999885018269</v>
      </c>
    </row>
    <row r="347" ht="13" customHeight="1">
      <c r="A347" s="8">
        <v>6</v>
      </c>
      <c r="B347" t="s" s="9">
        <v>37</v>
      </c>
      <c r="C347" t="s" s="9">
        <v>60</v>
      </c>
      <c r="D347" t="s" s="9">
        <v>21</v>
      </c>
      <c r="E347" t="s" s="9">
        <v>33</v>
      </c>
      <c r="F347" s="10">
        <v>516</v>
      </c>
      <c r="G347" s="10">
        <v>4635519</v>
      </c>
      <c r="H347" s="11" cm="1">
        <f t="array" ref="H347">F347/G347*100000</f>
        <v>11.1314396510941</v>
      </c>
    </row>
    <row r="348" ht="13" customHeight="1">
      <c r="A348" s="8">
        <v>7</v>
      </c>
      <c r="B348" t="s" s="9">
        <v>37</v>
      </c>
      <c r="C348" t="s" s="9">
        <v>60</v>
      </c>
      <c r="D348" t="s" s="9">
        <v>21</v>
      </c>
      <c r="E348" t="s" s="9">
        <v>33</v>
      </c>
      <c r="F348" s="10">
        <v>514</v>
      </c>
      <c r="G348" s="10">
        <v>4635519</v>
      </c>
      <c r="H348" s="11" cm="1">
        <f t="array" ref="H348">F348/G348*100000</f>
        <v>11.0882945361674</v>
      </c>
    </row>
    <row r="349" ht="13" customHeight="1">
      <c r="A349" s="8">
        <v>8</v>
      </c>
      <c r="B349" t="s" s="9">
        <v>30</v>
      </c>
      <c r="C349" t="s" s="9">
        <v>60</v>
      </c>
      <c r="D349" t="s" s="9">
        <v>21</v>
      </c>
      <c r="E349" t="s" s="9">
        <v>33</v>
      </c>
      <c r="F349" s="10">
        <v>298</v>
      </c>
      <c r="G349" s="10">
        <v>4635519</v>
      </c>
      <c r="H349" s="11" cm="1">
        <f t="array" ref="H349">F349/G349*100000</f>
        <v>6.42862212408147</v>
      </c>
    </row>
    <row r="350" ht="13" customHeight="1">
      <c r="A350" s="8">
        <v>9</v>
      </c>
      <c r="B350" t="s" s="9">
        <v>30</v>
      </c>
      <c r="C350" t="s" s="9">
        <v>60</v>
      </c>
      <c r="D350" t="s" s="9">
        <v>21</v>
      </c>
      <c r="E350" t="s" s="9">
        <v>33</v>
      </c>
      <c r="F350" s="10">
        <v>256</v>
      </c>
      <c r="G350" s="10">
        <v>4635519</v>
      </c>
      <c r="H350" s="11" cm="1">
        <f t="array" ref="H350">F350/G350*100000</f>
        <v>5.52257471062032</v>
      </c>
    </row>
    <row r="351" ht="13" customHeight="1">
      <c r="A351" s="8">
        <v>10</v>
      </c>
      <c r="B351" t="s" s="9">
        <v>41</v>
      </c>
      <c r="C351" t="s" s="9">
        <v>60</v>
      </c>
      <c r="D351" t="s" s="9">
        <v>21</v>
      </c>
      <c r="E351" t="s" s="9">
        <v>33</v>
      </c>
      <c r="F351" s="10">
        <v>200</v>
      </c>
      <c r="G351" s="10">
        <v>4635519</v>
      </c>
      <c r="H351" s="11" cm="1">
        <f t="array" ref="H351">F351/G351*100000</f>
        <v>4.31451149267213</v>
      </c>
    </row>
    <row r="352" ht="13.65" customHeight="1">
      <c r="A352" s="8">
        <v>1</v>
      </c>
      <c r="B352" t="s" s="9">
        <v>35</v>
      </c>
      <c r="C352" t="s" s="9">
        <v>60</v>
      </c>
      <c r="D352" t="s" s="9">
        <v>58</v>
      </c>
      <c r="E352" t="s" s="9">
        <v>33</v>
      </c>
      <c r="F352" s="10">
        <v>160</v>
      </c>
      <c r="G352" s="12"/>
      <c r="H352" s="13"/>
    </row>
    <row r="353" ht="13.65" customHeight="1">
      <c r="A353" s="8">
        <v>2</v>
      </c>
      <c r="B353" t="s" s="9">
        <v>34</v>
      </c>
      <c r="C353" t="s" s="9">
        <v>60</v>
      </c>
      <c r="D353" t="s" s="9">
        <v>58</v>
      </c>
      <c r="E353" t="s" s="9">
        <v>33</v>
      </c>
      <c r="F353" s="10">
        <v>131</v>
      </c>
      <c r="G353" s="14"/>
      <c r="H353" s="15"/>
    </row>
    <row r="354" ht="13.65" customHeight="1">
      <c r="A354" s="8">
        <v>3</v>
      </c>
      <c r="B354" t="s" s="9">
        <v>30</v>
      </c>
      <c r="C354" t="s" s="9">
        <v>60</v>
      </c>
      <c r="D354" t="s" s="9">
        <v>58</v>
      </c>
      <c r="E354" t="s" s="9">
        <v>33</v>
      </c>
      <c r="F354" s="10">
        <v>75</v>
      </c>
      <c r="G354" s="14"/>
      <c r="H354" s="15"/>
    </row>
    <row r="355" ht="13.65" customHeight="1">
      <c r="A355" s="8">
        <v>4</v>
      </c>
      <c r="B355" t="s" s="9">
        <v>41</v>
      </c>
      <c r="C355" t="s" s="9">
        <v>60</v>
      </c>
      <c r="D355" t="s" s="9">
        <v>58</v>
      </c>
      <c r="E355" t="s" s="9">
        <v>33</v>
      </c>
      <c r="F355" s="10">
        <v>53</v>
      </c>
      <c r="G355" s="14"/>
      <c r="H355" s="15"/>
    </row>
    <row r="356" ht="13.65" customHeight="1">
      <c r="A356" s="8">
        <v>5</v>
      </c>
      <c r="B356" t="s" s="9">
        <v>35</v>
      </c>
      <c r="C356" t="s" s="9">
        <v>60</v>
      </c>
      <c r="D356" t="s" s="9">
        <v>58</v>
      </c>
      <c r="E356" t="s" s="9">
        <v>33</v>
      </c>
      <c r="F356" s="10">
        <v>21</v>
      </c>
      <c r="G356" s="14"/>
      <c r="H356" s="15"/>
    </row>
    <row r="357" ht="13.65" customHeight="1">
      <c r="A357" s="8">
        <v>6</v>
      </c>
      <c r="B357" t="s" s="9">
        <v>30</v>
      </c>
      <c r="C357" t="s" s="9">
        <v>60</v>
      </c>
      <c r="D357" t="s" s="9">
        <v>58</v>
      </c>
      <c r="E357" t="s" s="9">
        <v>33</v>
      </c>
      <c r="F357" s="10">
        <v>23</v>
      </c>
      <c r="G357" s="14"/>
      <c r="H357" s="15"/>
    </row>
    <row r="358" ht="13.65" customHeight="1">
      <c r="A358" s="8">
        <v>7</v>
      </c>
      <c r="B358" t="s" s="9">
        <v>30</v>
      </c>
      <c r="C358" t="s" s="9">
        <v>60</v>
      </c>
      <c r="D358" t="s" s="9">
        <v>58</v>
      </c>
      <c r="E358" t="s" s="9">
        <v>33</v>
      </c>
      <c r="F358" s="10">
        <v>18</v>
      </c>
      <c r="G358" s="14"/>
      <c r="H358" s="15"/>
    </row>
    <row r="359" ht="13.65" customHeight="1">
      <c r="A359" s="8">
        <v>8</v>
      </c>
      <c r="B359" t="s" s="9">
        <v>30</v>
      </c>
      <c r="C359" t="s" s="9">
        <v>60</v>
      </c>
      <c r="D359" t="s" s="9">
        <v>58</v>
      </c>
      <c r="E359" t="s" s="9">
        <v>33</v>
      </c>
      <c r="F359" s="10">
        <v>13</v>
      </c>
      <c r="G359" s="14"/>
      <c r="H359" s="15"/>
    </row>
    <row r="360" ht="13.65" customHeight="1">
      <c r="A360" s="8">
        <v>9</v>
      </c>
      <c r="B360" t="s" s="9">
        <v>45</v>
      </c>
      <c r="C360" t="s" s="9">
        <v>60</v>
      </c>
      <c r="D360" t="s" s="9">
        <v>58</v>
      </c>
      <c r="E360" t="s" s="9">
        <v>33</v>
      </c>
      <c r="F360" s="10">
        <v>11</v>
      </c>
      <c r="G360" s="14"/>
      <c r="H360" s="15"/>
    </row>
    <row r="361" ht="13.65" customHeight="1">
      <c r="A361" s="8">
        <v>10</v>
      </c>
      <c r="B361" t="s" s="9">
        <v>30</v>
      </c>
      <c r="C361" t="s" s="9">
        <v>60</v>
      </c>
      <c r="D361" t="s" s="9">
        <v>58</v>
      </c>
      <c r="E361" t="s" s="9">
        <v>33</v>
      </c>
      <c r="F361" s="10">
        <v>10</v>
      </c>
      <c r="G361" s="16"/>
      <c r="H361" s="17"/>
    </row>
    <row r="362" ht="13" customHeight="1">
      <c r="A362" s="8">
        <v>1</v>
      </c>
      <c r="B362" t="s" s="9">
        <v>30</v>
      </c>
      <c r="C362" t="s" s="9">
        <v>61</v>
      </c>
      <c r="D362" t="s" s="9">
        <v>32</v>
      </c>
      <c r="E362" t="s" s="9">
        <v>33</v>
      </c>
      <c r="F362" s="10">
        <v>6199</v>
      </c>
      <c r="G362" s="10">
        <v>14521657</v>
      </c>
      <c r="H362" s="11" cm="1">
        <f t="array" ref="H362">F362/G362*100000</f>
        <v>42.6879659807417</v>
      </c>
    </row>
    <row r="363" ht="13" customHeight="1">
      <c r="A363" s="8">
        <v>2</v>
      </c>
      <c r="B363" t="s" s="9">
        <v>34</v>
      </c>
      <c r="C363" t="s" s="9">
        <v>61</v>
      </c>
      <c r="D363" t="s" s="9">
        <v>32</v>
      </c>
      <c r="E363" t="s" s="9">
        <v>33</v>
      </c>
      <c r="F363" s="10">
        <v>5276</v>
      </c>
      <c r="G363" s="10">
        <v>14521657</v>
      </c>
      <c r="H363" s="11" cm="1">
        <f t="array" ref="H363">F363/G363*100000</f>
        <v>36.3319420090972</v>
      </c>
    </row>
    <row r="364" ht="13" customHeight="1">
      <c r="A364" s="8">
        <v>3</v>
      </c>
      <c r="B364" t="s" s="9">
        <v>35</v>
      </c>
      <c r="C364" t="s" s="9">
        <v>61</v>
      </c>
      <c r="D364" t="s" s="9">
        <v>32</v>
      </c>
      <c r="E364" t="s" s="9">
        <v>33</v>
      </c>
      <c r="F364" s="10">
        <v>4795</v>
      </c>
      <c r="G364" s="10">
        <v>14521657</v>
      </c>
      <c r="H364" s="11" cm="1">
        <f t="array" ref="H364">F364/G364*100000</f>
        <v>33.0196478266909</v>
      </c>
    </row>
    <row r="365" ht="13" customHeight="1">
      <c r="A365" s="8">
        <v>4</v>
      </c>
      <c r="B365" t="s" s="9">
        <v>37</v>
      </c>
      <c r="C365" t="s" s="9">
        <v>61</v>
      </c>
      <c r="D365" t="s" s="9">
        <v>32</v>
      </c>
      <c r="E365" t="s" s="9">
        <v>33</v>
      </c>
      <c r="F365" s="10">
        <v>1821</v>
      </c>
      <c r="G365" s="10">
        <v>14521657</v>
      </c>
      <c r="H365" s="11" cm="1">
        <f t="array" ref="H365">F365/G365*100000</f>
        <v>12.5398912810019</v>
      </c>
    </row>
    <row r="366" ht="13" customHeight="1">
      <c r="A366" s="8">
        <v>5</v>
      </c>
      <c r="B366" t="s" s="9">
        <v>30</v>
      </c>
      <c r="C366" t="s" s="9">
        <v>61</v>
      </c>
      <c r="D366" t="s" s="9">
        <v>32</v>
      </c>
      <c r="E366" t="s" s="9">
        <v>33</v>
      </c>
      <c r="F366" s="10">
        <v>1160</v>
      </c>
      <c r="G366" s="10">
        <v>14521657</v>
      </c>
      <c r="H366" s="11" cm="1">
        <f t="array" ref="H366">F366/G366*100000</f>
        <v>7.98806913012751</v>
      </c>
    </row>
    <row r="367" ht="13" customHeight="1">
      <c r="A367" s="8">
        <v>6</v>
      </c>
      <c r="B367" t="s" s="9">
        <v>30</v>
      </c>
      <c r="C367" t="s" s="9">
        <v>61</v>
      </c>
      <c r="D367" t="s" s="9">
        <v>32</v>
      </c>
      <c r="E367" t="s" s="9">
        <v>33</v>
      </c>
      <c r="F367" s="10">
        <v>1174</v>
      </c>
      <c r="G367" s="10">
        <v>14521657</v>
      </c>
      <c r="H367" s="11" cm="1">
        <f t="array" ref="H367">F367/G367*100000</f>
        <v>8.08447686100835</v>
      </c>
    </row>
    <row r="368" ht="13" customHeight="1">
      <c r="A368" s="8">
        <v>7</v>
      </c>
      <c r="B368" t="s" s="9">
        <v>30</v>
      </c>
      <c r="C368" t="s" s="9">
        <v>61</v>
      </c>
      <c r="D368" t="s" s="9">
        <v>32</v>
      </c>
      <c r="E368" t="s" s="9">
        <v>33</v>
      </c>
      <c r="F368" s="10">
        <v>1246</v>
      </c>
      <c r="G368" s="10">
        <v>14521657</v>
      </c>
      <c r="H368" s="11" cm="1">
        <f t="array" ref="H368">F368/G368*100000</f>
        <v>8.58028804839558</v>
      </c>
    </row>
    <row r="369" ht="13" customHeight="1">
      <c r="A369" s="8">
        <v>8</v>
      </c>
      <c r="B369" t="s" s="9">
        <v>30</v>
      </c>
      <c r="C369" t="s" s="9">
        <v>61</v>
      </c>
      <c r="D369" t="s" s="9">
        <v>32</v>
      </c>
      <c r="E369" t="s" s="9">
        <v>33</v>
      </c>
      <c r="F369" s="10">
        <v>913</v>
      </c>
      <c r="G369" s="10">
        <v>14521657</v>
      </c>
      <c r="H369" s="11" cm="1">
        <f t="array" ref="H369">F369/G369*100000</f>
        <v>6.28716130672967</v>
      </c>
    </row>
    <row r="370" ht="13" customHeight="1">
      <c r="A370" s="8">
        <v>9</v>
      </c>
      <c r="B370" t="s" s="9">
        <v>39</v>
      </c>
      <c r="C370" t="s" s="9">
        <v>61</v>
      </c>
      <c r="D370" t="s" s="9">
        <v>32</v>
      </c>
      <c r="E370" t="s" s="9">
        <v>33</v>
      </c>
      <c r="F370" s="10">
        <v>490</v>
      </c>
      <c r="G370" s="10">
        <v>14521657</v>
      </c>
      <c r="H370" s="11" cm="1">
        <f t="array" ref="H370">F370/G370*100000</f>
        <v>3.37427058082972</v>
      </c>
    </row>
    <row r="371" ht="13" customHeight="1">
      <c r="A371" s="8">
        <v>10</v>
      </c>
      <c r="B371" t="s" s="9">
        <v>41</v>
      </c>
      <c r="C371" t="s" s="9">
        <v>61</v>
      </c>
      <c r="D371" t="s" s="9">
        <v>32</v>
      </c>
      <c r="E371" t="s" s="9">
        <v>33</v>
      </c>
      <c r="F371" s="10">
        <v>575</v>
      </c>
      <c r="G371" s="10">
        <v>14521657</v>
      </c>
      <c r="H371" s="11" cm="1">
        <f t="array" ref="H371">F371/G371*100000</f>
        <v>3.95960323260631</v>
      </c>
    </row>
    <row r="372" ht="13" customHeight="1">
      <c r="A372" s="8">
        <v>1</v>
      </c>
      <c r="B372" t="s" s="9">
        <v>30</v>
      </c>
      <c r="C372" t="s" s="9">
        <v>61</v>
      </c>
      <c r="D372" t="s" s="9">
        <v>38</v>
      </c>
      <c r="E372" t="s" s="9">
        <v>33</v>
      </c>
      <c r="F372" s="10">
        <v>6293</v>
      </c>
      <c r="G372" s="10">
        <v>1874281</v>
      </c>
      <c r="H372" s="11" cm="1">
        <f t="array" ref="H372">F372/G372*100000</f>
        <v>335.755417677499</v>
      </c>
    </row>
    <row r="373" ht="13" customHeight="1">
      <c r="A373" s="8">
        <v>2</v>
      </c>
      <c r="B373" t="s" s="9">
        <v>34</v>
      </c>
      <c r="C373" t="s" s="9">
        <v>61</v>
      </c>
      <c r="D373" t="s" s="9">
        <v>38</v>
      </c>
      <c r="E373" t="s" s="9">
        <v>33</v>
      </c>
      <c r="F373" s="10">
        <v>2315</v>
      </c>
      <c r="G373" s="10">
        <v>1874281</v>
      </c>
      <c r="H373" s="11" cm="1">
        <f t="array" ref="H373">F373/G373*100000</f>
        <v>123.514030180106</v>
      </c>
    </row>
    <row r="374" ht="13" customHeight="1">
      <c r="A374" s="8">
        <v>3</v>
      </c>
      <c r="B374" t="s" s="9">
        <v>30</v>
      </c>
      <c r="C374" t="s" s="9">
        <v>61</v>
      </c>
      <c r="D374" t="s" s="9">
        <v>38</v>
      </c>
      <c r="E374" t="s" s="9">
        <v>33</v>
      </c>
      <c r="F374" s="10">
        <v>1113</v>
      </c>
      <c r="G374" s="10">
        <v>1874281</v>
      </c>
      <c r="H374" s="11" cm="1">
        <f t="array" ref="H374">F374/G374*100000</f>
        <v>59.382771313373</v>
      </c>
    </row>
    <row r="375" ht="13" customHeight="1">
      <c r="A375" s="8">
        <v>4</v>
      </c>
      <c r="B375" t="s" s="9">
        <v>39</v>
      </c>
      <c r="C375" t="s" s="9">
        <v>61</v>
      </c>
      <c r="D375" t="s" s="9">
        <v>38</v>
      </c>
      <c r="E375" t="s" s="9">
        <v>33</v>
      </c>
      <c r="F375" s="10">
        <v>614</v>
      </c>
      <c r="G375" s="10">
        <v>1874281</v>
      </c>
      <c r="H375" s="11" cm="1">
        <f t="array" ref="H375">F375/G375*100000</f>
        <v>32.7592287389137</v>
      </c>
    </row>
    <row r="376" ht="13" customHeight="1">
      <c r="A376" s="8">
        <v>5</v>
      </c>
      <c r="B376" t="s" s="9">
        <v>37</v>
      </c>
      <c r="C376" t="s" s="9">
        <v>61</v>
      </c>
      <c r="D376" t="s" s="9">
        <v>38</v>
      </c>
      <c r="E376" t="s" s="9">
        <v>33</v>
      </c>
      <c r="F376" s="10">
        <v>639</v>
      </c>
      <c r="G376" s="10">
        <v>1874281</v>
      </c>
      <c r="H376" s="11" cm="1">
        <f t="array" ref="H376">F376/G376*100000</f>
        <v>34.0930735572734</v>
      </c>
    </row>
    <row r="377" ht="13" customHeight="1">
      <c r="A377" s="8">
        <v>6</v>
      </c>
      <c r="B377" t="s" s="9">
        <v>35</v>
      </c>
      <c r="C377" t="s" s="9">
        <v>61</v>
      </c>
      <c r="D377" t="s" s="9">
        <v>38</v>
      </c>
      <c r="E377" t="s" s="9">
        <v>33</v>
      </c>
      <c r="F377" s="10">
        <v>933</v>
      </c>
      <c r="G377" s="10">
        <v>1874281</v>
      </c>
      <c r="H377" s="11" cm="1">
        <f t="array" ref="H377">F377/G377*100000</f>
        <v>49.7790886211833</v>
      </c>
    </row>
    <row r="378" ht="13" customHeight="1">
      <c r="A378" s="8">
        <v>7</v>
      </c>
      <c r="B378" t="s" s="9">
        <v>37</v>
      </c>
      <c r="C378" t="s" s="9">
        <v>61</v>
      </c>
      <c r="D378" t="s" s="9">
        <v>38</v>
      </c>
      <c r="E378" t="s" s="9">
        <v>33</v>
      </c>
      <c r="F378" s="10">
        <v>422</v>
      </c>
      <c r="G378" s="10">
        <v>1874281</v>
      </c>
      <c r="H378" s="11" cm="1">
        <f t="array" ref="H378">F378/G378*100000</f>
        <v>22.5153005339114</v>
      </c>
    </row>
    <row r="379" ht="13" customHeight="1">
      <c r="A379" s="8">
        <v>8</v>
      </c>
      <c r="B379" t="s" s="9">
        <v>39</v>
      </c>
      <c r="C379" t="s" s="9">
        <v>61</v>
      </c>
      <c r="D379" t="s" s="9">
        <v>38</v>
      </c>
      <c r="E379" t="s" s="9">
        <v>33</v>
      </c>
      <c r="F379" s="10">
        <v>427</v>
      </c>
      <c r="G379" s="10">
        <v>1874281</v>
      </c>
      <c r="H379" s="11" cm="1">
        <f t="array" ref="H379">F379/G379*100000</f>
        <v>22.7820694975833</v>
      </c>
    </row>
    <row r="380" ht="13" customHeight="1">
      <c r="A380" s="8">
        <v>9</v>
      </c>
      <c r="B380" t="s" s="9">
        <v>30</v>
      </c>
      <c r="C380" t="s" s="9">
        <v>61</v>
      </c>
      <c r="D380" t="s" s="9">
        <v>38</v>
      </c>
      <c r="E380" t="s" s="9">
        <v>33</v>
      </c>
      <c r="F380" s="10">
        <v>512</v>
      </c>
      <c r="G380" s="10">
        <v>1874281</v>
      </c>
      <c r="H380" s="11" cm="1">
        <f t="array" ref="H380">F380/G380*100000</f>
        <v>27.3171418800063</v>
      </c>
    </row>
    <row r="381" ht="13" customHeight="1">
      <c r="A381" s="8">
        <v>10</v>
      </c>
      <c r="B381" t="s" s="9">
        <v>37</v>
      </c>
      <c r="C381" t="s" s="9">
        <v>61</v>
      </c>
      <c r="D381" t="s" s="9">
        <v>38</v>
      </c>
      <c r="E381" t="s" s="9">
        <v>33</v>
      </c>
      <c r="F381" s="10">
        <v>392</v>
      </c>
      <c r="G381" s="10">
        <v>1874281</v>
      </c>
      <c r="H381" s="11" cm="1">
        <f t="array" ref="H381">F381/G381*100000</f>
        <v>20.9146867518798</v>
      </c>
    </row>
    <row r="382" ht="13" customHeight="1">
      <c r="A382" s="8">
        <v>1</v>
      </c>
      <c r="B382" t="s" s="9">
        <v>30</v>
      </c>
      <c r="C382" t="s" s="9">
        <v>61</v>
      </c>
      <c r="D382" t="s" s="9">
        <v>42</v>
      </c>
      <c r="E382" t="s" s="9">
        <v>33</v>
      </c>
      <c r="F382" s="10">
        <v>6293</v>
      </c>
      <c r="G382" s="10">
        <v>5458063</v>
      </c>
      <c r="H382" s="11" cm="1">
        <f t="array" ref="H382">F382/G382*100000</f>
        <v>115.297313350909</v>
      </c>
    </row>
    <row r="383" ht="13" customHeight="1">
      <c r="A383" s="8">
        <v>2</v>
      </c>
      <c r="B383" t="s" s="9">
        <v>34</v>
      </c>
      <c r="C383" t="s" s="9">
        <v>61</v>
      </c>
      <c r="D383" t="s" s="9">
        <v>42</v>
      </c>
      <c r="E383" t="s" s="9">
        <v>33</v>
      </c>
      <c r="F383" s="10">
        <v>2315</v>
      </c>
      <c r="G383" s="10">
        <v>5458063</v>
      </c>
      <c r="H383" s="11" cm="1">
        <f t="array" ref="H383">F383/G383*100000</f>
        <v>42.4143143822268</v>
      </c>
    </row>
    <row r="384" ht="13" customHeight="1">
      <c r="A384" s="8">
        <v>3</v>
      </c>
      <c r="B384" t="s" s="9">
        <v>30</v>
      </c>
      <c r="C384" t="s" s="9">
        <v>61</v>
      </c>
      <c r="D384" t="s" s="9">
        <v>42</v>
      </c>
      <c r="E384" t="s" s="9">
        <v>33</v>
      </c>
      <c r="F384" s="10">
        <v>1113</v>
      </c>
      <c r="G384" s="10">
        <v>5458063</v>
      </c>
      <c r="H384" s="11" cm="1">
        <f t="array" ref="H384">F384/G384*100000</f>
        <v>20.3918496360339</v>
      </c>
    </row>
    <row r="385" ht="13" customHeight="1">
      <c r="A385" s="8">
        <v>4</v>
      </c>
      <c r="B385" t="s" s="9">
        <v>39</v>
      </c>
      <c r="C385" t="s" s="9">
        <v>61</v>
      </c>
      <c r="D385" t="s" s="9">
        <v>42</v>
      </c>
      <c r="E385" t="s" s="9">
        <v>33</v>
      </c>
      <c r="F385" s="10">
        <v>614</v>
      </c>
      <c r="G385" s="10">
        <v>5458063</v>
      </c>
      <c r="H385" s="11" cm="1">
        <f t="array" ref="H385">F385/G385*100000</f>
        <v>11.2494121082882</v>
      </c>
    </row>
    <row r="386" ht="13" customHeight="1">
      <c r="A386" s="8">
        <v>5</v>
      </c>
      <c r="B386" t="s" s="9">
        <v>37</v>
      </c>
      <c r="C386" t="s" s="9">
        <v>61</v>
      </c>
      <c r="D386" t="s" s="9">
        <v>42</v>
      </c>
      <c r="E386" t="s" s="9">
        <v>33</v>
      </c>
      <c r="F386" s="10">
        <v>639</v>
      </c>
      <c r="G386" s="10">
        <v>5458063</v>
      </c>
      <c r="H386" s="11" cm="1">
        <f t="array" ref="H386">F386/G386*100000</f>
        <v>11.7074500605801</v>
      </c>
    </row>
    <row r="387" ht="13" customHeight="1">
      <c r="A387" s="8">
        <v>6</v>
      </c>
      <c r="B387" t="s" s="9">
        <v>35</v>
      </c>
      <c r="C387" t="s" s="9">
        <v>61</v>
      </c>
      <c r="D387" t="s" s="9">
        <v>42</v>
      </c>
      <c r="E387" t="s" s="9">
        <v>33</v>
      </c>
      <c r="F387" s="10">
        <v>933</v>
      </c>
      <c r="G387" s="10">
        <v>5458063</v>
      </c>
      <c r="H387" s="11" cm="1">
        <f t="array" ref="H387">F387/G387*100000</f>
        <v>17.0939763795324</v>
      </c>
    </row>
    <row r="388" ht="13" customHeight="1">
      <c r="A388" s="8">
        <v>7</v>
      </c>
      <c r="B388" t="s" s="9">
        <v>37</v>
      </c>
      <c r="C388" t="s" s="9">
        <v>61</v>
      </c>
      <c r="D388" t="s" s="9">
        <v>42</v>
      </c>
      <c r="E388" t="s" s="9">
        <v>33</v>
      </c>
      <c r="F388" s="10">
        <v>422</v>
      </c>
      <c r="G388" s="10">
        <v>5458063</v>
      </c>
      <c r="H388" s="11" cm="1">
        <f t="array" ref="H388">F388/G388*100000</f>
        <v>7.7316806346867</v>
      </c>
    </row>
    <row r="389" ht="13" customHeight="1">
      <c r="A389" s="8">
        <v>8</v>
      </c>
      <c r="B389" t="s" s="9">
        <v>39</v>
      </c>
      <c r="C389" t="s" s="9">
        <v>61</v>
      </c>
      <c r="D389" t="s" s="9">
        <v>42</v>
      </c>
      <c r="E389" t="s" s="9">
        <v>33</v>
      </c>
      <c r="F389" s="10">
        <v>427</v>
      </c>
      <c r="G389" s="10">
        <v>5458063</v>
      </c>
      <c r="H389" s="11" cm="1">
        <f t="array" ref="H389">F389/G389*100000</f>
        <v>7.82328822514507</v>
      </c>
    </row>
    <row r="390" ht="13" customHeight="1">
      <c r="A390" s="8">
        <v>9</v>
      </c>
      <c r="B390" t="s" s="9">
        <v>35</v>
      </c>
      <c r="C390" t="s" s="9">
        <v>61</v>
      </c>
      <c r="D390" t="s" s="9">
        <v>42</v>
      </c>
      <c r="E390" t="s" s="9">
        <v>33</v>
      </c>
      <c r="F390" s="10">
        <v>633</v>
      </c>
      <c r="G390" s="10">
        <v>5458063</v>
      </c>
      <c r="H390" s="11" cm="1">
        <f t="array" ref="H390">F390/G390*100000</f>
        <v>11.5975209520301</v>
      </c>
    </row>
    <row r="391" ht="13" customHeight="1">
      <c r="A391" s="8">
        <v>10</v>
      </c>
      <c r="B391" t="s" s="9">
        <v>30</v>
      </c>
      <c r="C391" t="s" s="9">
        <v>61</v>
      </c>
      <c r="D391" t="s" s="9">
        <v>42</v>
      </c>
      <c r="E391" t="s" s="9">
        <v>33</v>
      </c>
      <c r="F391" s="10">
        <v>512</v>
      </c>
      <c r="G391" s="10">
        <v>5458063</v>
      </c>
      <c r="H391" s="11" cm="1">
        <f t="array" ref="H391">F391/G391*100000</f>
        <v>9.38061726293742</v>
      </c>
    </row>
    <row r="392" ht="13" customHeight="1">
      <c r="A392" s="8">
        <v>1</v>
      </c>
      <c r="B392" t="s" s="9">
        <v>34</v>
      </c>
      <c r="C392" t="s" s="9">
        <v>61</v>
      </c>
      <c r="D392" t="s" s="9">
        <v>43</v>
      </c>
      <c r="E392" t="s" s="9">
        <v>33</v>
      </c>
      <c r="F392" s="10">
        <v>2536</v>
      </c>
      <c r="G392" s="10">
        <v>3817144</v>
      </c>
      <c r="H392" s="11" cm="1">
        <f t="array" ref="H392">F392/G392*100000</f>
        <v>66.4371058571539</v>
      </c>
    </row>
    <row r="393" ht="13" customHeight="1">
      <c r="A393" s="8">
        <v>2</v>
      </c>
      <c r="B393" t="s" s="9">
        <v>30</v>
      </c>
      <c r="C393" t="s" s="9">
        <v>61</v>
      </c>
      <c r="D393" t="s" s="9">
        <v>43</v>
      </c>
      <c r="E393" t="s" s="9">
        <v>33</v>
      </c>
      <c r="F393" s="10">
        <v>2826</v>
      </c>
      <c r="G393" s="10">
        <v>3817144</v>
      </c>
      <c r="H393" s="11" cm="1">
        <f t="array" ref="H393">F393/G393*100000</f>
        <v>74.0344089717338</v>
      </c>
    </row>
    <row r="394" ht="13" customHeight="1">
      <c r="A394" s="8">
        <v>3</v>
      </c>
      <c r="B394" t="s" s="9">
        <v>35</v>
      </c>
      <c r="C394" t="s" s="9">
        <v>61</v>
      </c>
      <c r="D394" t="s" s="9">
        <v>43</v>
      </c>
      <c r="E394" t="s" s="9">
        <v>33</v>
      </c>
      <c r="F394" s="10">
        <v>1499</v>
      </c>
      <c r="G394" s="10">
        <v>3817144</v>
      </c>
      <c r="H394" s="11" cm="1">
        <f t="array" ref="H394">F394/G394*100000</f>
        <v>39.2701978232941</v>
      </c>
    </row>
    <row r="395" ht="13" customHeight="1">
      <c r="A395" s="8">
        <v>4</v>
      </c>
      <c r="B395" t="s" s="9">
        <v>37</v>
      </c>
      <c r="C395" t="s" s="9">
        <v>61</v>
      </c>
      <c r="D395" t="s" s="9">
        <v>43</v>
      </c>
      <c r="E395" t="s" s="9">
        <v>33</v>
      </c>
      <c r="F395" s="10">
        <v>762</v>
      </c>
      <c r="G395" s="10">
        <v>3817144</v>
      </c>
      <c r="H395" s="11" cm="1">
        <f t="array" ref="H395">F395/G395*100000</f>
        <v>19.9625688734824</v>
      </c>
    </row>
    <row r="396" ht="13" customHeight="1">
      <c r="A396" s="8">
        <v>5</v>
      </c>
      <c r="B396" t="s" s="9">
        <v>30</v>
      </c>
      <c r="C396" t="s" s="9">
        <v>61</v>
      </c>
      <c r="D396" t="s" s="9">
        <v>43</v>
      </c>
      <c r="E396" t="s" s="9">
        <v>33</v>
      </c>
      <c r="F396" s="10">
        <v>679</v>
      </c>
      <c r="G396" s="10">
        <v>3817144</v>
      </c>
      <c r="H396" s="11" cm="1">
        <f t="array" ref="H396">F396/G396*100000</f>
        <v>17.7881683268957</v>
      </c>
    </row>
    <row r="397" ht="13" customHeight="1">
      <c r="A397" s="8">
        <v>6</v>
      </c>
      <c r="B397" t="s" s="9">
        <v>39</v>
      </c>
      <c r="C397" t="s" s="9">
        <v>61</v>
      </c>
      <c r="D397" t="s" s="9">
        <v>43</v>
      </c>
      <c r="E397" t="s" s="9">
        <v>33</v>
      </c>
      <c r="F397" s="10">
        <v>412</v>
      </c>
      <c r="G397" s="10">
        <v>3817144</v>
      </c>
      <c r="H397" s="11" cm="1">
        <f t="array" ref="H397">F397/G397*100000</f>
        <v>10.7934099420928</v>
      </c>
    </row>
    <row r="398" ht="13" customHeight="1">
      <c r="A398" s="8">
        <v>7</v>
      </c>
      <c r="B398" t="s" s="9">
        <v>30</v>
      </c>
      <c r="C398" t="s" s="9">
        <v>61</v>
      </c>
      <c r="D398" t="s" s="9">
        <v>43</v>
      </c>
      <c r="E398" t="s" s="9">
        <v>33</v>
      </c>
      <c r="F398" s="10">
        <v>627</v>
      </c>
      <c r="G398" s="10">
        <v>3817144</v>
      </c>
      <c r="H398" s="11" cm="1">
        <f t="array" ref="H398">F398/G398*100000</f>
        <v>16.4258932856607</v>
      </c>
    </row>
    <row r="399" ht="13" customHeight="1">
      <c r="A399" s="8">
        <v>8</v>
      </c>
      <c r="B399" t="s" s="9">
        <v>37</v>
      </c>
      <c r="C399" t="s" s="9">
        <v>61</v>
      </c>
      <c r="D399" t="s" s="9">
        <v>43</v>
      </c>
      <c r="E399" t="s" s="9">
        <v>33</v>
      </c>
      <c r="F399" s="10">
        <v>330</v>
      </c>
      <c r="G399" s="10">
        <v>3817144</v>
      </c>
      <c r="H399" s="11" cm="1">
        <f t="array" ref="H399">F399/G399*100000</f>
        <v>8.645206992453</v>
      </c>
    </row>
    <row r="400" ht="13" customHeight="1">
      <c r="A400" s="8">
        <v>9</v>
      </c>
      <c r="B400" t="s" s="9">
        <v>40</v>
      </c>
      <c r="C400" t="s" s="9">
        <v>61</v>
      </c>
      <c r="D400" t="s" s="9">
        <v>43</v>
      </c>
      <c r="E400" t="s" s="9">
        <v>33</v>
      </c>
      <c r="F400" s="10">
        <v>390</v>
      </c>
      <c r="G400" s="10">
        <v>3817144</v>
      </c>
      <c r="H400" s="11" cm="1">
        <f t="array" ref="H400">F400/G400*100000</f>
        <v>10.2170628092626</v>
      </c>
    </row>
    <row r="401" ht="13" customHeight="1">
      <c r="A401" s="8">
        <v>10</v>
      </c>
      <c r="B401" t="s" s="9">
        <v>41</v>
      </c>
      <c r="C401" t="s" s="9">
        <v>61</v>
      </c>
      <c r="D401" t="s" s="9">
        <v>43</v>
      </c>
      <c r="E401" t="s" s="9">
        <v>33</v>
      </c>
      <c r="F401" s="10">
        <v>407</v>
      </c>
      <c r="G401" s="10">
        <v>3817144</v>
      </c>
      <c r="H401" s="11" cm="1">
        <f t="array" ref="H401">F401/G401*100000</f>
        <v>10.6624219573587</v>
      </c>
    </row>
    <row r="402" ht="13" customHeight="1">
      <c r="A402" s="8">
        <v>1</v>
      </c>
      <c r="B402" t="s" s="9">
        <v>30</v>
      </c>
      <c r="C402" t="s" s="9">
        <v>61</v>
      </c>
      <c r="D402" t="s" s="9">
        <v>44</v>
      </c>
      <c r="E402" t="s" s="9">
        <v>33</v>
      </c>
      <c r="F402" s="10">
        <v>5615</v>
      </c>
      <c r="G402" s="10">
        <v>13239670</v>
      </c>
      <c r="H402" s="11" cm="1">
        <f t="array" ref="H402">F402/G402*100000</f>
        <v>42.4104226162737</v>
      </c>
    </row>
    <row r="403" ht="13" customHeight="1">
      <c r="A403" s="8">
        <v>2</v>
      </c>
      <c r="B403" t="s" s="9">
        <v>34</v>
      </c>
      <c r="C403" t="s" s="9">
        <v>61</v>
      </c>
      <c r="D403" t="s" s="9">
        <v>44</v>
      </c>
      <c r="E403" t="s" s="9">
        <v>33</v>
      </c>
      <c r="F403" s="10">
        <v>1834</v>
      </c>
      <c r="G403" s="10">
        <v>13239670</v>
      </c>
      <c r="H403" s="11" cm="1">
        <f t="array" ref="H403">F403/G403*100000</f>
        <v>13.8523090077019</v>
      </c>
    </row>
    <row r="404" ht="13" customHeight="1">
      <c r="A404" s="8">
        <v>3</v>
      </c>
      <c r="B404" t="s" s="9">
        <v>30</v>
      </c>
      <c r="C404" t="s" s="9">
        <v>61</v>
      </c>
      <c r="D404" t="s" s="9">
        <v>44</v>
      </c>
      <c r="E404" t="s" s="9">
        <v>33</v>
      </c>
      <c r="F404" s="10">
        <v>1291</v>
      </c>
      <c r="G404" s="10">
        <v>13239670</v>
      </c>
      <c r="H404" s="11" cm="1">
        <f t="array" ref="H404">F404/G404*100000</f>
        <v>9.750998325486959</v>
      </c>
    </row>
    <row r="405" ht="13" customHeight="1">
      <c r="A405" s="8">
        <v>4</v>
      </c>
      <c r="B405" t="s" s="9">
        <v>30</v>
      </c>
      <c r="C405" t="s" s="9">
        <v>61</v>
      </c>
      <c r="D405" t="s" s="9">
        <v>44</v>
      </c>
      <c r="E405" t="s" s="9">
        <v>33</v>
      </c>
      <c r="F405" s="10">
        <v>768</v>
      </c>
      <c r="G405" s="10">
        <v>13239670</v>
      </c>
      <c r="H405" s="11" cm="1">
        <f t="array" ref="H405">F405/G405*100000</f>
        <v>5.80074881020448</v>
      </c>
    </row>
    <row r="406" ht="13" customHeight="1">
      <c r="A406" s="8">
        <v>5</v>
      </c>
      <c r="B406" t="s" s="9">
        <v>30</v>
      </c>
      <c r="C406" t="s" s="9">
        <v>61</v>
      </c>
      <c r="D406" t="s" s="9">
        <v>44</v>
      </c>
      <c r="E406" t="s" s="9">
        <v>33</v>
      </c>
      <c r="F406" s="10">
        <v>611</v>
      </c>
      <c r="G406" s="10">
        <v>13239670</v>
      </c>
      <c r="H406" s="11" cm="1">
        <f t="array" ref="H406">F406/G406*100000</f>
        <v>4.61491864978508</v>
      </c>
    </row>
    <row r="407" ht="13" customHeight="1">
      <c r="A407" s="8">
        <v>6</v>
      </c>
      <c r="B407" t="s" s="9">
        <v>30</v>
      </c>
      <c r="C407" t="s" s="9">
        <v>61</v>
      </c>
      <c r="D407" t="s" s="9">
        <v>44</v>
      </c>
      <c r="E407" t="s" s="9">
        <v>33</v>
      </c>
      <c r="F407" s="10">
        <v>614</v>
      </c>
      <c r="G407" s="10">
        <v>13239670</v>
      </c>
      <c r="H407" s="11" cm="1">
        <f t="array" ref="H407">F407/G407*100000</f>
        <v>4.63757782482494</v>
      </c>
    </row>
    <row r="408" ht="13" customHeight="1">
      <c r="A408" s="8">
        <v>7</v>
      </c>
      <c r="B408" t="s" s="9">
        <v>59</v>
      </c>
      <c r="C408" t="s" s="9">
        <v>61</v>
      </c>
      <c r="D408" t="s" s="9">
        <v>44</v>
      </c>
      <c r="E408" t="s" s="9">
        <v>33</v>
      </c>
      <c r="F408" s="10">
        <v>426</v>
      </c>
      <c r="G408" s="10">
        <v>13239670</v>
      </c>
      <c r="H408" s="11" cm="1">
        <f t="array" ref="H408">F408/G408*100000</f>
        <v>3.2176028556603</v>
      </c>
    </row>
    <row r="409" ht="13" customHeight="1">
      <c r="A409" s="8">
        <v>8</v>
      </c>
      <c r="B409" t="s" s="9">
        <v>36</v>
      </c>
      <c r="C409" t="s" s="9">
        <v>61</v>
      </c>
      <c r="D409" t="s" s="9">
        <v>44</v>
      </c>
      <c r="E409" t="s" s="9">
        <v>33</v>
      </c>
      <c r="F409" s="10">
        <v>521</v>
      </c>
      <c r="G409" s="10">
        <v>13239670</v>
      </c>
      <c r="H409" s="11" cm="1">
        <f t="array" ref="H409">F409/G409*100000</f>
        <v>3.93514339858924</v>
      </c>
    </row>
    <row r="410" ht="13" customHeight="1">
      <c r="A410" s="8">
        <v>9</v>
      </c>
      <c r="B410" t="s" s="9">
        <v>30</v>
      </c>
      <c r="C410" t="s" s="9">
        <v>61</v>
      </c>
      <c r="D410" t="s" s="9">
        <v>44</v>
      </c>
      <c r="E410" t="s" s="9">
        <v>33</v>
      </c>
      <c r="F410" s="10">
        <v>446</v>
      </c>
      <c r="G410" s="10">
        <v>13239670</v>
      </c>
      <c r="H410" s="11" cm="1">
        <f t="array" ref="H410">F410/G410*100000</f>
        <v>3.36866402259271</v>
      </c>
    </row>
    <row r="411" ht="13" customHeight="1">
      <c r="A411" s="8">
        <v>10</v>
      </c>
      <c r="B411" t="s" s="9">
        <v>39</v>
      </c>
      <c r="C411" t="s" s="9">
        <v>61</v>
      </c>
      <c r="D411" t="s" s="9">
        <v>44</v>
      </c>
      <c r="E411" t="s" s="9">
        <v>33</v>
      </c>
      <c r="F411" s="10">
        <v>333</v>
      </c>
      <c r="G411" s="10">
        <v>13239670</v>
      </c>
      <c r="H411" s="11" cm="1">
        <f t="array" ref="H411">F411/G411*100000</f>
        <v>2.5151684294246</v>
      </c>
    </row>
    <row r="412" ht="13" customHeight="1">
      <c r="A412" s="8">
        <v>1</v>
      </c>
      <c r="B412" t="s" s="9">
        <v>30</v>
      </c>
      <c r="C412" t="s" s="9">
        <v>61</v>
      </c>
      <c r="D412" t="s" s="9">
        <v>46</v>
      </c>
      <c r="E412" t="s" s="9">
        <v>33</v>
      </c>
      <c r="F412" s="10">
        <v>13884</v>
      </c>
      <c r="G412" s="10">
        <v>17477569</v>
      </c>
      <c r="H412" s="11" cm="1">
        <f t="array" ref="H412">F412/G412*100000</f>
        <v>79.4389654533763</v>
      </c>
    </row>
    <row r="413" ht="13" customHeight="1">
      <c r="A413" s="8">
        <v>2</v>
      </c>
      <c r="B413" t="s" s="9">
        <v>30</v>
      </c>
      <c r="C413" t="s" s="9">
        <v>61</v>
      </c>
      <c r="D413" t="s" s="9">
        <v>46</v>
      </c>
      <c r="E413" t="s" s="9">
        <v>33</v>
      </c>
      <c r="F413" s="10">
        <v>5912</v>
      </c>
      <c r="G413" s="10">
        <v>17477569</v>
      </c>
      <c r="H413" s="11" cm="1">
        <f t="array" ref="H413">F413/G413*100000</f>
        <v>33.8262146182916</v>
      </c>
    </row>
    <row r="414" ht="13" customHeight="1">
      <c r="A414" s="8">
        <v>3</v>
      </c>
      <c r="B414" t="s" s="9">
        <v>35</v>
      </c>
      <c r="C414" t="s" s="9">
        <v>61</v>
      </c>
      <c r="D414" t="s" s="9">
        <v>46</v>
      </c>
      <c r="E414" t="s" s="9">
        <v>33</v>
      </c>
      <c r="F414" s="10">
        <v>5754</v>
      </c>
      <c r="G414" s="10">
        <v>17477569</v>
      </c>
      <c r="H414" s="11" cm="1">
        <f t="array" ref="H414">F414/G414*100000</f>
        <v>32.9221987337026</v>
      </c>
    </row>
    <row r="415" ht="13" customHeight="1">
      <c r="A415" s="8">
        <v>4</v>
      </c>
      <c r="B415" t="s" s="9">
        <v>34</v>
      </c>
      <c r="C415" t="s" s="9">
        <v>61</v>
      </c>
      <c r="D415" t="s" s="9">
        <v>46</v>
      </c>
      <c r="E415" t="s" s="9">
        <v>33</v>
      </c>
      <c r="F415" s="10">
        <v>4222</v>
      </c>
      <c r="G415" s="10">
        <v>17477569</v>
      </c>
      <c r="H415" s="11" cm="1">
        <f t="array" ref="H415">F415/G415*100000</f>
        <v>24.1566776249031</v>
      </c>
    </row>
    <row r="416" ht="13" customHeight="1">
      <c r="A416" s="8">
        <v>5</v>
      </c>
      <c r="B416" t="s" s="9">
        <v>30</v>
      </c>
      <c r="C416" t="s" s="9">
        <v>61</v>
      </c>
      <c r="D416" t="s" s="9">
        <v>46</v>
      </c>
      <c r="E416" t="s" s="9">
        <v>33</v>
      </c>
      <c r="F416" s="10">
        <v>4402</v>
      </c>
      <c r="G416" s="10">
        <v>17477569</v>
      </c>
      <c r="H416" s="11" cm="1">
        <f t="array" ref="H416">F416/G416*100000</f>
        <v>25.1865691389918</v>
      </c>
    </row>
    <row r="417" ht="13" customHeight="1">
      <c r="A417" s="8">
        <v>6</v>
      </c>
      <c r="B417" t="s" s="9">
        <v>39</v>
      </c>
      <c r="C417" t="s" s="9">
        <v>61</v>
      </c>
      <c r="D417" t="s" s="9">
        <v>46</v>
      </c>
      <c r="E417" t="s" s="9">
        <v>33</v>
      </c>
      <c r="F417" s="10">
        <v>2631</v>
      </c>
      <c r="G417" s="10">
        <v>17477569</v>
      </c>
      <c r="H417" s="11" cm="1">
        <f t="array" ref="H417">F417/G417*100000</f>
        <v>15.0535809642634</v>
      </c>
    </row>
    <row r="418" ht="13" customHeight="1">
      <c r="A418" s="8">
        <v>7</v>
      </c>
      <c r="B418" t="s" s="9">
        <v>41</v>
      </c>
      <c r="C418" t="s" s="9">
        <v>61</v>
      </c>
      <c r="D418" t="s" s="9">
        <v>46</v>
      </c>
      <c r="E418" t="s" s="9">
        <v>33</v>
      </c>
      <c r="F418" s="10">
        <v>3046</v>
      </c>
      <c r="G418" s="10">
        <v>17477569</v>
      </c>
      <c r="H418" s="11" cm="1">
        <f t="array" ref="H418">F418/G418*100000</f>
        <v>17.4280530661902</v>
      </c>
    </row>
    <row r="419" ht="13" customHeight="1">
      <c r="A419" s="8">
        <v>8</v>
      </c>
      <c r="B419" t="s" s="9">
        <v>37</v>
      </c>
      <c r="C419" t="s" s="9">
        <v>61</v>
      </c>
      <c r="D419" t="s" s="9">
        <v>46</v>
      </c>
      <c r="E419" t="s" s="9">
        <v>33</v>
      </c>
      <c r="F419" s="10">
        <v>1315</v>
      </c>
      <c r="G419" s="10">
        <v>17477569</v>
      </c>
      <c r="H419" s="11" cm="1">
        <f t="array" ref="H419">F419/G419*100000</f>
        <v>7.52392967237034</v>
      </c>
    </row>
    <row r="420" ht="13" customHeight="1">
      <c r="A420" s="8">
        <v>9</v>
      </c>
      <c r="B420" t="s" s="9">
        <v>45</v>
      </c>
      <c r="C420" t="s" s="9">
        <v>61</v>
      </c>
      <c r="D420" t="s" s="9">
        <v>46</v>
      </c>
      <c r="E420" t="s" s="9">
        <v>33</v>
      </c>
      <c r="F420" s="10">
        <v>1499</v>
      </c>
      <c r="G420" s="10">
        <v>17477569</v>
      </c>
      <c r="H420" s="11" cm="1">
        <f t="array" ref="H420">F420/G420*100000</f>
        <v>8.57670766454992</v>
      </c>
    </row>
    <row r="421" ht="13" customHeight="1">
      <c r="A421" s="8">
        <v>10</v>
      </c>
      <c r="B421" t="s" s="9">
        <v>40</v>
      </c>
      <c r="C421" t="s" s="9">
        <v>61</v>
      </c>
      <c r="D421" t="s" s="9">
        <v>46</v>
      </c>
      <c r="E421" t="s" s="9">
        <v>33</v>
      </c>
      <c r="F421" s="10">
        <v>959</v>
      </c>
      <c r="G421" s="10">
        <v>17477569</v>
      </c>
      <c r="H421" s="11" cm="1">
        <f t="array" ref="H421">F421/G421*100000</f>
        <v>5.48703312228377</v>
      </c>
    </row>
    <row r="422" ht="13" customHeight="1">
      <c r="A422" s="8">
        <v>1</v>
      </c>
      <c r="B422" t="s" s="9">
        <v>30</v>
      </c>
      <c r="C422" t="s" s="9">
        <v>61</v>
      </c>
      <c r="D422" t="s" s="9">
        <v>47</v>
      </c>
      <c r="E422" t="s" s="9">
        <v>33</v>
      </c>
      <c r="F422" s="10">
        <v>3053</v>
      </c>
      <c r="G422" s="10">
        <v>3342831</v>
      </c>
      <c r="H422" s="11" cm="1">
        <f t="array" ref="H422">F422/G422*100000</f>
        <v>91.3297740747289</v>
      </c>
    </row>
    <row r="423" ht="13" customHeight="1">
      <c r="A423" s="8">
        <v>2</v>
      </c>
      <c r="B423" t="s" s="9">
        <v>35</v>
      </c>
      <c r="C423" t="s" s="9">
        <v>61</v>
      </c>
      <c r="D423" t="s" s="9">
        <v>47</v>
      </c>
      <c r="E423" t="s" s="9">
        <v>33</v>
      </c>
      <c r="F423" s="10">
        <v>1422</v>
      </c>
      <c r="G423" s="10">
        <v>3342831</v>
      </c>
      <c r="H423" s="11" cm="1">
        <f t="array" ref="H423">F423/G423*100000</f>
        <v>42.5387942136471</v>
      </c>
    </row>
    <row r="424" ht="13" customHeight="1">
      <c r="A424" s="8">
        <v>3</v>
      </c>
      <c r="B424" t="s" s="9">
        <v>34</v>
      </c>
      <c r="C424" t="s" s="9">
        <v>61</v>
      </c>
      <c r="D424" t="s" s="9">
        <v>47</v>
      </c>
      <c r="E424" t="s" s="9">
        <v>33</v>
      </c>
      <c r="F424" s="10">
        <v>521</v>
      </c>
      <c r="G424" s="10">
        <v>3342831</v>
      </c>
      <c r="H424" s="11" cm="1">
        <f t="array" ref="H424">F424/G424*100000</f>
        <v>15.5855919727919</v>
      </c>
    </row>
    <row r="425" ht="13" customHeight="1">
      <c r="A425" s="8">
        <v>4</v>
      </c>
      <c r="B425" t="s" s="9">
        <v>39</v>
      </c>
      <c r="C425" t="s" s="9">
        <v>61</v>
      </c>
      <c r="D425" t="s" s="9">
        <v>47</v>
      </c>
      <c r="E425" t="s" s="9">
        <v>33</v>
      </c>
      <c r="F425" s="10">
        <v>360</v>
      </c>
      <c r="G425" s="10">
        <v>3342831</v>
      </c>
      <c r="H425" s="11" cm="1">
        <f t="array" ref="H425">F425/G425*100000</f>
        <v>10.7693149907967</v>
      </c>
    </row>
    <row r="426" ht="13" customHeight="1">
      <c r="A426" s="8">
        <v>5</v>
      </c>
      <c r="B426" t="s" s="9">
        <v>30</v>
      </c>
      <c r="C426" t="s" s="9">
        <v>61</v>
      </c>
      <c r="D426" t="s" s="9">
        <v>47</v>
      </c>
      <c r="E426" t="s" s="9">
        <v>33</v>
      </c>
      <c r="F426" s="10">
        <v>334</v>
      </c>
      <c r="G426" s="10">
        <v>3342831</v>
      </c>
      <c r="H426" s="11" cm="1">
        <f t="array" ref="H426">F426/G426*100000</f>
        <v>9.991531130350291</v>
      </c>
    </row>
    <row r="427" ht="13" customHeight="1">
      <c r="A427" s="8">
        <v>6</v>
      </c>
      <c r="B427" t="s" s="9">
        <v>45</v>
      </c>
      <c r="C427" t="s" s="9">
        <v>61</v>
      </c>
      <c r="D427" t="s" s="9">
        <v>47</v>
      </c>
      <c r="E427" t="s" s="9">
        <v>33</v>
      </c>
      <c r="F427" s="10">
        <v>304</v>
      </c>
      <c r="G427" s="10">
        <v>3342831</v>
      </c>
      <c r="H427" s="11" cm="1">
        <f t="array" ref="H427">F427/G427*100000</f>
        <v>9.09408821445057</v>
      </c>
    </row>
    <row r="428" ht="13" customHeight="1">
      <c r="A428" s="8">
        <v>7</v>
      </c>
      <c r="B428" t="s" s="9">
        <v>30</v>
      </c>
      <c r="C428" t="s" s="9">
        <v>61</v>
      </c>
      <c r="D428" t="s" s="9">
        <v>47</v>
      </c>
      <c r="E428" t="s" s="9">
        <v>33</v>
      </c>
      <c r="F428" s="10">
        <v>270</v>
      </c>
      <c r="G428" s="10">
        <v>3342831</v>
      </c>
      <c r="H428" s="11" cm="1">
        <f t="array" ref="H428">F428/G428*100000</f>
        <v>8.07698624309754</v>
      </c>
    </row>
    <row r="429" ht="13" customHeight="1">
      <c r="A429" s="8">
        <v>8</v>
      </c>
      <c r="B429" t="s" s="9">
        <v>40</v>
      </c>
      <c r="C429" t="s" s="9">
        <v>61</v>
      </c>
      <c r="D429" t="s" s="9">
        <v>47</v>
      </c>
      <c r="E429" t="s" s="9">
        <v>33</v>
      </c>
      <c r="F429" s="10">
        <v>189</v>
      </c>
      <c r="G429" s="10">
        <v>3342831</v>
      </c>
      <c r="H429" s="11" cm="1">
        <f t="array" ref="H429">F429/G429*100000</f>
        <v>5.65389037016828</v>
      </c>
    </row>
    <row r="430" ht="13" customHeight="1">
      <c r="A430" s="8">
        <v>9</v>
      </c>
      <c r="B430" t="s" s="9">
        <v>37</v>
      </c>
      <c r="C430" t="s" s="9">
        <v>61</v>
      </c>
      <c r="D430" t="s" s="9">
        <v>47</v>
      </c>
      <c r="E430" t="s" s="9">
        <v>33</v>
      </c>
      <c r="F430" s="10">
        <v>160</v>
      </c>
      <c r="G430" s="10">
        <v>3342831</v>
      </c>
      <c r="H430" s="11" cm="1">
        <f t="array" ref="H430">F430/G430*100000</f>
        <v>4.78636221813188</v>
      </c>
    </row>
    <row r="431" ht="13" customHeight="1">
      <c r="A431" s="8">
        <v>10</v>
      </c>
      <c r="B431" t="s" s="9">
        <v>30</v>
      </c>
      <c r="C431" t="s" s="9">
        <v>61</v>
      </c>
      <c r="D431" t="s" s="9">
        <v>47</v>
      </c>
      <c r="E431" t="s" s="9">
        <v>33</v>
      </c>
      <c r="F431" s="10">
        <v>236</v>
      </c>
      <c r="G431" s="10">
        <v>3342831</v>
      </c>
      <c r="H431" s="11" cm="1">
        <f t="array" ref="H431">F431/G431*100000</f>
        <v>7.05988427174452</v>
      </c>
    </row>
    <row r="432" ht="13" customHeight="1">
      <c r="A432" s="8">
        <v>1</v>
      </c>
      <c r="B432" t="s" s="9">
        <v>30</v>
      </c>
      <c r="C432" t="s" s="9">
        <v>61</v>
      </c>
      <c r="D432" t="s" s="9">
        <v>49</v>
      </c>
      <c r="E432" t="s" s="9">
        <v>33</v>
      </c>
      <c r="F432" s="10">
        <v>7024</v>
      </c>
      <c r="G432" s="10">
        <v>6397690</v>
      </c>
      <c r="H432" s="11" cm="1">
        <f t="array" ref="H432">F432/G432*100000</f>
        <v>109.789627193565</v>
      </c>
    </row>
    <row r="433" ht="13" customHeight="1">
      <c r="A433" s="8">
        <v>2</v>
      </c>
      <c r="B433" t="s" s="9">
        <v>34</v>
      </c>
      <c r="C433" t="s" s="9">
        <v>61</v>
      </c>
      <c r="D433" t="s" s="9">
        <v>49</v>
      </c>
      <c r="E433" t="s" s="9">
        <v>33</v>
      </c>
      <c r="F433" s="10">
        <v>2794</v>
      </c>
      <c r="G433" s="10">
        <v>6397690</v>
      </c>
      <c r="H433" s="11" cm="1">
        <f t="array" ref="H433">F433/G433*100000</f>
        <v>43.6720128671442</v>
      </c>
    </row>
    <row r="434" ht="13" customHeight="1">
      <c r="A434" s="8">
        <v>3</v>
      </c>
      <c r="B434" t="s" s="9">
        <v>35</v>
      </c>
      <c r="C434" t="s" s="9">
        <v>61</v>
      </c>
      <c r="D434" t="s" s="9">
        <v>49</v>
      </c>
      <c r="E434" t="s" s="9">
        <v>33</v>
      </c>
      <c r="F434" s="10">
        <v>1710</v>
      </c>
      <c r="G434" s="10">
        <v>6397690</v>
      </c>
      <c r="H434" s="11" cm="1">
        <f t="array" ref="H434">F434/G434*100000</f>
        <v>26.7283972808936</v>
      </c>
    </row>
    <row r="435" ht="13" customHeight="1">
      <c r="A435" s="8">
        <v>4</v>
      </c>
      <c r="B435" t="s" s="9">
        <v>30</v>
      </c>
      <c r="C435" t="s" s="9">
        <v>61</v>
      </c>
      <c r="D435" t="s" s="9">
        <v>49</v>
      </c>
      <c r="E435" t="s" s="9">
        <v>33</v>
      </c>
      <c r="F435" s="10">
        <v>1162</v>
      </c>
      <c r="G435" s="10">
        <v>6397690</v>
      </c>
      <c r="H435" s="11" cm="1">
        <f t="array" ref="H435">F435/G435*100000</f>
        <v>18.1628056376598</v>
      </c>
    </row>
    <row r="436" ht="13" customHeight="1">
      <c r="A436" s="8">
        <v>5</v>
      </c>
      <c r="B436" t="s" s="9">
        <v>39</v>
      </c>
      <c r="C436" t="s" s="9">
        <v>61</v>
      </c>
      <c r="D436" t="s" s="9">
        <v>49</v>
      </c>
      <c r="E436" t="s" s="9">
        <v>33</v>
      </c>
      <c r="F436" s="10">
        <v>748</v>
      </c>
      <c r="G436" s="10">
        <v>6397690</v>
      </c>
      <c r="H436" s="11" cm="1">
        <f t="array" ref="H436">F436/G436*100000</f>
        <v>11.6917199801803</v>
      </c>
    </row>
    <row r="437" ht="13" customHeight="1">
      <c r="A437" s="8">
        <v>6</v>
      </c>
      <c r="B437" t="s" s="9">
        <v>40</v>
      </c>
      <c r="C437" t="s" s="9">
        <v>61</v>
      </c>
      <c r="D437" t="s" s="9">
        <v>49</v>
      </c>
      <c r="E437" t="s" s="9">
        <v>33</v>
      </c>
      <c r="F437" s="10">
        <v>1121</v>
      </c>
      <c r="G437" s="10">
        <v>6397690</v>
      </c>
      <c r="H437" s="11" cm="1">
        <f t="array" ref="H437">F437/G437*100000</f>
        <v>17.5219493285858</v>
      </c>
    </row>
    <row r="438" ht="13" customHeight="1">
      <c r="A438" s="8">
        <v>7</v>
      </c>
      <c r="B438" t="s" s="9">
        <v>37</v>
      </c>
      <c r="C438" t="s" s="9">
        <v>61</v>
      </c>
      <c r="D438" t="s" s="9">
        <v>49</v>
      </c>
      <c r="E438" t="s" s="9">
        <v>33</v>
      </c>
      <c r="F438" s="10">
        <v>965</v>
      </c>
      <c r="G438" s="10">
        <v>6397690</v>
      </c>
      <c r="H438" s="11" cm="1">
        <f t="array" ref="H438">F438/G438*100000</f>
        <v>15.0835692257674</v>
      </c>
    </row>
    <row r="439" ht="13" customHeight="1">
      <c r="A439" s="8">
        <v>8</v>
      </c>
      <c r="B439" t="s" s="9">
        <v>30</v>
      </c>
      <c r="C439" t="s" s="9">
        <v>61</v>
      </c>
      <c r="D439" t="s" s="9">
        <v>49</v>
      </c>
      <c r="E439" t="s" s="9">
        <v>33</v>
      </c>
      <c r="F439" s="10">
        <v>1069</v>
      </c>
      <c r="G439" s="10">
        <v>6397690</v>
      </c>
      <c r="H439" s="11" cm="1">
        <f t="array" ref="H439">F439/G439*100000</f>
        <v>16.7091559609797</v>
      </c>
    </row>
    <row r="440" ht="13" customHeight="1">
      <c r="A440" s="8">
        <v>9</v>
      </c>
      <c r="B440" t="s" s="9">
        <v>41</v>
      </c>
      <c r="C440" t="s" s="9">
        <v>61</v>
      </c>
      <c r="D440" t="s" s="9">
        <v>49</v>
      </c>
      <c r="E440" t="s" s="9">
        <v>33</v>
      </c>
      <c r="F440" s="10">
        <v>670</v>
      </c>
      <c r="G440" s="10">
        <v>6397690</v>
      </c>
      <c r="H440" s="11" cm="1">
        <f t="array" ref="H440">F440/G440*100000</f>
        <v>10.4725299287712</v>
      </c>
    </row>
    <row r="441" ht="13" customHeight="1">
      <c r="A441" s="8">
        <v>10</v>
      </c>
      <c r="B441" t="s" s="9">
        <v>41</v>
      </c>
      <c r="C441" t="s" s="9">
        <v>61</v>
      </c>
      <c r="D441" t="s" s="9">
        <v>49</v>
      </c>
      <c r="E441" t="s" s="9">
        <v>33</v>
      </c>
      <c r="F441" s="10">
        <v>618</v>
      </c>
      <c r="G441" s="10">
        <v>6397690</v>
      </c>
      <c r="H441" s="11" cm="1">
        <f t="array" ref="H441">F441/G441*100000</f>
        <v>9.659736561165049</v>
      </c>
    </row>
    <row r="442" ht="13.65" customHeight="1">
      <c r="A442" s="8">
        <v>1</v>
      </c>
      <c r="B442" t="s" s="9">
        <v>34</v>
      </c>
      <c r="C442" t="s" s="9">
        <v>61</v>
      </c>
      <c r="D442" t="s" s="9">
        <v>51</v>
      </c>
      <c r="E442" t="s" s="9">
        <v>33</v>
      </c>
      <c r="F442" s="10">
        <v>1142</v>
      </c>
      <c r="G442" s="12"/>
      <c r="H442" s="13"/>
    </row>
    <row r="443" ht="13.65" customHeight="1">
      <c r="A443" s="8">
        <v>2</v>
      </c>
      <c r="B443" t="s" s="9">
        <v>30</v>
      </c>
      <c r="C443" t="s" s="9">
        <v>61</v>
      </c>
      <c r="D443" t="s" s="9">
        <v>51</v>
      </c>
      <c r="E443" t="s" s="9">
        <v>33</v>
      </c>
      <c r="F443" s="10">
        <v>1034</v>
      </c>
      <c r="G443" s="14"/>
      <c r="H443" s="15"/>
    </row>
    <row r="444" ht="13.65" customHeight="1">
      <c r="A444" s="8">
        <v>3</v>
      </c>
      <c r="B444" t="s" s="9">
        <v>30</v>
      </c>
      <c r="C444" t="s" s="9">
        <v>61</v>
      </c>
      <c r="D444" t="s" s="9">
        <v>51</v>
      </c>
      <c r="E444" t="s" s="9">
        <v>33</v>
      </c>
      <c r="F444" s="10">
        <v>677</v>
      </c>
      <c r="G444" s="14"/>
      <c r="H444" s="15"/>
    </row>
    <row r="445" ht="13.65" customHeight="1">
      <c r="A445" s="8">
        <v>4</v>
      </c>
      <c r="B445" t="s" s="9">
        <v>35</v>
      </c>
      <c r="C445" t="s" s="9">
        <v>61</v>
      </c>
      <c r="D445" t="s" s="9">
        <v>51</v>
      </c>
      <c r="E445" t="s" s="9">
        <v>33</v>
      </c>
      <c r="F445" s="10">
        <v>693</v>
      </c>
      <c r="G445" s="14"/>
      <c r="H445" s="15"/>
    </row>
    <row r="446" ht="13.65" customHeight="1">
      <c r="A446" s="8">
        <v>5</v>
      </c>
      <c r="B446" t="s" s="9">
        <v>30</v>
      </c>
      <c r="C446" t="s" s="9">
        <v>61</v>
      </c>
      <c r="D446" t="s" s="9">
        <v>51</v>
      </c>
      <c r="E446" t="s" s="9">
        <v>33</v>
      </c>
      <c r="F446" s="10">
        <v>380</v>
      </c>
      <c r="G446" s="14"/>
      <c r="H446" s="15"/>
    </row>
    <row r="447" ht="13.65" customHeight="1">
      <c r="A447" s="8">
        <v>6</v>
      </c>
      <c r="B447" t="s" s="9">
        <v>39</v>
      </c>
      <c r="C447" t="s" s="9">
        <v>61</v>
      </c>
      <c r="D447" t="s" s="9">
        <v>51</v>
      </c>
      <c r="E447" t="s" s="9">
        <v>33</v>
      </c>
      <c r="F447" s="10">
        <v>147</v>
      </c>
      <c r="G447" s="14"/>
      <c r="H447" s="15"/>
    </row>
    <row r="448" ht="13.65" customHeight="1">
      <c r="A448" s="8">
        <v>7</v>
      </c>
      <c r="B448" t="s" s="9">
        <v>30</v>
      </c>
      <c r="C448" t="s" s="9">
        <v>61</v>
      </c>
      <c r="D448" t="s" s="9">
        <v>51</v>
      </c>
      <c r="E448" t="s" s="9">
        <v>33</v>
      </c>
      <c r="F448" s="10">
        <v>177</v>
      </c>
      <c r="G448" s="14"/>
      <c r="H448" s="15"/>
    </row>
    <row r="449" ht="13.65" customHeight="1">
      <c r="A449" s="8">
        <v>8</v>
      </c>
      <c r="B449" t="s" s="9">
        <v>36</v>
      </c>
      <c r="C449" t="s" s="9">
        <v>61</v>
      </c>
      <c r="D449" t="s" s="9">
        <v>51</v>
      </c>
      <c r="E449" t="s" s="9">
        <v>33</v>
      </c>
      <c r="F449" s="10">
        <v>73</v>
      </c>
      <c r="G449" s="14"/>
      <c r="H449" s="15"/>
    </row>
    <row r="450" ht="13.65" customHeight="1">
      <c r="A450" s="8">
        <v>9</v>
      </c>
      <c r="B450" t="s" s="9">
        <v>30</v>
      </c>
      <c r="C450" t="s" s="9">
        <v>61</v>
      </c>
      <c r="D450" t="s" s="9">
        <v>51</v>
      </c>
      <c r="E450" t="s" s="9">
        <v>33</v>
      </c>
      <c r="F450" s="10">
        <v>38</v>
      </c>
      <c r="G450" s="14"/>
      <c r="H450" s="15"/>
    </row>
    <row r="451" ht="13.65" customHeight="1">
      <c r="A451" s="8">
        <v>10</v>
      </c>
      <c r="B451" t="s" s="9">
        <v>41</v>
      </c>
      <c r="C451" t="s" s="9">
        <v>61</v>
      </c>
      <c r="D451" t="s" s="9">
        <v>51</v>
      </c>
      <c r="E451" t="s" s="9">
        <v>33</v>
      </c>
      <c r="F451" s="10">
        <v>40</v>
      </c>
      <c r="G451" s="14"/>
      <c r="H451" s="15"/>
    </row>
    <row r="452" ht="13.65" customHeight="1">
      <c r="A452" s="8">
        <v>1</v>
      </c>
      <c r="B452" t="s" s="9">
        <v>30</v>
      </c>
      <c r="C452" t="s" s="9">
        <v>61</v>
      </c>
      <c r="D452" t="s" s="9">
        <v>52</v>
      </c>
      <c r="E452" t="s" s="9">
        <v>33</v>
      </c>
      <c r="F452" s="10">
        <v>1779</v>
      </c>
      <c r="G452" s="14"/>
      <c r="H452" s="15"/>
    </row>
    <row r="453" ht="13.65" customHeight="1">
      <c r="A453" s="8">
        <v>2</v>
      </c>
      <c r="B453" t="s" s="9">
        <v>35</v>
      </c>
      <c r="C453" t="s" s="9">
        <v>61</v>
      </c>
      <c r="D453" t="s" s="9">
        <v>52</v>
      </c>
      <c r="E453" t="s" s="9">
        <v>33</v>
      </c>
      <c r="F453" s="10">
        <v>1870</v>
      </c>
      <c r="G453" s="14"/>
      <c r="H453" s="15"/>
    </row>
    <row r="454" ht="13.65" customHeight="1">
      <c r="A454" s="8">
        <v>3</v>
      </c>
      <c r="B454" t="s" s="9">
        <v>34</v>
      </c>
      <c r="C454" t="s" s="9">
        <v>61</v>
      </c>
      <c r="D454" t="s" s="9">
        <v>52</v>
      </c>
      <c r="E454" t="s" s="9">
        <v>33</v>
      </c>
      <c r="F454" s="10">
        <v>1317</v>
      </c>
      <c r="G454" s="14"/>
      <c r="H454" s="15"/>
    </row>
    <row r="455" ht="13.65" customHeight="1">
      <c r="A455" s="8">
        <v>4</v>
      </c>
      <c r="B455" t="s" s="9">
        <v>30</v>
      </c>
      <c r="C455" t="s" s="9">
        <v>61</v>
      </c>
      <c r="D455" t="s" s="9">
        <v>52</v>
      </c>
      <c r="E455" t="s" s="9">
        <v>33</v>
      </c>
      <c r="F455" s="10">
        <v>1251</v>
      </c>
      <c r="G455" s="14"/>
      <c r="H455" s="15"/>
    </row>
    <row r="456" ht="13.65" customHeight="1">
      <c r="A456" s="8">
        <v>5</v>
      </c>
      <c r="B456" t="s" s="9">
        <v>35</v>
      </c>
      <c r="C456" t="s" s="9">
        <v>61</v>
      </c>
      <c r="D456" t="s" s="9">
        <v>52</v>
      </c>
      <c r="E456" t="s" s="9">
        <v>33</v>
      </c>
      <c r="F456" s="10">
        <v>1248</v>
      </c>
      <c r="G456" s="14"/>
      <c r="H456" s="15"/>
    </row>
    <row r="457" ht="13.65" customHeight="1">
      <c r="A457" s="8">
        <v>6</v>
      </c>
      <c r="B457" t="s" s="9">
        <v>36</v>
      </c>
      <c r="C457" t="s" s="9">
        <v>61</v>
      </c>
      <c r="D457" t="s" s="9">
        <v>52</v>
      </c>
      <c r="E457" t="s" s="9">
        <v>33</v>
      </c>
      <c r="F457" s="10">
        <v>1017</v>
      </c>
      <c r="G457" s="14"/>
      <c r="H457" s="15"/>
    </row>
    <row r="458" ht="13.65" customHeight="1">
      <c r="A458" s="8">
        <v>7</v>
      </c>
      <c r="B458" t="s" s="9">
        <v>39</v>
      </c>
      <c r="C458" t="s" s="9">
        <v>61</v>
      </c>
      <c r="D458" t="s" s="9">
        <v>52</v>
      </c>
      <c r="E458" t="s" s="9">
        <v>33</v>
      </c>
      <c r="F458" s="10">
        <v>366</v>
      </c>
      <c r="G458" s="14"/>
      <c r="H458" s="15"/>
    </row>
    <row r="459" ht="13.65" customHeight="1">
      <c r="A459" s="8">
        <v>8</v>
      </c>
      <c r="B459" t="s" s="9">
        <v>40</v>
      </c>
      <c r="C459" t="s" s="9">
        <v>61</v>
      </c>
      <c r="D459" t="s" s="9">
        <v>52</v>
      </c>
      <c r="E459" t="s" s="9">
        <v>33</v>
      </c>
      <c r="F459" s="10">
        <v>463</v>
      </c>
      <c r="G459" s="14"/>
      <c r="H459" s="15"/>
    </row>
    <row r="460" ht="13.65" customHeight="1">
      <c r="A460" s="8">
        <v>9</v>
      </c>
      <c r="B460" t="s" s="9">
        <v>45</v>
      </c>
      <c r="C460" t="s" s="9">
        <v>61</v>
      </c>
      <c r="D460" t="s" s="9">
        <v>52</v>
      </c>
      <c r="E460" t="s" s="9">
        <v>33</v>
      </c>
      <c r="F460" s="10">
        <v>443</v>
      </c>
      <c r="G460" s="14"/>
      <c r="H460" s="15"/>
    </row>
    <row r="461" ht="13.65" customHeight="1">
      <c r="A461" s="8">
        <v>10</v>
      </c>
      <c r="B461" t="s" s="9">
        <v>45</v>
      </c>
      <c r="C461" t="s" s="9">
        <v>61</v>
      </c>
      <c r="D461" t="s" s="9">
        <v>52</v>
      </c>
      <c r="E461" t="s" s="9">
        <v>33</v>
      </c>
      <c r="F461" s="10">
        <v>412</v>
      </c>
      <c r="G461" s="16"/>
      <c r="H461" s="17"/>
    </row>
    <row r="462" ht="13" customHeight="1">
      <c r="A462" s="8">
        <v>1</v>
      </c>
      <c r="B462" t="s" s="9">
        <v>41</v>
      </c>
      <c r="C462" t="s" s="9">
        <v>61</v>
      </c>
      <c r="D462" t="s" s="9">
        <v>53</v>
      </c>
      <c r="E462" t="s" s="9">
        <v>33</v>
      </c>
      <c r="F462" s="10">
        <v>1689</v>
      </c>
      <c r="G462" s="10">
        <v>5049226</v>
      </c>
      <c r="H462" s="11" cm="1">
        <f t="array" ref="H462">F462/G462*100000</f>
        <v>33.4506714494459</v>
      </c>
    </row>
    <row r="463" ht="13" customHeight="1">
      <c r="A463" s="8">
        <v>2</v>
      </c>
      <c r="B463" t="s" s="9">
        <v>30</v>
      </c>
      <c r="C463" t="s" s="9">
        <v>61</v>
      </c>
      <c r="D463" t="s" s="9">
        <v>53</v>
      </c>
      <c r="E463" t="s" s="9">
        <v>33</v>
      </c>
      <c r="F463" s="10">
        <v>435</v>
      </c>
      <c r="G463" s="10">
        <v>5049226</v>
      </c>
      <c r="H463" s="11" cm="1">
        <f t="array" ref="H463">F463/G463*100000</f>
        <v>8.615181812024259</v>
      </c>
    </row>
    <row r="464" ht="13" customHeight="1">
      <c r="A464" s="8">
        <v>3</v>
      </c>
      <c r="B464" t="s" s="9">
        <v>30</v>
      </c>
      <c r="C464" t="s" s="9">
        <v>61</v>
      </c>
      <c r="D464" t="s" s="9">
        <v>53</v>
      </c>
      <c r="E464" t="s" s="9">
        <v>33</v>
      </c>
      <c r="F464" s="10">
        <v>323</v>
      </c>
      <c r="G464" s="10">
        <v>5049226</v>
      </c>
      <c r="H464" s="11" cm="1">
        <f t="array" ref="H464">F464/G464*100000</f>
        <v>6.39702005812376</v>
      </c>
    </row>
    <row r="465" ht="13" customHeight="1">
      <c r="A465" s="8">
        <v>4</v>
      </c>
      <c r="B465" t="s" s="9">
        <v>37</v>
      </c>
      <c r="C465" t="s" s="9">
        <v>61</v>
      </c>
      <c r="D465" t="s" s="9">
        <v>53</v>
      </c>
      <c r="E465" t="s" s="9">
        <v>33</v>
      </c>
      <c r="F465" s="10">
        <v>166</v>
      </c>
      <c r="G465" s="10">
        <v>5049226</v>
      </c>
      <c r="H465" s="11" cm="1">
        <f t="array" ref="H465">F465/G465*100000</f>
        <v>3.2876325995311</v>
      </c>
    </row>
    <row r="466" ht="13" customHeight="1">
      <c r="A466" s="8">
        <v>5</v>
      </c>
      <c r="B466" t="s" s="9">
        <v>30</v>
      </c>
      <c r="C466" t="s" s="9">
        <v>61</v>
      </c>
      <c r="D466" t="s" s="9">
        <v>53</v>
      </c>
      <c r="E466" t="s" s="9">
        <v>33</v>
      </c>
      <c r="F466" s="10">
        <v>214</v>
      </c>
      <c r="G466" s="10">
        <v>5049226</v>
      </c>
      <c r="H466" s="11" cm="1">
        <f t="array" ref="H466">F466/G466*100000</f>
        <v>4.23827335120274</v>
      </c>
    </row>
    <row r="467" ht="13" customHeight="1">
      <c r="A467" s="8">
        <v>6</v>
      </c>
      <c r="B467" t="s" s="9">
        <v>36</v>
      </c>
      <c r="C467" t="s" s="9">
        <v>61</v>
      </c>
      <c r="D467" t="s" s="9">
        <v>53</v>
      </c>
      <c r="E467" t="s" s="9">
        <v>33</v>
      </c>
      <c r="F467" s="10">
        <v>196</v>
      </c>
      <c r="G467" s="10">
        <v>5049226</v>
      </c>
      <c r="H467" s="11" cm="1">
        <f t="array" ref="H467">F467/G467*100000</f>
        <v>3.88178306932587</v>
      </c>
    </row>
    <row r="468" ht="13" customHeight="1">
      <c r="A468" s="8">
        <v>7</v>
      </c>
      <c r="B468" t="s" s="9">
        <v>45</v>
      </c>
      <c r="C468" t="s" s="9">
        <v>61</v>
      </c>
      <c r="D468" t="s" s="9">
        <v>53</v>
      </c>
      <c r="E468" t="s" s="9">
        <v>33</v>
      </c>
      <c r="F468" s="10">
        <v>174</v>
      </c>
      <c r="G468" s="10">
        <v>5049226</v>
      </c>
      <c r="H468" s="11" cm="1">
        <f t="array" ref="H468">F468/G468*100000</f>
        <v>3.4460727248097</v>
      </c>
    </row>
    <row r="469" ht="13" customHeight="1">
      <c r="A469" s="8">
        <v>8</v>
      </c>
      <c r="B469" t="s" s="9">
        <v>34</v>
      </c>
      <c r="C469" t="s" s="9">
        <v>61</v>
      </c>
      <c r="D469" t="s" s="9">
        <v>53</v>
      </c>
      <c r="E469" t="s" s="9">
        <v>33</v>
      </c>
      <c r="F469" s="10">
        <v>75</v>
      </c>
      <c r="G469" s="10">
        <v>5049226</v>
      </c>
      <c r="H469" s="11" cm="1">
        <f t="array" ref="H469">F469/G469*100000</f>
        <v>1.48537617448694</v>
      </c>
    </row>
    <row r="470" ht="13" customHeight="1">
      <c r="A470" s="8">
        <v>9</v>
      </c>
      <c r="B470" t="s" s="9">
        <v>34</v>
      </c>
      <c r="C470" t="s" s="9">
        <v>61</v>
      </c>
      <c r="D470" t="s" s="9">
        <v>53</v>
      </c>
      <c r="E470" t="s" s="9">
        <v>33</v>
      </c>
      <c r="F470" s="10">
        <v>63</v>
      </c>
      <c r="G470" s="10">
        <v>5049226</v>
      </c>
      <c r="H470" s="11" cm="1">
        <f t="array" ref="H470">F470/G470*100000</f>
        <v>1.24771598656903</v>
      </c>
    </row>
    <row r="471" ht="13" customHeight="1">
      <c r="A471" s="8">
        <v>10</v>
      </c>
      <c r="B471" t="s" s="9">
        <v>41</v>
      </c>
      <c r="C471" t="s" s="9">
        <v>61</v>
      </c>
      <c r="D471" t="s" s="9">
        <v>53</v>
      </c>
      <c r="E471" t="s" s="9">
        <v>33</v>
      </c>
      <c r="F471" s="10">
        <v>47</v>
      </c>
      <c r="G471" s="10">
        <v>5049226</v>
      </c>
      <c r="H471" s="11" cm="1">
        <f t="array" ref="H471">F471/G471*100000</f>
        <v>0.930835736011816</v>
      </c>
    </row>
    <row r="472" ht="13" customHeight="1">
      <c r="A472" s="8">
        <v>1</v>
      </c>
      <c r="B472" t="s" s="9">
        <v>30</v>
      </c>
      <c r="C472" t="s" s="9">
        <v>61</v>
      </c>
      <c r="D472" t="s" s="9">
        <v>54</v>
      </c>
      <c r="E472" t="s" s="9">
        <v>33</v>
      </c>
      <c r="F472" s="10">
        <v>2746</v>
      </c>
      <c r="G472" s="10">
        <v>3901529</v>
      </c>
      <c r="H472" s="11" cm="1">
        <f t="array" ref="H472">F472/G472*100000</f>
        <v>70.3826627970726</v>
      </c>
    </row>
    <row r="473" ht="13" customHeight="1">
      <c r="A473" s="8">
        <v>2</v>
      </c>
      <c r="B473" t="s" s="9">
        <v>35</v>
      </c>
      <c r="C473" t="s" s="9">
        <v>61</v>
      </c>
      <c r="D473" t="s" s="9">
        <v>54</v>
      </c>
      <c r="E473" t="s" s="9">
        <v>33</v>
      </c>
      <c r="F473" s="10">
        <v>1387</v>
      </c>
      <c r="G473" s="10">
        <v>3901529</v>
      </c>
      <c r="H473" s="11" cm="1">
        <f t="array" ref="H473">F473/G473*100000</f>
        <v>35.5501650763073</v>
      </c>
    </row>
    <row r="474" ht="13" customHeight="1">
      <c r="A474" s="8">
        <v>3</v>
      </c>
      <c r="B474" t="s" s="9">
        <v>34</v>
      </c>
      <c r="C474" t="s" s="9">
        <v>61</v>
      </c>
      <c r="D474" t="s" s="9">
        <v>54</v>
      </c>
      <c r="E474" t="s" s="9">
        <v>33</v>
      </c>
      <c r="F474" s="10">
        <v>1029</v>
      </c>
      <c r="G474" s="10">
        <v>3901529</v>
      </c>
      <c r="H474" s="11" cm="1">
        <f t="array" ref="H474">F474/G474*100000</f>
        <v>26.3742753161645</v>
      </c>
    </row>
    <row r="475" ht="13" customHeight="1">
      <c r="A475" s="8">
        <v>4</v>
      </c>
      <c r="B475" t="s" s="9">
        <v>30</v>
      </c>
      <c r="C475" t="s" s="9">
        <v>61</v>
      </c>
      <c r="D475" t="s" s="9">
        <v>54</v>
      </c>
      <c r="E475" t="s" s="9">
        <v>33</v>
      </c>
      <c r="F475" s="10">
        <v>1146</v>
      </c>
      <c r="G475" s="10">
        <v>3901529</v>
      </c>
      <c r="H475" s="11" cm="1">
        <f t="array" ref="H475">F475/G475*100000</f>
        <v>29.3730996232503</v>
      </c>
    </row>
    <row r="476" ht="13" customHeight="1">
      <c r="A476" s="8">
        <v>5</v>
      </c>
      <c r="B476" t="s" s="9">
        <v>30</v>
      </c>
      <c r="C476" t="s" s="9">
        <v>61</v>
      </c>
      <c r="D476" t="s" s="9">
        <v>54</v>
      </c>
      <c r="E476" t="s" s="9">
        <v>33</v>
      </c>
      <c r="F476" s="10">
        <v>805</v>
      </c>
      <c r="G476" s="10">
        <v>3901529</v>
      </c>
      <c r="H476" s="11" cm="1">
        <f t="array" ref="H476">F476/G476*100000</f>
        <v>20.6329364718294</v>
      </c>
    </row>
    <row r="477" ht="13" customHeight="1">
      <c r="A477" s="8">
        <v>6</v>
      </c>
      <c r="B477" t="s" s="9">
        <v>30</v>
      </c>
      <c r="C477" t="s" s="9">
        <v>61</v>
      </c>
      <c r="D477" t="s" s="9">
        <v>54</v>
      </c>
      <c r="E477" t="s" s="9">
        <v>33</v>
      </c>
      <c r="F477" s="10">
        <v>487</v>
      </c>
      <c r="G477" s="10">
        <v>3901529</v>
      </c>
      <c r="H477" s="11" cm="1">
        <f t="array" ref="H477">F477/G477*100000</f>
        <v>12.4822857910322</v>
      </c>
    </row>
    <row r="478" ht="13" customHeight="1">
      <c r="A478" s="8">
        <v>7</v>
      </c>
      <c r="B478" t="s" s="9">
        <v>37</v>
      </c>
      <c r="C478" t="s" s="9">
        <v>61</v>
      </c>
      <c r="D478" t="s" s="9">
        <v>54</v>
      </c>
      <c r="E478" t="s" s="9">
        <v>33</v>
      </c>
      <c r="F478" s="10">
        <v>358</v>
      </c>
      <c r="G478" s="10">
        <v>3901529</v>
      </c>
      <c r="H478" s="11" cm="1">
        <f t="array" ref="H478">F478/G478*100000</f>
        <v>9.17588976014275</v>
      </c>
    </row>
    <row r="479" ht="13" customHeight="1">
      <c r="A479" s="8">
        <v>8</v>
      </c>
      <c r="B479" t="s" s="9">
        <v>30</v>
      </c>
      <c r="C479" t="s" s="9">
        <v>61</v>
      </c>
      <c r="D479" t="s" s="9">
        <v>54</v>
      </c>
      <c r="E479" t="s" s="9">
        <v>33</v>
      </c>
      <c r="F479" s="10">
        <v>370</v>
      </c>
      <c r="G479" s="10">
        <v>3901529</v>
      </c>
      <c r="H479" s="11" cm="1">
        <f t="array" ref="H479">F479/G479*100000</f>
        <v>9.483461483946421</v>
      </c>
    </row>
    <row r="480" ht="13" customHeight="1">
      <c r="A480" s="8">
        <v>9</v>
      </c>
      <c r="B480" t="s" s="9">
        <v>39</v>
      </c>
      <c r="C480" t="s" s="9">
        <v>61</v>
      </c>
      <c r="D480" t="s" s="9">
        <v>54</v>
      </c>
      <c r="E480" t="s" s="9">
        <v>33</v>
      </c>
      <c r="F480" s="10">
        <v>255</v>
      </c>
      <c r="G480" s="10">
        <v>3901529</v>
      </c>
      <c r="H480" s="11" cm="1">
        <f t="array" ref="H480">F480/G480*100000</f>
        <v>6.53589913082794</v>
      </c>
    </row>
    <row r="481" ht="13" customHeight="1">
      <c r="A481" s="8">
        <v>10</v>
      </c>
      <c r="B481" t="s" s="9">
        <v>30</v>
      </c>
      <c r="C481" t="s" s="9">
        <v>61</v>
      </c>
      <c r="D481" t="s" s="9">
        <v>54</v>
      </c>
      <c r="E481" t="s" s="9">
        <v>33</v>
      </c>
      <c r="F481" s="10">
        <v>417</v>
      </c>
      <c r="G481" s="10">
        <v>3901529</v>
      </c>
      <c r="H481" s="11" cm="1">
        <f t="array" ref="H481">F481/G481*100000</f>
        <v>10.6881174021775</v>
      </c>
    </row>
    <row r="482" ht="13" customHeight="1">
      <c r="A482" s="8">
        <v>1</v>
      </c>
      <c r="B482" t="s" s="9">
        <v>30</v>
      </c>
      <c r="C482" t="s" s="9">
        <v>61</v>
      </c>
      <c r="D482" t="s" s="9">
        <v>55</v>
      </c>
      <c r="E482" t="s" s="9">
        <v>33</v>
      </c>
      <c r="F482" s="10">
        <v>2168</v>
      </c>
      <c r="G482" s="10">
        <v>5273604</v>
      </c>
      <c r="H482" s="11" cm="1">
        <f t="array" ref="H482">F482/G482*100000</f>
        <v>41.1104057111607</v>
      </c>
    </row>
    <row r="483" ht="13" customHeight="1">
      <c r="A483" s="8">
        <v>2</v>
      </c>
      <c r="B483" t="s" s="9">
        <v>35</v>
      </c>
      <c r="C483" t="s" s="9">
        <v>61</v>
      </c>
      <c r="D483" t="s" s="9">
        <v>55</v>
      </c>
      <c r="E483" t="s" s="9">
        <v>33</v>
      </c>
      <c r="F483" s="10">
        <v>1455</v>
      </c>
      <c r="G483" s="10">
        <v>5273604</v>
      </c>
      <c r="H483" s="11" cm="1">
        <f t="array" ref="H483">F483/G483*100000</f>
        <v>27.590239995267</v>
      </c>
    </row>
    <row r="484" ht="13" customHeight="1">
      <c r="A484" s="8">
        <v>3</v>
      </c>
      <c r="B484" t="s" s="9">
        <v>34</v>
      </c>
      <c r="C484" t="s" s="9">
        <v>61</v>
      </c>
      <c r="D484" t="s" s="9">
        <v>55</v>
      </c>
      <c r="E484" t="s" s="9">
        <v>33</v>
      </c>
      <c r="F484" s="10">
        <v>1010</v>
      </c>
      <c r="G484" s="10">
        <v>5273604</v>
      </c>
      <c r="H484" s="11" cm="1">
        <f t="array" ref="H484">F484/G484*100000</f>
        <v>19.1519879004946</v>
      </c>
    </row>
    <row r="485" ht="13" customHeight="1">
      <c r="A485" s="8">
        <v>4</v>
      </c>
      <c r="B485" t="s" s="9">
        <v>30</v>
      </c>
      <c r="C485" t="s" s="9">
        <v>61</v>
      </c>
      <c r="D485" t="s" s="9">
        <v>55</v>
      </c>
      <c r="E485" t="s" s="9">
        <v>33</v>
      </c>
      <c r="F485" s="10">
        <v>1219</v>
      </c>
      <c r="G485" s="10">
        <v>5273604</v>
      </c>
      <c r="H485" s="11" cm="1">
        <f t="array" ref="H485">F485/G485*100000</f>
        <v>23.1151220303989</v>
      </c>
    </row>
    <row r="486" ht="13" customHeight="1">
      <c r="A486" s="8">
        <v>5</v>
      </c>
      <c r="B486" t="s" s="9">
        <v>30</v>
      </c>
      <c r="C486" t="s" s="9">
        <v>61</v>
      </c>
      <c r="D486" t="s" s="9">
        <v>55</v>
      </c>
      <c r="E486" t="s" s="9">
        <v>33</v>
      </c>
      <c r="F486" s="10">
        <v>741</v>
      </c>
      <c r="G486" s="10">
        <v>5273604</v>
      </c>
      <c r="H486" s="11" cm="1">
        <f t="array" ref="H486">F486/G486*100000</f>
        <v>14.0511119151154</v>
      </c>
    </row>
    <row r="487" ht="13" customHeight="1">
      <c r="A487" s="8">
        <v>6</v>
      </c>
      <c r="B487" t="s" s="9">
        <v>30</v>
      </c>
      <c r="C487" t="s" s="9">
        <v>61</v>
      </c>
      <c r="D487" t="s" s="9">
        <v>55</v>
      </c>
      <c r="E487" t="s" s="9">
        <v>33</v>
      </c>
      <c r="F487" s="10">
        <v>536</v>
      </c>
      <c r="G487" s="10">
        <v>5273604</v>
      </c>
      <c r="H487" s="11" cm="1">
        <f t="array" ref="H487">F487/G487*100000</f>
        <v>10.1638272422427</v>
      </c>
    </row>
    <row r="488" ht="13" customHeight="1">
      <c r="A488" s="8">
        <v>7</v>
      </c>
      <c r="B488" t="s" s="9">
        <v>45</v>
      </c>
      <c r="C488" t="s" s="9">
        <v>61</v>
      </c>
      <c r="D488" t="s" s="9">
        <v>55</v>
      </c>
      <c r="E488" t="s" s="9">
        <v>33</v>
      </c>
      <c r="F488" s="10">
        <v>520</v>
      </c>
      <c r="G488" s="10">
        <v>5273604</v>
      </c>
      <c r="H488" s="11" cm="1">
        <f t="array" ref="H488">F488/G488*100000</f>
        <v>9.860429414116039</v>
      </c>
    </row>
    <row r="489" ht="13" customHeight="1">
      <c r="A489" s="8">
        <v>8</v>
      </c>
      <c r="B489" t="s" s="9">
        <v>30</v>
      </c>
      <c r="C489" t="s" s="9">
        <v>61</v>
      </c>
      <c r="D489" t="s" s="9">
        <v>55</v>
      </c>
      <c r="E489" t="s" s="9">
        <v>33</v>
      </c>
      <c r="F489" s="10">
        <v>406</v>
      </c>
      <c r="G489" s="10">
        <v>5273604</v>
      </c>
      <c r="H489" s="11" cm="1">
        <f t="array" ref="H489">F489/G489*100000</f>
        <v>7.69871988871368</v>
      </c>
    </row>
    <row r="490" ht="13" customHeight="1">
      <c r="A490" s="8">
        <v>9</v>
      </c>
      <c r="B490" t="s" s="9">
        <v>45</v>
      </c>
      <c r="C490" t="s" s="9">
        <v>61</v>
      </c>
      <c r="D490" t="s" s="9">
        <v>55</v>
      </c>
      <c r="E490" t="s" s="9">
        <v>33</v>
      </c>
      <c r="F490" s="10">
        <v>402</v>
      </c>
      <c r="G490" s="10">
        <v>5273604</v>
      </c>
      <c r="H490" s="11" cm="1">
        <f t="array" ref="H490">F490/G490*100000</f>
        <v>7.62287043168201</v>
      </c>
    </row>
    <row r="491" ht="13" customHeight="1">
      <c r="A491" s="8">
        <v>10</v>
      </c>
      <c r="B491" t="s" s="9">
        <v>39</v>
      </c>
      <c r="C491" t="s" s="9">
        <v>61</v>
      </c>
      <c r="D491" t="s" s="9">
        <v>55</v>
      </c>
      <c r="E491" t="s" s="9">
        <v>33</v>
      </c>
      <c r="F491" s="10">
        <v>239</v>
      </c>
      <c r="G491" s="10">
        <v>5273604</v>
      </c>
      <c r="H491" s="11" cm="1">
        <f t="array" ref="H491">F491/G491*100000</f>
        <v>4.53200505764179</v>
      </c>
    </row>
    <row r="492" ht="13" customHeight="1">
      <c r="A492" s="8">
        <v>1</v>
      </c>
      <c r="B492" t="s" s="9">
        <v>30</v>
      </c>
      <c r="C492" t="s" s="9">
        <v>61</v>
      </c>
      <c r="D492" t="s" s="9">
        <v>56</v>
      </c>
      <c r="E492" t="s" s="9">
        <v>33</v>
      </c>
      <c r="F492" s="10">
        <v>5593</v>
      </c>
      <c r="G492" s="10">
        <v>5691183</v>
      </c>
      <c r="H492" s="11" cm="1">
        <f t="array" ref="H492">F492/G492*100000</f>
        <v>98.2748226511079</v>
      </c>
    </row>
    <row r="493" ht="13" customHeight="1">
      <c r="A493" s="8">
        <v>2</v>
      </c>
      <c r="B493" t="s" s="9">
        <v>35</v>
      </c>
      <c r="C493" t="s" s="9">
        <v>61</v>
      </c>
      <c r="D493" t="s" s="9">
        <v>56</v>
      </c>
      <c r="E493" t="s" s="9">
        <v>33</v>
      </c>
      <c r="F493" s="10">
        <v>4495</v>
      </c>
      <c r="G493" s="10">
        <v>5691183</v>
      </c>
      <c r="H493" s="11" cm="1">
        <f t="array" ref="H493">F493/G493*100000</f>
        <v>78.9818215298998</v>
      </c>
    </row>
    <row r="494" ht="13" customHeight="1">
      <c r="A494" s="8">
        <v>3</v>
      </c>
      <c r="B494" t="s" s="9">
        <v>34</v>
      </c>
      <c r="C494" t="s" s="9">
        <v>61</v>
      </c>
      <c r="D494" t="s" s="9">
        <v>56</v>
      </c>
      <c r="E494" t="s" s="9">
        <v>33</v>
      </c>
      <c r="F494" s="10">
        <v>2246</v>
      </c>
      <c r="G494" s="10">
        <v>5691183</v>
      </c>
      <c r="H494" s="11" cm="1">
        <f t="array" ref="H494">F494/G494*100000</f>
        <v>39.4645542060412</v>
      </c>
    </row>
    <row r="495" ht="13" customHeight="1">
      <c r="A495" s="8">
        <v>4</v>
      </c>
      <c r="B495" t="s" s="9">
        <v>30</v>
      </c>
      <c r="C495" t="s" s="9">
        <v>61</v>
      </c>
      <c r="D495" t="s" s="9">
        <v>56</v>
      </c>
      <c r="E495" t="s" s="9">
        <v>33</v>
      </c>
      <c r="F495" s="10">
        <v>1327</v>
      </c>
      <c r="G495" s="10">
        <v>5691183</v>
      </c>
      <c r="H495" s="11" cm="1">
        <f t="array" ref="H495">F495/G495*100000</f>
        <v>23.3167691146111</v>
      </c>
    </row>
    <row r="496" ht="13" customHeight="1">
      <c r="A496" s="8">
        <v>5</v>
      </c>
      <c r="B496" t="s" s="9">
        <v>30</v>
      </c>
      <c r="C496" t="s" s="9">
        <v>61</v>
      </c>
      <c r="D496" t="s" s="9">
        <v>56</v>
      </c>
      <c r="E496" t="s" s="9">
        <v>33</v>
      </c>
      <c r="F496" s="10">
        <v>1114</v>
      </c>
      <c r="G496" s="10">
        <v>5691183</v>
      </c>
      <c r="H496" s="11" cm="1">
        <f t="array" ref="H496">F496/G496*100000</f>
        <v>19.5741377495681</v>
      </c>
    </row>
    <row r="497" ht="13" customHeight="1">
      <c r="A497" s="8">
        <v>6</v>
      </c>
      <c r="B497" t="s" s="9">
        <v>37</v>
      </c>
      <c r="C497" t="s" s="9">
        <v>61</v>
      </c>
      <c r="D497" t="s" s="9">
        <v>56</v>
      </c>
      <c r="E497" t="s" s="9">
        <v>33</v>
      </c>
      <c r="F497" s="10">
        <v>722</v>
      </c>
      <c r="G497" s="10">
        <v>5691183</v>
      </c>
      <c r="H497" s="11" cm="1">
        <f t="array" ref="H497">F497/G497*100000</f>
        <v>12.686290354747</v>
      </c>
    </row>
    <row r="498" ht="13" customHeight="1">
      <c r="A498" s="8">
        <v>7</v>
      </c>
      <c r="B498" t="s" s="9">
        <v>39</v>
      </c>
      <c r="C498" t="s" s="9">
        <v>61</v>
      </c>
      <c r="D498" t="s" s="9">
        <v>56</v>
      </c>
      <c r="E498" t="s" s="9">
        <v>33</v>
      </c>
      <c r="F498" s="10">
        <v>390</v>
      </c>
      <c r="G498" s="10">
        <v>5691183</v>
      </c>
      <c r="H498" s="11" cm="1">
        <f t="array" ref="H498">F498/G498*100000</f>
        <v>6.85270531627607</v>
      </c>
    </row>
    <row r="499" ht="13" customHeight="1">
      <c r="A499" s="8">
        <v>8</v>
      </c>
      <c r="B499" t="s" s="9">
        <v>45</v>
      </c>
      <c r="C499" t="s" s="9">
        <v>61</v>
      </c>
      <c r="D499" t="s" s="9">
        <v>56</v>
      </c>
      <c r="E499" t="s" s="9">
        <v>33</v>
      </c>
      <c r="F499" s="10">
        <v>694</v>
      </c>
      <c r="G499" s="10">
        <v>5691183</v>
      </c>
      <c r="H499" s="11" cm="1">
        <f t="array" ref="H499">F499/G499*100000</f>
        <v>12.1943012551169</v>
      </c>
    </row>
    <row r="500" ht="13" customHeight="1">
      <c r="A500" s="8">
        <v>9</v>
      </c>
      <c r="B500" t="s" s="9">
        <v>30</v>
      </c>
      <c r="C500" t="s" s="9">
        <v>61</v>
      </c>
      <c r="D500" t="s" s="9">
        <v>56</v>
      </c>
      <c r="E500" t="s" s="9">
        <v>33</v>
      </c>
      <c r="F500" s="10">
        <v>632</v>
      </c>
      <c r="G500" s="10">
        <v>5691183</v>
      </c>
      <c r="H500" s="11" cm="1">
        <f t="array" ref="H500">F500/G500*100000</f>
        <v>11.1048968202217</v>
      </c>
    </row>
    <row r="501" ht="13" customHeight="1">
      <c r="A501" s="8">
        <v>10</v>
      </c>
      <c r="B501" t="s" s="9">
        <v>30</v>
      </c>
      <c r="C501" t="s" s="9">
        <v>61</v>
      </c>
      <c r="D501" t="s" s="9">
        <v>56</v>
      </c>
      <c r="E501" t="s" s="9">
        <v>33</v>
      </c>
      <c r="F501" s="10">
        <v>557</v>
      </c>
      <c r="G501" s="10">
        <v>5691183</v>
      </c>
      <c r="H501" s="11" cm="1">
        <f t="array" ref="H501">F501/G501*100000</f>
        <v>9.78706887478403</v>
      </c>
    </row>
    <row r="502" ht="13" customHeight="1">
      <c r="A502" s="8">
        <v>1</v>
      </c>
      <c r="B502" t="s" s="9">
        <v>30</v>
      </c>
      <c r="C502" t="s" s="9">
        <v>61</v>
      </c>
      <c r="D502" t="s" s="9">
        <v>57</v>
      </c>
      <c r="E502" t="s" s="9">
        <v>33</v>
      </c>
      <c r="F502" s="10">
        <v>2904</v>
      </c>
      <c r="G502" s="10">
        <v>5214931</v>
      </c>
      <c r="H502" s="11" cm="1">
        <f t="array" ref="H502">F502/G502*100000</f>
        <v>55.6862593196343</v>
      </c>
    </row>
    <row r="503" ht="13" customHeight="1">
      <c r="A503" s="8">
        <v>2</v>
      </c>
      <c r="B503" t="s" s="9">
        <v>35</v>
      </c>
      <c r="C503" t="s" s="9">
        <v>61</v>
      </c>
      <c r="D503" t="s" s="9">
        <v>57</v>
      </c>
      <c r="E503" t="s" s="9">
        <v>33</v>
      </c>
      <c r="F503" s="10">
        <v>2406</v>
      </c>
      <c r="G503" s="10">
        <v>5214931</v>
      </c>
      <c r="H503" s="11" cm="1">
        <f t="array" ref="H503">F503/G503*100000</f>
        <v>46.1367561718458</v>
      </c>
    </row>
    <row r="504" ht="13" customHeight="1">
      <c r="A504" s="8">
        <v>3</v>
      </c>
      <c r="B504" t="s" s="9">
        <v>34</v>
      </c>
      <c r="C504" t="s" s="9">
        <v>61</v>
      </c>
      <c r="D504" t="s" s="9">
        <v>57</v>
      </c>
      <c r="E504" t="s" s="9">
        <v>33</v>
      </c>
      <c r="F504" s="10">
        <v>1146</v>
      </c>
      <c r="G504" s="10">
        <v>5214931</v>
      </c>
      <c r="H504" s="11" cm="1">
        <f t="array" ref="H504">F504/G504*100000</f>
        <v>21.9753626653929</v>
      </c>
    </row>
    <row r="505" ht="13" customHeight="1">
      <c r="A505" s="8">
        <v>4</v>
      </c>
      <c r="B505" t="s" s="9">
        <v>30</v>
      </c>
      <c r="C505" t="s" s="9">
        <v>61</v>
      </c>
      <c r="D505" t="s" s="9">
        <v>57</v>
      </c>
      <c r="E505" t="s" s="9">
        <v>33</v>
      </c>
      <c r="F505" s="10">
        <v>957</v>
      </c>
      <c r="G505" s="10">
        <v>5214931</v>
      </c>
      <c r="H505" s="11" cm="1">
        <f t="array" ref="H505">F505/G505*100000</f>
        <v>18.351153639425</v>
      </c>
    </row>
    <row r="506" ht="13" customHeight="1">
      <c r="A506" s="8">
        <v>5</v>
      </c>
      <c r="B506" t="s" s="9">
        <v>30</v>
      </c>
      <c r="C506" t="s" s="9">
        <v>61</v>
      </c>
      <c r="D506" t="s" s="9">
        <v>57</v>
      </c>
      <c r="E506" t="s" s="9">
        <v>33</v>
      </c>
      <c r="F506" s="10">
        <v>722</v>
      </c>
      <c r="G506" s="10">
        <v>5214931</v>
      </c>
      <c r="H506" s="11" cm="1">
        <f t="array" ref="H506">F506/G506*100000</f>
        <v>13.8448619933802</v>
      </c>
    </row>
    <row r="507" ht="13" customHeight="1">
      <c r="A507" s="8">
        <v>6</v>
      </c>
      <c r="B507" t="s" s="9">
        <v>37</v>
      </c>
      <c r="C507" t="s" s="9">
        <v>61</v>
      </c>
      <c r="D507" t="s" s="9">
        <v>57</v>
      </c>
      <c r="E507" t="s" s="9">
        <v>33</v>
      </c>
      <c r="F507" s="10">
        <v>437</v>
      </c>
      <c r="G507" s="10">
        <v>5214931</v>
      </c>
      <c r="H507" s="11" cm="1">
        <f t="array" ref="H507">F507/G507*100000</f>
        <v>8.3797848907301</v>
      </c>
    </row>
    <row r="508" ht="13" customHeight="1">
      <c r="A508" s="8">
        <v>7</v>
      </c>
      <c r="B508" t="s" s="9">
        <v>30</v>
      </c>
      <c r="C508" t="s" s="9">
        <v>61</v>
      </c>
      <c r="D508" t="s" s="9">
        <v>57</v>
      </c>
      <c r="E508" t="s" s="9">
        <v>33</v>
      </c>
      <c r="F508" s="10">
        <v>525</v>
      </c>
      <c r="G508" s="10">
        <v>5214931</v>
      </c>
      <c r="H508" s="11" cm="1">
        <f t="array" ref="H508">F508/G508*100000</f>
        <v>10.0672472943554</v>
      </c>
    </row>
    <row r="509" ht="13" customHeight="1">
      <c r="A509" s="8">
        <v>8</v>
      </c>
      <c r="B509" t="s" s="9">
        <v>30</v>
      </c>
      <c r="C509" t="s" s="9">
        <v>61</v>
      </c>
      <c r="D509" t="s" s="9">
        <v>57</v>
      </c>
      <c r="E509" t="s" s="9">
        <v>33</v>
      </c>
      <c r="F509" s="10">
        <v>487</v>
      </c>
      <c r="G509" s="10">
        <v>5214931</v>
      </c>
      <c r="H509" s="11" cm="1">
        <f t="array" ref="H509">F509/G509*100000</f>
        <v>9.33857034733537</v>
      </c>
    </row>
    <row r="510" ht="13" customHeight="1">
      <c r="A510" s="8">
        <v>9</v>
      </c>
      <c r="B510" t="s" s="9">
        <v>45</v>
      </c>
      <c r="C510" t="s" s="9">
        <v>61</v>
      </c>
      <c r="D510" t="s" s="9">
        <v>57</v>
      </c>
      <c r="E510" t="s" s="9">
        <v>33</v>
      </c>
      <c r="F510" s="10">
        <v>394</v>
      </c>
      <c r="G510" s="10">
        <v>5214931</v>
      </c>
      <c r="H510" s="11" cm="1">
        <f t="array" ref="H510">F510/G510*100000</f>
        <v>7.55522939804956</v>
      </c>
    </row>
    <row r="511" ht="13" customHeight="1">
      <c r="A511" s="8">
        <v>10</v>
      </c>
      <c r="B511" t="s" s="9">
        <v>39</v>
      </c>
      <c r="C511" t="s" s="9">
        <v>61</v>
      </c>
      <c r="D511" t="s" s="9">
        <v>57</v>
      </c>
      <c r="E511" t="s" s="9">
        <v>33</v>
      </c>
      <c r="F511" s="10">
        <v>195</v>
      </c>
      <c r="G511" s="10">
        <v>5214931</v>
      </c>
      <c r="H511" s="11" cm="1">
        <f t="array" ref="H511">F511/G511*100000</f>
        <v>3.73926328076057</v>
      </c>
    </row>
    <row r="512" ht="13" customHeight="1">
      <c r="A512" s="8">
        <v>1</v>
      </c>
      <c r="B512" t="s" s="9">
        <v>30</v>
      </c>
      <c r="C512" t="s" s="9">
        <v>61</v>
      </c>
      <c r="D512" t="s" s="9">
        <v>20</v>
      </c>
      <c r="E512" t="s" s="9">
        <v>33</v>
      </c>
      <c r="F512" s="10">
        <v>1605</v>
      </c>
      <c r="G512" s="10">
        <v>2889689</v>
      </c>
      <c r="H512" s="11" cm="1">
        <f t="array" ref="H512">F512/G512*100000</f>
        <v>55.5423092242798</v>
      </c>
    </row>
    <row r="513" ht="13" customHeight="1">
      <c r="A513" s="8">
        <v>2</v>
      </c>
      <c r="B513" t="s" s="9">
        <v>35</v>
      </c>
      <c r="C513" t="s" s="9">
        <v>61</v>
      </c>
      <c r="D513" t="s" s="9">
        <v>20</v>
      </c>
      <c r="E513" t="s" s="9">
        <v>33</v>
      </c>
      <c r="F513" s="10">
        <v>1168</v>
      </c>
      <c r="G513" s="10">
        <v>2889689</v>
      </c>
      <c r="H513" s="11" cm="1">
        <f t="array" ref="H513">F513/G513*100000</f>
        <v>40.4195745632142</v>
      </c>
    </row>
    <row r="514" ht="13" customHeight="1">
      <c r="A514" s="8">
        <v>3</v>
      </c>
      <c r="B514" t="s" s="9">
        <v>34</v>
      </c>
      <c r="C514" t="s" s="9">
        <v>61</v>
      </c>
      <c r="D514" t="s" s="9">
        <v>20</v>
      </c>
      <c r="E514" t="s" s="9">
        <v>33</v>
      </c>
      <c r="F514" s="10">
        <v>754</v>
      </c>
      <c r="G514" s="10">
        <v>2889689</v>
      </c>
      <c r="H514" s="11" cm="1">
        <f t="array" ref="H514">F514/G514*100000</f>
        <v>26.0927733053626</v>
      </c>
    </row>
    <row r="515" ht="13" customHeight="1">
      <c r="A515" s="8">
        <v>4</v>
      </c>
      <c r="B515" t="s" s="9">
        <v>30</v>
      </c>
      <c r="C515" t="s" s="9">
        <v>61</v>
      </c>
      <c r="D515" t="s" s="9">
        <v>20</v>
      </c>
      <c r="E515" t="s" s="9">
        <v>33</v>
      </c>
      <c r="F515" s="10">
        <v>823</v>
      </c>
      <c r="G515" s="10">
        <v>2889689</v>
      </c>
      <c r="H515" s="11" cm="1">
        <f t="array" ref="H515">F515/G515*100000</f>
        <v>28.4805735150046</v>
      </c>
    </row>
    <row r="516" ht="13" customHeight="1">
      <c r="A516" s="8">
        <v>5</v>
      </c>
      <c r="B516" t="s" s="9">
        <v>30</v>
      </c>
      <c r="C516" t="s" s="9">
        <v>61</v>
      </c>
      <c r="D516" t="s" s="9">
        <v>20</v>
      </c>
      <c r="E516" t="s" s="9">
        <v>33</v>
      </c>
      <c r="F516" s="10">
        <v>533</v>
      </c>
      <c r="G516" s="10">
        <v>2889689</v>
      </c>
      <c r="H516" s="11" cm="1">
        <f t="array" ref="H516">F516/G516*100000</f>
        <v>18.4448914744805</v>
      </c>
    </row>
    <row r="517" ht="13" customHeight="1">
      <c r="A517" s="8">
        <v>6</v>
      </c>
      <c r="B517" t="s" s="9">
        <v>45</v>
      </c>
      <c r="C517" t="s" s="9">
        <v>61</v>
      </c>
      <c r="D517" t="s" s="9">
        <v>20</v>
      </c>
      <c r="E517" t="s" s="9">
        <v>33</v>
      </c>
      <c r="F517" s="10">
        <v>495</v>
      </c>
      <c r="G517" s="10">
        <v>2889689</v>
      </c>
      <c r="H517" s="11" cm="1">
        <f t="array" ref="H517">F517/G517*100000</f>
        <v>17.1298710691704</v>
      </c>
    </row>
    <row r="518" ht="13" customHeight="1">
      <c r="A518" s="8">
        <v>7</v>
      </c>
      <c r="B518" t="s" s="9">
        <v>37</v>
      </c>
      <c r="C518" t="s" s="9">
        <v>61</v>
      </c>
      <c r="D518" t="s" s="9">
        <v>20</v>
      </c>
      <c r="E518" t="s" s="9">
        <v>33</v>
      </c>
      <c r="F518" s="10">
        <v>239</v>
      </c>
      <c r="G518" s="10">
        <v>2889689</v>
      </c>
      <c r="H518" s="11" cm="1">
        <f t="array" ref="H518">F518/G518*100000</f>
        <v>8.27078623339743</v>
      </c>
    </row>
    <row r="519" ht="13" customHeight="1">
      <c r="A519" s="8">
        <v>8</v>
      </c>
      <c r="B519" t="s" s="9">
        <v>30</v>
      </c>
      <c r="C519" t="s" s="9">
        <v>61</v>
      </c>
      <c r="D519" t="s" s="9">
        <v>20</v>
      </c>
      <c r="E519" t="s" s="9">
        <v>33</v>
      </c>
      <c r="F519" s="10">
        <v>295</v>
      </c>
      <c r="G519" s="10">
        <v>2889689</v>
      </c>
      <c r="H519" s="11" cm="1">
        <f t="array" ref="H519">F519/G519*100000</f>
        <v>10.2087110412228</v>
      </c>
    </row>
    <row r="520" ht="13" customHeight="1">
      <c r="A520" s="8">
        <v>9</v>
      </c>
      <c r="B520" t="s" s="9">
        <v>30</v>
      </c>
      <c r="C520" t="s" s="9">
        <v>61</v>
      </c>
      <c r="D520" t="s" s="9">
        <v>20</v>
      </c>
      <c r="E520" t="s" s="9">
        <v>33</v>
      </c>
      <c r="F520" s="10">
        <v>288</v>
      </c>
      <c r="G520" s="10">
        <v>2889689</v>
      </c>
      <c r="H520" s="11" cm="1">
        <f t="array" ref="H520">F520/G520*100000</f>
        <v>9.96647044024461</v>
      </c>
    </row>
    <row r="521" ht="13" customHeight="1">
      <c r="A521" s="8">
        <v>10</v>
      </c>
      <c r="B521" t="s" s="9">
        <v>45</v>
      </c>
      <c r="C521" t="s" s="9">
        <v>61</v>
      </c>
      <c r="D521" t="s" s="9">
        <v>20</v>
      </c>
      <c r="E521" t="s" s="9">
        <v>33</v>
      </c>
      <c r="F521" s="10">
        <v>254</v>
      </c>
      <c r="G521" s="10">
        <v>2889689</v>
      </c>
      <c r="H521" s="11" cm="1">
        <f t="array" ref="H521">F521/G521*100000</f>
        <v>8.789873235493509</v>
      </c>
    </row>
    <row r="522" ht="13" customHeight="1">
      <c r="A522" s="8">
        <v>1</v>
      </c>
      <c r="B522" t="s" s="9">
        <v>30</v>
      </c>
      <c r="C522" t="s" s="9">
        <v>61</v>
      </c>
      <c r="D522" t="s" s="9">
        <v>21</v>
      </c>
      <c r="E522" t="s" s="9">
        <v>33</v>
      </c>
      <c r="F522" s="10">
        <v>832</v>
      </c>
      <c r="G522" s="10">
        <v>4635519</v>
      </c>
      <c r="H522" s="11" cm="1">
        <f t="array" ref="H522">F522/G522*100000</f>
        <v>17.948367809516</v>
      </c>
    </row>
    <row r="523" ht="13" customHeight="1">
      <c r="A523" s="8">
        <v>2</v>
      </c>
      <c r="B523" t="s" s="9">
        <v>35</v>
      </c>
      <c r="C523" t="s" s="9">
        <v>61</v>
      </c>
      <c r="D523" t="s" s="9">
        <v>21</v>
      </c>
      <c r="E523" t="s" s="9">
        <v>33</v>
      </c>
      <c r="F523" s="10">
        <v>435</v>
      </c>
      <c r="G523" s="10">
        <v>4635519</v>
      </c>
      <c r="H523" s="11" cm="1">
        <f t="array" ref="H523">F523/G523*100000</f>
        <v>9.384062496561871</v>
      </c>
    </row>
    <row r="524" ht="13" customHeight="1">
      <c r="A524" s="8">
        <v>3</v>
      </c>
      <c r="B524" t="s" s="9">
        <v>34</v>
      </c>
      <c r="C524" t="s" s="9">
        <v>61</v>
      </c>
      <c r="D524" t="s" s="9">
        <v>21</v>
      </c>
      <c r="E524" t="s" s="9">
        <v>33</v>
      </c>
      <c r="F524" s="10">
        <v>302</v>
      </c>
      <c r="G524" s="10">
        <v>4635519</v>
      </c>
      <c r="H524" s="11" cm="1">
        <f t="array" ref="H524">F524/G524*100000</f>
        <v>6.51491235393491</v>
      </c>
    </row>
    <row r="525" ht="13" customHeight="1">
      <c r="A525" s="8">
        <v>4</v>
      </c>
      <c r="B525" t="s" s="9">
        <v>30</v>
      </c>
      <c r="C525" t="s" s="9">
        <v>61</v>
      </c>
      <c r="D525" t="s" s="9">
        <v>21</v>
      </c>
      <c r="E525" t="s" s="9">
        <v>33</v>
      </c>
      <c r="F525" s="10">
        <v>342</v>
      </c>
      <c r="G525" s="10">
        <v>4635519</v>
      </c>
      <c r="H525" s="11" cm="1">
        <f t="array" ref="H525">F525/G525*100000</f>
        <v>7.37781465246934</v>
      </c>
    </row>
    <row r="526" ht="13" customHeight="1">
      <c r="A526" s="8">
        <v>5</v>
      </c>
      <c r="B526" t="s" s="9">
        <v>30</v>
      </c>
      <c r="C526" t="s" s="9">
        <v>61</v>
      </c>
      <c r="D526" t="s" s="9">
        <v>21</v>
      </c>
      <c r="E526" t="s" s="9">
        <v>33</v>
      </c>
      <c r="F526" s="10">
        <v>215</v>
      </c>
      <c r="G526" s="10">
        <v>4635519</v>
      </c>
      <c r="H526" s="11" cm="1">
        <f t="array" ref="H526">F526/G526*100000</f>
        <v>4.63809985462254</v>
      </c>
    </row>
    <row r="527" ht="13" customHeight="1">
      <c r="A527" s="8">
        <v>6</v>
      </c>
      <c r="B527" t="s" s="9">
        <v>45</v>
      </c>
      <c r="C527" t="s" s="9">
        <v>61</v>
      </c>
      <c r="D527" t="s" s="9">
        <v>21</v>
      </c>
      <c r="E527" t="s" s="9">
        <v>33</v>
      </c>
      <c r="F527" s="10">
        <v>185</v>
      </c>
      <c r="G527" s="10">
        <v>4635519</v>
      </c>
      <c r="H527" s="11" cm="1">
        <f t="array" ref="H527">F527/G527*100000</f>
        <v>3.99092313072172</v>
      </c>
    </row>
    <row r="528" ht="13" customHeight="1">
      <c r="A528" s="8">
        <v>7</v>
      </c>
      <c r="B528" t="s" s="9">
        <v>30</v>
      </c>
      <c r="C528" t="s" s="9">
        <v>61</v>
      </c>
      <c r="D528" t="s" s="9">
        <v>21</v>
      </c>
      <c r="E528" t="s" s="9">
        <v>33</v>
      </c>
      <c r="F528" s="10">
        <v>142</v>
      </c>
      <c r="G528" s="10">
        <v>4635519</v>
      </c>
      <c r="H528" s="11" cm="1">
        <f t="array" ref="H528">F528/G528*100000</f>
        <v>3.06330315979721</v>
      </c>
    </row>
    <row r="529" ht="13" customHeight="1">
      <c r="A529" s="8">
        <v>8</v>
      </c>
      <c r="B529" t="s" s="9">
        <v>30</v>
      </c>
      <c r="C529" t="s" s="9">
        <v>61</v>
      </c>
      <c r="D529" t="s" s="9">
        <v>21</v>
      </c>
      <c r="E529" t="s" s="9">
        <v>33</v>
      </c>
      <c r="F529" s="10">
        <v>134</v>
      </c>
      <c r="G529" s="10">
        <v>4635519</v>
      </c>
      <c r="H529" s="11" cm="1">
        <f t="array" ref="H529">F529/G529*100000</f>
        <v>2.89072270009032</v>
      </c>
    </row>
    <row r="530" ht="13" customHeight="1">
      <c r="A530" s="8">
        <v>9</v>
      </c>
      <c r="B530" t="s" s="9">
        <v>37</v>
      </c>
      <c r="C530" t="s" s="9">
        <v>61</v>
      </c>
      <c r="D530" t="s" s="9">
        <v>21</v>
      </c>
      <c r="E530" t="s" s="9">
        <v>33</v>
      </c>
      <c r="F530" s="10">
        <v>94</v>
      </c>
      <c r="G530" s="10">
        <v>4635519</v>
      </c>
      <c r="H530" s="11" cm="1">
        <f t="array" ref="H530">F530/G530*100000</f>
        <v>2.0278204015559</v>
      </c>
    </row>
    <row r="531" ht="13" customHeight="1">
      <c r="A531" s="8">
        <v>10</v>
      </c>
      <c r="B531" t="s" s="9">
        <v>45</v>
      </c>
      <c r="C531" t="s" s="9">
        <v>61</v>
      </c>
      <c r="D531" t="s" s="9">
        <v>21</v>
      </c>
      <c r="E531" t="s" s="9">
        <v>33</v>
      </c>
      <c r="F531" s="10">
        <v>112</v>
      </c>
      <c r="G531" s="10">
        <v>4635519</v>
      </c>
      <c r="H531" s="11" cm="1">
        <f t="array" ref="H531">F531/G531*100000</f>
        <v>2.41612643589639</v>
      </c>
    </row>
    <row r="532" ht="13.65" customHeight="1">
      <c r="A532" s="8">
        <v>1</v>
      </c>
      <c r="B532" t="s" s="9">
        <v>30</v>
      </c>
      <c r="C532" t="s" s="9">
        <v>61</v>
      </c>
      <c r="D532" t="s" s="9">
        <v>58</v>
      </c>
      <c r="E532" t="s" s="9">
        <v>33</v>
      </c>
      <c r="F532" s="10">
        <v>1495</v>
      </c>
      <c r="G532" s="12"/>
      <c r="H532" s="13"/>
    </row>
    <row r="533" ht="13.65" customHeight="1">
      <c r="A533" s="8">
        <v>2</v>
      </c>
      <c r="B533" t="s" s="9">
        <v>35</v>
      </c>
      <c r="C533" t="s" s="9">
        <v>61</v>
      </c>
      <c r="D533" t="s" s="9">
        <v>58</v>
      </c>
      <c r="E533" t="s" s="9">
        <v>33</v>
      </c>
      <c r="F533" s="10">
        <v>747</v>
      </c>
      <c r="G533" s="14"/>
      <c r="H533" s="15"/>
    </row>
    <row r="534" ht="13.65" customHeight="1">
      <c r="A534" s="8">
        <v>3</v>
      </c>
      <c r="B534" t="s" s="9">
        <v>34</v>
      </c>
      <c r="C534" t="s" s="9">
        <v>61</v>
      </c>
      <c r="D534" t="s" s="9">
        <v>58</v>
      </c>
      <c r="E534" t="s" s="9">
        <v>33</v>
      </c>
      <c r="F534" s="10">
        <v>290</v>
      </c>
      <c r="G534" s="14"/>
      <c r="H534" s="15"/>
    </row>
    <row r="535" ht="13.65" customHeight="1">
      <c r="A535" s="8">
        <v>4</v>
      </c>
      <c r="B535" t="s" s="9">
        <v>35</v>
      </c>
      <c r="C535" t="s" s="9">
        <v>61</v>
      </c>
      <c r="D535" t="s" s="9">
        <v>58</v>
      </c>
      <c r="E535" t="s" s="9">
        <v>33</v>
      </c>
      <c r="F535" s="10">
        <v>322</v>
      </c>
      <c r="G535" s="14"/>
      <c r="H535" s="15"/>
    </row>
    <row r="536" ht="13.65" customHeight="1">
      <c r="A536" s="8">
        <v>5</v>
      </c>
      <c r="B536" t="s" s="9">
        <v>39</v>
      </c>
      <c r="C536" t="s" s="9">
        <v>61</v>
      </c>
      <c r="D536" t="s" s="9">
        <v>58</v>
      </c>
      <c r="E536" t="s" s="9">
        <v>33</v>
      </c>
      <c r="F536" s="10">
        <v>159</v>
      </c>
      <c r="G536" s="14"/>
      <c r="H536" s="15"/>
    </row>
    <row r="537" ht="13.65" customHeight="1">
      <c r="A537" s="8">
        <v>6</v>
      </c>
      <c r="B537" t="s" s="9">
        <v>30</v>
      </c>
      <c r="C537" t="s" s="9">
        <v>61</v>
      </c>
      <c r="D537" t="s" s="9">
        <v>58</v>
      </c>
      <c r="E537" t="s" s="9">
        <v>33</v>
      </c>
      <c r="F537" s="10">
        <v>174</v>
      </c>
      <c r="G537" s="14"/>
      <c r="H537" s="15"/>
    </row>
    <row r="538" ht="13.65" customHeight="1">
      <c r="A538" s="8">
        <v>7</v>
      </c>
      <c r="B538" t="s" s="9">
        <v>37</v>
      </c>
      <c r="C538" t="s" s="9">
        <v>61</v>
      </c>
      <c r="D538" t="s" s="9">
        <v>58</v>
      </c>
      <c r="E538" t="s" s="9">
        <v>33</v>
      </c>
      <c r="F538" s="10">
        <v>197</v>
      </c>
      <c r="G538" s="14"/>
      <c r="H538" s="15"/>
    </row>
    <row r="539" ht="13.65" customHeight="1">
      <c r="A539" s="8">
        <v>8</v>
      </c>
      <c r="B539" t="s" s="9">
        <v>36</v>
      </c>
      <c r="C539" t="s" s="9">
        <v>61</v>
      </c>
      <c r="D539" t="s" s="9">
        <v>58</v>
      </c>
      <c r="E539" t="s" s="9">
        <v>33</v>
      </c>
      <c r="F539" s="10">
        <v>129</v>
      </c>
      <c r="G539" s="14"/>
      <c r="H539" s="15"/>
    </row>
    <row r="540" ht="13.65" customHeight="1">
      <c r="A540" s="8">
        <v>9</v>
      </c>
      <c r="B540" t="s" s="9">
        <v>37</v>
      </c>
      <c r="C540" t="s" s="9">
        <v>61</v>
      </c>
      <c r="D540" t="s" s="9">
        <v>58</v>
      </c>
      <c r="E540" t="s" s="9">
        <v>33</v>
      </c>
      <c r="F540" s="10">
        <v>100</v>
      </c>
      <c r="G540" s="14"/>
      <c r="H540" s="15"/>
    </row>
    <row r="541" ht="13.65" customHeight="1">
      <c r="A541" s="8">
        <v>10</v>
      </c>
      <c r="B541" t="s" s="9">
        <v>36</v>
      </c>
      <c r="C541" t="s" s="9">
        <v>61</v>
      </c>
      <c r="D541" t="s" s="9">
        <v>58</v>
      </c>
      <c r="E541" t="s" s="9">
        <v>33</v>
      </c>
      <c r="F541" s="10">
        <v>144</v>
      </c>
      <c r="G541" s="16"/>
      <c r="H541" s="17"/>
    </row>
    <row r="542" ht="13" customHeight="1">
      <c r="A542" s="8">
        <v>1</v>
      </c>
      <c r="B542" t="s" s="9">
        <v>34</v>
      </c>
      <c r="C542" t="s" s="9">
        <v>62</v>
      </c>
      <c r="D542" t="s" s="9">
        <v>32</v>
      </c>
      <c r="E542" t="s" s="9">
        <v>33</v>
      </c>
      <c r="F542" s="10">
        <v>89970</v>
      </c>
      <c r="G542" s="10">
        <v>14521657</v>
      </c>
      <c r="H542" s="11" cm="1">
        <f t="array" ref="H542">F542/G542*100000</f>
        <v>619.557396239286</v>
      </c>
    </row>
    <row r="543" ht="13" customHeight="1">
      <c r="A543" s="8">
        <v>2</v>
      </c>
      <c r="B543" t="s" s="9">
        <v>30</v>
      </c>
      <c r="C543" t="s" s="9">
        <v>62</v>
      </c>
      <c r="D543" t="s" s="9">
        <v>32</v>
      </c>
      <c r="E543" t="s" s="9">
        <v>33</v>
      </c>
      <c r="F543" s="10">
        <v>98955</v>
      </c>
      <c r="G543" s="10">
        <v>14521657</v>
      </c>
      <c r="H543" s="11" cm="1">
        <f t="array" ref="H543">F543/G543*100000</f>
        <v>681.430500665317</v>
      </c>
    </row>
    <row r="544" ht="13" customHeight="1">
      <c r="A544" s="8">
        <v>3</v>
      </c>
      <c r="B544" t="s" s="9">
        <v>35</v>
      </c>
      <c r="C544" t="s" s="9">
        <v>62</v>
      </c>
      <c r="D544" t="s" s="9">
        <v>32</v>
      </c>
      <c r="E544" t="s" s="9">
        <v>33</v>
      </c>
      <c r="F544" s="10">
        <v>52395</v>
      </c>
      <c r="G544" s="10">
        <v>14521657</v>
      </c>
      <c r="H544" s="11" cm="1">
        <f t="array" ref="H544">F544/G544*100000</f>
        <v>360.805932821578</v>
      </c>
    </row>
    <row r="545" ht="13" customHeight="1">
      <c r="A545" s="8">
        <v>4</v>
      </c>
      <c r="B545" t="s" s="9">
        <v>37</v>
      </c>
      <c r="C545" t="s" s="9">
        <v>62</v>
      </c>
      <c r="D545" t="s" s="9">
        <v>32</v>
      </c>
      <c r="E545" t="s" s="9">
        <v>33</v>
      </c>
      <c r="F545" s="10">
        <v>25455</v>
      </c>
      <c r="G545" s="10">
        <v>14521657</v>
      </c>
      <c r="H545" s="11" cm="1">
        <f t="array" ref="H545">F545/G545*100000</f>
        <v>175.289913540858</v>
      </c>
    </row>
    <row r="546" ht="13" customHeight="1">
      <c r="A546" s="8">
        <v>5</v>
      </c>
      <c r="B546" t="s" s="9">
        <v>30</v>
      </c>
      <c r="C546" t="s" s="9">
        <v>62</v>
      </c>
      <c r="D546" t="s" s="9">
        <v>32</v>
      </c>
      <c r="E546" t="s" s="9">
        <v>33</v>
      </c>
      <c r="F546" s="10">
        <v>24000</v>
      </c>
      <c r="G546" s="10">
        <v>14521657</v>
      </c>
      <c r="H546" s="11" cm="1">
        <f t="array" ref="H546">F546/G546*100000</f>
        <v>165.270395795741</v>
      </c>
    </row>
    <row r="547" ht="13" customHeight="1">
      <c r="A547" s="8">
        <v>6</v>
      </c>
      <c r="B547" t="s" s="9">
        <v>35</v>
      </c>
      <c r="C547" t="s" s="9">
        <v>62</v>
      </c>
      <c r="D547" t="s" s="9">
        <v>32</v>
      </c>
      <c r="E547" t="s" s="9">
        <v>33</v>
      </c>
      <c r="F547" s="10">
        <v>14370</v>
      </c>
      <c r="G547" s="10">
        <v>14521657</v>
      </c>
      <c r="H547" s="11" cm="1">
        <f t="array" ref="H547">F547/G547*100000</f>
        <v>98.9556494827002</v>
      </c>
    </row>
    <row r="548" ht="13" customHeight="1">
      <c r="A548" s="8">
        <v>7</v>
      </c>
      <c r="B548" t="s" s="9">
        <v>30</v>
      </c>
      <c r="C548" t="s" s="9">
        <v>62</v>
      </c>
      <c r="D548" t="s" s="9">
        <v>32</v>
      </c>
      <c r="E548" t="s" s="9">
        <v>33</v>
      </c>
      <c r="F548" s="10">
        <v>12195</v>
      </c>
      <c r="G548" s="10">
        <v>14521657</v>
      </c>
      <c r="H548" s="11" cm="1">
        <f t="array" ref="H548">F548/G548*100000</f>
        <v>83.9780198637111</v>
      </c>
    </row>
    <row r="549" ht="13" customHeight="1">
      <c r="A549" s="8">
        <v>8</v>
      </c>
      <c r="B549" t="s" s="9">
        <v>37</v>
      </c>
      <c r="C549" t="s" s="9">
        <v>62</v>
      </c>
      <c r="D549" t="s" s="9">
        <v>32</v>
      </c>
      <c r="E549" t="s" s="9">
        <v>33</v>
      </c>
      <c r="F549" s="10">
        <v>11385</v>
      </c>
      <c r="G549" s="10">
        <v>14521657</v>
      </c>
      <c r="H549" s="11" cm="1">
        <f t="array" ref="H549">F549/G549*100000</f>
        <v>78.4001440056049</v>
      </c>
    </row>
    <row r="550" ht="13" customHeight="1">
      <c r="A550" s="8">
        <v>9</v>
      </c>
      <c r="B550" t="s" s="9">
        <v>36</v>
      </c>
      <c r="C550" t="s" s="9">
        <v>62</v>
      </c>
      <c r="D550" t="s" s="9">
        <v>32</v>
      </c>
      <c r="E550" t="s" s="9">
        <v>33</v>
      </c>
      <c r="F550" s="10">
        <v>9900</v>
      </c>
      <c r="G550" s="10">
        <v>14521657</v>
      </c>
      <c r="H550" s="11" cm="1">
        <f t="array" ref="H550">F550/G550*100000</f>
        <v>68.17403826574341</v>
      </c>
    </row>
    <row r="551" ht="13" customHeight="1">
      <c r="A551" s="8">
        <v>10</v>
      </c>
      <c r="B551" t="s" s="9">
        <v>30</v>
      </c>
      <c r="C551" t="s" s="9">
        <v>62</v>
      </c>
      <c r="D551" t="s" s="9">
        <v>32</v>
      </c>
      <c r="E551" t="s" s="9">
        <v>33</v>
      </c>
      <c r="F551" s="10">
        <v>7620</v>
      </c>
      <c r="G551" s="10">
        <v>14521657</v>
      </c>
      <c r="H551" s="11" cm="1">
        <f t="array" ref="H551">F551/G551*100000</f>
        <v>52.4733506651479</v>
      </c>
    </row>
    <row r="552" ht="13" customHeight="1">
      <c r="A552" s="8">
        <v>1</v>
      </c>
      <c r="B552" t="s" s="9">
        <v>30</v>
      </c>
      <c r="C552" t="s" s="9">
        <v>62</v>
      </c>
      <c r="D552" t="s" s="9">
        <v>38</v>
      </c>
      <c r="E552" t="s" s="9">
        <v>33</v>
      </c>
      <c r="F552" s="10">
        <v>98535</v>
      </c>
      <c r="G552" s="10">
        <v>1874281</v>
      </c>
      <c r="H552" s="11" cm="1">
        <f t="array" ref="H552">F552/G552*100000</f>
        <v>5257.215967082840</v>
      </c>
    </row>
    <row r="553" ht="13" customHeight="1">
      <c r="A553" s="8">
        <v>2</v>
      </c>
      <c r="B553" t="s" s="9">
        <v>34</v>
      </c>
      <c r="C553" t="s" s="9">
        <v>62</v>
      </c>
      <c r="D553" t="s" s="9">
        <v>38</v>
      </c>
      <c r="E553" t="s" s="9">
        <v>33</v>
      </c>
      <c r="F553" s="10">
        <v>40200</v>
      </c>
      <c r="G553" s="10">
        <v>1874281</v>
      </c>
      <c r="H553" s="11" cm="1">
        <f t="array" ref="H553">F553/G553*100000</f>
        <v>2144.822467922370</v>
      </c>
    </row>
    <row r="554" ht="13" customHeight="1">
      <c r="A554" s="8">
        <v>3</v>
      </c>
      <c r="B554" t="s" s="9">
        <v>30</v>
      </c>
      <c r="C554" t="s" s="9">
        <v>62</v>
      </c>
      <c r="D554" t="s" s="9">
        <v>38</v>
      </c>
      <c r="E554" t="s" s="9">
        <v>33</v>
      </c>
      <c r="F554" s="10">
        <v>17715</v>
      </c>
      <c r="G554" s="10">
        <v>1874281</v>
      </c>
      <c r="H554" s="11" cm="1">
        <f t="array" ref="H554">F554/G554*100000</f>
        <v>945.162438289669</v>
      </c>
    </row>
    <row r="555" ht="13" customHeight="1">
      <c r="A555" s="8">
        <v>4</v>
      </c>
      <c r="B555" t="s" s="9">
        <v>35</v>
      </c>
      <c r="C555" t="s" s="9">
        <v>62</v>
      </c>
      <c r="D555" t="s" s="9">
        <v>38</v>
      </c>
      <c r="E555" t="s" s="9">
        <v>33</v>
      </c>
      <c r="F555" s="10">
        <v>18435</v>
      </c>
      <c r="G555" s="10">
        <v>1874281</v>
      </c>
      <c r="H555" s="11" cm="1">
        <f t="array" ref="H555">F555/G555*100000</f>
        <v>983.577169058428</v>
      </c>
    </row>
    <row r="556" ht="13" customHeight="1">
      <c r="A556" s="8">
        <v>5</v>
      </c>
      <c r="B556" t="s" s="9">
        <v>37</v>
      </c>
      <c r="C556" t="s" s="9">
        <v>62</v>
      </c>
      <c r="D556" t="s" s="9">
        <v>38</v>
      </c>
      <c r="E556" t="s" s="9">
        <v>33</v>
      </c>
      <c r="F556" s="10">
        <v>10080</v>
      </c>
      <c r="G556" s="10">
        <v>1874281</v>
      </c>
      <c r="H556" s="11" cm="1">
        <f t="array" ref="H556">F556/G556*100000</f>
        <v>537.806230762623</v>
      </c>
    </row>
    <row r="557" ht="13" customHeight="1">
      <c r="A557" s="8">
        <v>6</v>
      </c>
      <c r="B557" t="s" s="9">
        <v>35</v>
      </c>
      <c r="C557" t="s" s="9">
        <v>62</v>
      </c>
      <c r="D557" t="s" s="9">
        <v>38</v>
      </c>
      <c r="E557" t="s" s="9">
        <v>33</v>
      </c>
      <c r="F557" s="10">
        <v>11535</v>
      </c>
      <c r="G557" s="10">
        <v>1874281</v>
      </c>
      <c r="H557" s="11" cm="1">
        <f t="array" ref="H557">F557/G557*100000</f>
        <v>615.435999191157</v>
      </c>
    </row>
    <row r="558" ht="13" customHeight="1">
      <c r="A558" s="8">
        <v>7</v>
      </c>
      <c r="B558" t="s" s="9">
        <v>39</v>
      </c>
      <c r="C558" t="s" s="9">
        <v>62</v>
      </c>
      <c r="D558" t="s" s="9">
        <v>38</v>
      </c>
      <c r="E558" t="s" s="9">
        <v>33</v>
      </c>
      <c r="F558" s="10">
        <v>7230</v>
      </c>
      <c r="G558" s="10">
        <v>1874281</v>
      </c>
      <c r="H558" s="11" cm="1">
        <f t="array" ref="H558">F558/G558*100000</f>
        <v>385.747921469620</v>
      </c>
    </row>
    <row r="559" ht="13" customHeight="1">
      <c r="A559" s="8">
        <v>8</v>
      </c>
      <c r="B559" t="s" s="9">
        <v>37</v>
      </c>
      <c r="C559" t="s" s="9">
        <v>62</v>
      </c>
      <c r="D559" t="s" s="9">
        <v>38</v>
      </c>
      <c r="E559" t="s" s="9">
        <v>33</v>
      </c>
      <c r="F559" s="10">
        <v>6405</v>
      </c>
      <c r="G559" s="10">
        <v>1874281</v>
      </c>
      <c r="H559" s="11" cm="1">
        <f t="array" ref="H559">F559/G559*100000</f>
        <v>341.731042463750</v>
      </c>
    </row>
    <row r="560" ht="13" customHeight="1">
      <c r="A560" s="8">
        <v>9</v>
      </c>
      <c r="B560" t="s" s="9">
        <v>30</v>
      </c>
      <c r="C560" t="s" s="9">
        <v>62</v>
      </c>
      <c r="D560" t="s" s="9">
        <v>38</v>
      </c>
      <c r="E560" t="s" s="9">
        <v>33</v>
      </c>
      <c r="F560" s="10">
        <v>7980</v>
      </c>
      <c r="G560" s="10">
        <v>1874281</v>
      </c>
      <c r="H560" s="11" cm="1">
        <f t="array" ref="H560">F560/G560*100000</f>
        <v>425.763266020410</v>
      </c>
    </row>
    <row r="561" ht="13" customHeight="1">
      <c r="A561" s="8">
        <v>10</v>
      </c>
      <c r="B561" t="s" s="9">
        <v>41</v>
      </c>
      <c r="C561" t="s" s="9">
        <v>62</v>
      </c>
      <c r="D561" t="s" s="9">
        <v>38</v>
      </c>
      <c r="E561" t="s" s="9">
        <v>33</v>
      </c>
      <c r="F561" s="10">
        <v>7245</v>
      </c>
      <c r="G561" s="10">
        <v>1874281</v>
      </c>
      <c r="H561" s="11" cm="1">
        <f t="array" ref="H561">F561/G561*100000</f>
        <v>386.548228360635</v>
      </c>
    </row>
    <row r="562" ht="13" customHeight="1">
      <c r="A562" s="8">
        <v>1</v>
      </c>
      <c r="B562" t="s" s="9">
        <v>48</v>
      </c>
      <c r="C562" t="s" s="9">
        <v>62</v>
      </c>
      <c r="D562" t="s" s="9">
        <v>42</v>
      </c>
      <c r="E562" t="s" s="9">
        <v>33</v>
      </c>
      <c r="F562" s="10">
        <v>0</v>
      </c>
      <c r="G562" s="10">
        <v>5458063</v>
      </c>
      <c r="H562" t="s" s="9">
        <v>50</v>
      </c>
    </row>
    <row r="563" ht="13" customHeight="1">
      <c r="A563" s="8">
        <v>2</v>
      </c>
      <c r="B563" t="s" s="9">
        <v>48</v>
      </c>
      <c r="C563" t="s" s="9">
        <v>62</v>
      </c>
      <c r="D563" t="s" s="9">
        <v>42</v>
      </c>
      <c r="E563" t="s" s="9">
        <v>33</v>
      </c>
      <c r="F563" s="10">
        <v>0</v>
      </c>
      <c r="G563" s="10">
        <v>5458063</v>
      </c>
      <c r="H563" t="s" s="9">
        <v>50</v>
      </c>
    </row>
    <row r="564" ht="13" customHeight="1">
      <c r="A564" s="8">
        <v>3</v>
      </c>
      <c r="B564" t="s" s="9">
        <v>48</v>
      </c>
      <c r="C564" t="s" s="9">
        <v>62</v>
      </c>
      <c r="D564" t="s" s="9">
        <v>42</v>
      </c>
      <c r="E564" t="s" s="9">
        <v>33</v>
      </c>
      <c r="F564" s="10">
        <v>0</v>
      </c>
      <c r="G564" s="10">
        <v>5458063</v>
      </c>
      <c r="H564" t="s" s="9">
        <v>50</v>
      </c>
    </row>
    <row r="565" ht="13" customHeight="1">
      <c r="A565" s="8">
        <v>4</v>
      </c>
      <c r="B565" t="s" s="9">
        <v>48</v>
      </c>
      <c r="C565" t="s" s="9">
        <v>62</v>
      </c>
      <c r="D565" t="s" s="9">
        <v>42</v>
      </c>
      <c r="E565" t="s" s="9">
        <v>33</v>
      </c>
      <c r="F565" s="10">
        <v>0</v>
      </c>
      <c r="G565" s="10">
        <v>5458063</v>
      </c>
      <c r="H565" t="s" s="9">
        <v>50</v>
      </c>
    </row>
    <row r="566" ht="13" customHeight="1">
      <c r="A566" s="8">
        <v>5</v>
      </c>
      <c r="B566" t="s" s="9">
        <v>48</v>
      </c>
      <c r="C566" t="s" s="9">
        <v>62</v>
      </c>
      <c r="D566" t="s" s="9">
        <v>42</v>
      </c>
      <c r="E566" t="s" s="9">
        <v>33</v>
      </c>
      <c r="F566" s="10">
        <v>0</v>
      </c>
      <c r="G566" s="10">
        <v>5458063</v>
      </c>
      <c r="H566" t="s" s="9">
        <v>50</v>
      </c>
    </row>
    <row r="567" ht="13" customHeight="1">
      <c r="A567" s="8">
        <v>6</v>
      </c>
      <c r="B567" t="s" s="9">
        <v>48</v>
      </c>
      <c r="C567" t="s" s="9">
        <v>62</v>
      </c>
      <c r="D567" t="s" s="9">
        <v>42</v>
      </c>
      <c r="E567" t="s" s="9">
        <v>33</v>
      </c>
      <c r="F567" s="10">
        <v>0</v>
      </c>
      <c r="G567" s="10">
        <v>5458063</v>
      </c>
      <c r="H567" t="s" s="9">
        <v>50</v>
      </c>
    </row>
    <row r="568" ht="13" customHeight="1">
      <c r="A568" s="8">
        <v>7</v>
      </c>
      <c r="B568" t="s" s="9">
        <v>48</v>
      </c>
      <c r="C568" t="s" s="9">
        <v>62</v>
      </c>
      <c r="D568" t="s" s="9">
        <v>42</v>
      </c>
      <c r="E568" t="s" s="9">
        <v>33</v>
      </c>
      <c r="F568" s="10">
        <v>0</v>
      </c>
      <c r="G568" s="10">
        <v>5458063</v>
      </c>
      <c r="H568" t="s" s="9">
        <v>50</v>
      </c>
    </row>
    <row r="569" ht="13" customHeight="1">
      <c r="A569" s="8">
        <v>8</v>
      </c>
      <c r="B569" t="s" s="9">
        <v>48</v>
      </c>
      <c r="C569" t="s" s="9">
        <v>62</v>
      </c>
      <c r="D569" t="s" s="9">
        <v>42</v>
      </c>
      <c r="E569" t="s" s="9">
        <v>33</v>
      </c>
      <c r="F569" s="10">
        <v>0</v>
      </c>
      <c r="G569" s="10">
        <v>5458063</v>
      </c>
      <c r="H569" t="s" s="9">
        <v>50</v>
      </c>
    </row>
    <row r="570" ht="13" customHeight="1">
      <c r="A570" s="8">
        <v>9</v>
      </c>
      <c r="B570" t="s" s="9">
        <v>48</v>
      </c>
      <c r="C570" t="s" s="9">
        <v>62</v>
      </c>
      <c r="D570" t="s" s="9">
        <v>42</v>
      </c>
      <c r="E570" t="s" s="9">
        <v>33</v>
      </c>
      <c r="F570" s="10">
        <v>0</v>
      </c>
      <c r="G570" s="10">
        <v>5458063</v>
      </c>
      <c r="H570" t="s" s="9">
        <v>50</v>
      </c>
    </row>
    <row r="571" ht="13" customHeight="1">
      <c r="A571" s="8">
        <v>10</v>
      </c>
      <c r="B571" t="s" s="9">
        <v>48</v>
      </c>
      <c r="C571" t="s" s="9">
        <v>62</v>
      </c>
      <c r="D571" t="s" s="9">
        <v>42</v>
      </c>
      <c r="E571" t="s" s="9">
        <v>33</v>
      </c>
      <c r="F571" s="10">
        <v>0</v>
      </c>
      <c r="G571" s="10">
        <v>5458063</v>
      </c>
      <c r="H571" t="s" s="9">
        <v>50</v>
      </c>
    </row>
    <row r="572" ht="13" customHeight="1">
      <c r="A572" s="8">
        <v>1</v>
      </c>
      <c r="B572" t="s" s="9">
        <v>30</v>
      </c>
      <c r="C572" t="s" s="9">
        <v>62</v>
      </c>
      <c r="D572" t="s" s="9">
        <v>43</v>
      </c>
      <c r="E572" t="s" s="9">
        <v>33</v>
      </c>
      <c r="F572" s="10">
        <v>47385</v>
      </c>
      <c r="G572" s="10">
        <v>3817144</v>
      </c>
      <c r="H572" s="11" cm="1">
        <f t="array" ref="H572">F572/G572*100000</f>
        <v>1241.373131325410</v>
      </c>
    </row>
    <row r="573" ht="13" customHeight="1">
      <c r="A573" s="8">
        <v>2</v>
      </c>
      <c r="B573" t="s" s="9">
        <v>34</v>
      </c>
      <c r="C573" t="s" s="9">
        <v>62</v>
      </c>
      <c r="D573" t="s" s="9">
        <v>43</v>
      </c>
      <c r="E573" t="s" s="9">
        <v>33</v>
      </c>
      <c r="F573" s="10">
        <v>19830</v>
      </c>
      <c r="G573" s="10">
        <v>3817144</v>
      </c>
      <c r="H573" s="11" cm="1">
        <f t="array" ref="H573">F573/G573*100000</f>
        <v>519.498347455585</v>
      </c>
    </row>
    <row r="574" ht="13" customHeight="1">
      <c r="A574" s="8">
        <v>3</v>
      </c>
      <c r="B574" t="s" s="9">
        <v>30</v>
      </c>
      <c r="C574" t="s" s="9">
        <v>62</v>
      </c>
      <c r="D574" t="s" s="9">
        <v>43</v>
      </c>
      <c r="E574" t="s" s="9">
        <v>33</v>
      </c>
      <c r="F574" s="10">
        <v>15060</v>
      </c>
      <c r="G574" s="10">
        <v>3817144</v>
      </c>
      <c r="H574" s="11" cm="1">
        <f t="array" ref="H574">F574/G574*100000</f>
        <v>394.535810019219</v>
      </c>
    </row>
    <row r="575" ht="13" customHeight="1">
      <c r="A575" s="8">
        <v>4</v>
      </c>
      <c r="B575" t="s" s="9">
        <v>30</v>
      </c>
      <c r="C575" t="s" s="9">
        <v>62</v>
      </c>
      <c r="D575" t="s" s="9">
        <v>43</v>
      </c>
      <c r="E575" t="s" s="9">
        <v>33</v>
      </c>
      <c r="F575" s="10">
        <v>11370</v>
      </c>
      <c r="G575" s="10">
        <v>3817144</v>
      </c>
      <c r="H575" s="11" cm="1">
        <f t="array" ref="H575">F575/G575*100000</f>
        <v>297.866677285426</v>
      </c>
    </row>
    <row r="576" ht="13" customHeight="1">
      <c r="A576" s="8">
        <v>5</v>
      </c>
      <c r="B576" t="s" s="9">
        <v>35</v>
      </c>
      <c r="C576" t="s" s="9">
        <v>62</v>
      </c>
      <c r="D576" t="s" s="9">
        <v>43</v>
      </c>
      <c r="E576" t="s" s="9">
        <v>33</v>
      </c>
      <c r="F576" s="10">
        <v>6825</v>
      </c>
      <c r="G576" s="10">
        <v>3817144</v>
      </c>
      <c r="H576" s="11" cm="1">
        <f t="array" ref="H576">F576/G576*100000</f>
        <v>178.798599162096</v>
      </c>
    </row>
    <row r="577" ht="13" customHeight="1">
      <c r="A577" s="8">
        <v>6</v>
      </c>
      <c r="B577" t="s" s="9">
        <v>36</v>
      </c>
      <c r="C577" t="s" s="9">
        <v>62</v>
      </c>
      <c r="D577" t="s" s="9">
        <v>43</v>
      </c>
      <c r="E577" t="s" s="9">
        <v>33</v>
      </c>
      <c r="F577" s="10">
        <v>5700</v>
      </c>
      <c r="G577" s="10">
        <v>3817144</v>
      </c>
      <c r="H577" s="11" cm="1">
        <f t="array" ref="H577">F577/G577*100000</f>
        <v>149.326302596915</v>
      </c>
    </row>
    <row r="578" ht="13" customHeight="1">
      <c r="A578" s="8">
        <v>7</v>
      </c>
      <c r="B578" t="s" s="9">
        <v>39</v>
      </c>
      <c r="C578" t="s" s="9">
        <v>62</v>
      </c>
      <c r="D578" t="s" s="9">
        <v>43</v>
      </c>
      <c r="E578" t="s" s="9">
        <v>33</v>
      </c>
      <c r="F578" s="10">
        <v>3885</v>
      </c>
      <c r="G578" s="10">
        <v>3817144</v>
      </c>
      <c r="H578" s="11" cm="1">
        <f t="array" ref="H578">F578/G578*100000</f>
        <v>101.777664138424</v>
      </c>
    </row>
    <row r="579" ht="13" customHeight="1">
      <c r="A579" s="8">
        <v>8</v>
      </c>
      <c r="B579" t="s" s="9">
        <v>30</v>
      </c>
      <c r="C579" t="s" s="9">
        <v>62</v>
      </c>
      <c r="D579" t="s" s="9">
        <v>43</v>
      </c>
      <c r="E579" t="s" s="9">
        <v>33</v>
      </c>
      <c r="F579" s="10">
        <v>3915</v>
      </c>
      <c r="G579" s="10">
        <v>3817144</v>
      </c>
      <c r="H579" s="11" cm="1">
        <f t="array" ref="H579">F579/G579*100000</f>
        <v>102.563592046829</v>
      </c>
    </row>
    <row r="580" ht="13" customHeight="1">
      <c r="A580" s="8">
        <v>9</v>
      </c>
      <c r="B580" t="s" s="9">
        <v>30</v>
      </c>
      <c r="C580" t="s" s="9">
        <v>62</v>
      </c>
      <c r="D580" t="s" s="9">
        <v>43</v>
      </c>
      <c r="E580" t="s" s="9">
        <v>33</v>
      </c>
      <c r="F580" s="10">
        <v>5325</v>
      </c>
      <c r="G580" s="10">
        <v>3817144</v>
      </c>
      <c r="H580" s="11" cm="1">
        <f t="array" ref="H580">F580/G580*100000</f>
        <v>139.502203741855</v>
      </c>
    </row>
    <row r="581" ht="13" customHeight="1">
      <c r="A581" s="8">
        <v>10</v>
      </c>
      <c r="B581" t="s" s="9">
        <v>37</v>
      </c>
      <c r="C581" t="s" s="9">
        <v>62</v>
      </c>
      <c r="D581" t="s" s="9">
        <v>43</v>
      </c>
      <c r="E581" t="s" s="9">
        <v>33</v>
      </c>
      <c r="F581" s="10">
        <v>3960</v>
      </c>
      <c r="G581" s="10">
        <v>3817144</v>
      </c>
      <c r="H581" s="11" cm="1">
        <f t="array" ref="H581">F581/G581*100000</f>
        <v>103.742483909436</v>
      </c>
    </row>
    <row r="582" ht="13" customHeight="1">
      <c r="A582" s="8">
        <v>1</v>
      </c>
      <c r="B582" t="s" s="9">
        <v>30</v>
      </c>
      <c r="C582" t="s" s="9">
        <v>62</v>
      </c>
      <c r="D582" t="s" s="9">
        <v>44</v>
      </c>
      <c r="E582" t="s" s="9">
        <v>33</v>
      </c>
      <c r="F582" s="10">
        <v>138555</v>
      </c>
      <c r="G582" s="10">
        <v>13239670</v>
      </c>
      <c r="H582" s="11" cm="1">
        <f t="array" ref="H582">F582/G582*100000</f>
        <v>1046.513999215990</v>
      </c>
    </row>
    <row r="583" ht="13" customHeight="1">
      <c r="A583" s="8">
        <v>2</v>
      </c>
      <c r="B583" t="s" s="9">
        <v>34</v>
      </c>
      <c r="C583" t="s" s="9">
        <v>62</v>
      </c>
      <c r="D583" t="s" s="9">
        <v>44</v>
      </c>
      <c r="E583" t="s" s="9">
        <v>33</v>
      </c>
      <c r="F583" s="10">
        <v>66435</v>
      </c>
      <c r="G583" s="10">
        <v>13239670</v>
      </c>
      <c r="H583" s="11" cm="1">
        <f t="array" ref="H583">F583/G583*100000</f>
        <v>501.787431257728</v>
      </c>
    </row>
    <row r="584" ht="13" customHeight="1">
      <c r="A584" s="8">
        <v>3</v>
      </c>
      <c r="B584" t="s" s="9">
        <v>35</v>
      </c>
      <c r="C584" t="s" s="9">
        <v>62</v>
      </c>
      <c r="D584" t="s" s="9">
        <v>44</v>
      </c>
      <c r="E584" t="s" s="9">
        <v>33</v>
      </c>
      <c r="F584" s="10">
        <v>39885</v>
      </c>
      <c r="G584" s="10">
        <v>13239670</v>
      </c>
      <c r="H584" s="11" cm="1">
        <f t="array" ref="H584">F584/G584*100000</f>
        <v>301.253732154956</v>
      </c>
    </row>
    <row r="585" ht="13" customHeight="1">
      <c r="A585" s="8">
        <v>4</v>
      </c>
      <c r="B585" t="s" s="9">
        <v>37</v>
      </c>
      <c r="C585" t="s" s="9">
        <v>62</v>
      </c>
      <c r="D585" t="s" s="9">
        <v>44</v>
      </c>
      <c r="E585" t="s" s="9">
        <v>33</v>
      </c>
      <c r="F585" s="10">
        <v>24885</v>
      </c>
      <c r="G585" s="10">
        <v>13239670</v>
      </c>
      <c r="H585" s="11" cm="1">
        <f t="array" ref="H585">F585/G585*100000</f>
        <v>187.957856955649</v>
      </c>
    </row>
    <row r="586" ht="13" customHeight="1">
      <c r="A586" s="8">
        <v>5</v>
      </c>
      <c r="B586" t="s" s="9">
        <v>30</v>
      </c>
      <c r="C586" t="s" s="9">
        <v>62</v>
      </c>
      <c r="D586" t="s" s="9">
        <v>44</v>
      </c>
      <c r="E586" t="s" s="9">
        <v>33</v>
      </c>
      <c r="F586" s="10">
        <v>13350</v>
      </c>
      <c r="G586" s="10">
        <v>13239670</v>
      </c>
      <c r="H586" s="11" cm="1">
        <f t="array" ref="H586">F586/G586*100000</f>
        <v>100.833328927383</v>
      </c>
    </row>
    <row r="587" ht="13" customHeight="1">
      <c r="A587" s="8">
        <v>6</v>
      </c>
      <c r="B587" t="s" s="9">
        <v>36</v>
      </c>
      <c r="C587" t="s" s="9">
        <v>62</v>
      </c>
      <c r="D587" t="s" s="9">
        <v>44</v>
      </c>
      <c r="E587" t="s" s="9">
        <v>33</v>
      </c>
      <c r="F587" s="10">
        <v>13995</v>
      </c>
      <c r="G587" s="10">
        <v>13239670</v>
      </c>
      <c r="H587" s="11" cm="1">
        <f t="array" ref="H587">F587/G587*100000</f>
        <v>105.705051560953</v>
      </c>
    </row>
    <row r="588" ht="13" customHeight="1">
      <c r="A588" s="8">
        <v>7</v>
      </c>
      <c r="B588" t="s" s="9">
        <v>30</v>
      </c>
      <c r="C588" t="s" s="9">
        <v>62</v>
      </c>
      <c r="D588" t="s" s="9">
        <v>44</v>
      </c>
      <c r="E588" t="s" s="9">
        <v>33</v>
      </c>
      <c r="F588" s="10">
        <v>13035</v>
      </c>
      <c r="G588" s="10">
        <v>13239670</v>
      </c>
      <c r="H588" s="11" cm="1">
        <f t="array" ref="H588">F588/G588*100000</f>
        <v>98.45411554819719</v>
      </c>
    </row>
    <row r="589" ht="13" customHeight="1">
      <c r="A589" s="8">
        <v>8</v>
      </c>
      <c r="B589" t="s" s="9">
        <v>39</v>
      </c>
      <c r="C589" t="s" s="9">
        <v>62</v>
      </c>
      <c r="D589" t="s" s="9">
        <v>44</v>
      </c>
      <c r="E589" t="s" s="9">
        <v>33</v>
      </c>
      <c r="F589" s="10">
        <v>8280</v>
      </c>
      <c r="G589" s="10">
        <v>13239670</v>
      </c>
      <c r="H589" s="11" cm="1">
        <f t="array" ref="H589">F589/G589*100000</f>
        <v>62.5393231100171</v>
      </c>
    </row>
    <row r="590" ht="13" customHeight="1">
      <c r="A590" s="8">
        <v>9</v>
      </c>
      <c r="B590" t="s" s="9">
        <v>30</v>
      </c>
      <c r="C590" t="s" s="9">
        <v>62</v>
      </c>
      <c r="D590" t="s" s="9">
        <v>44</v>
      </c>
      <c r="E590" t="s" s="9">
        <v>33</v>
      </c>
      <c r="F590" s="10">
        <v>11235</v>
      </c>
      <c r="G590" s="10">
        <v>13239670</v>
      </c>
      <c r="H590" s="11" cm="1">
        <f t="array" ref="H590">F590/G590*100000</f>
        <v>84.85861052428039</v>
      </c>
    </row>
    <row r="591" ht="13" customHeight="1">
      <c r="A591" s="8">
        <v>10</v>
      </c>
      <c r="B591" t="s" s="9">
        <v>41</v>
      </c>
      <c r="C591" t="s" s="9">
        <v>62</v>
      </c>
      <c r="D591" t="s" s="9">
        <v>44</v>
      </c>
      <c r="E591" t="s" s="9">
        <v>33</v>
      </c>
      <c r="F591" s="10">
        <v>11565</v>
      </c>
      <c r="G591" s="10">
        <v>13239670</v>
      </c>
      <c r="H591" s="11" cm="1">
        <f t="array" ref="H591">F591/G591*100000</f>
        <v>87.35111977866519</v>
      </c>
    </row>
    <row r="592" ht="13" customHeight="1">
      <c r="A592" s="8">
        <v>1</v>
      </c>
      <c r="B592" t="s" s="9">
        <v>30</v>
      </c>
      <c r="C592" t="s" s="9">
        <v>62</v>
      </c>
      <c r="D592" t="s" s="9">
        <v>46</v>
      </c>
      <c r="E592" t="s" s="9">
        <v>33</v>
      </c>
      <c r="F592" s="10">
        <v>144270</v>
      </c>
      <c r="G592" s="10">
        <v>17477569</v>
      </c>
      <c r="H592" s="11" cm="1">
        <f t="array" ref="H592">F592/G592*100000</f>
        <v>825.458048542106</v>
      </c>
    </row>
    <row r="593" ht="13" customHeight="1">
      <c r="A593" s="8">
        <v>2</v>
      </c>
      <c r="B593" t="s" s="9">
        <v>30</v>
      </c>
      <c r="C593" t="s" s="9">
        <v>62</v>
      </c>
      <c r="D593" t="s" s="9">
        <v>46</v>
      </c>
      <c r="E593" t="s" s="9">
        <v>33</v>
      </c>
      <c r="F593" s="10">
        <v>73725</v>
      </c>
      <c r="G593" s="10">
        <v>17477569</v>
      </c>
      <c r="H593" s="11" cm="1">
        <f t="array" ref="H593">F593/G593*100000</f>
        <v>421.826399312170</v>
      </c>
    </row>
    <row r="594" ht="13" customHeight="1">
      <c r="A594" s="8">
        <v>3</v>
      </c>
      <c r="B594" t="s" s="9">
        <v>35</v>
      </c>
      <c r="C594" t="s" s="9">
        <v>62</v>
      </c>
      <c r="D594" t="s" s="9">
        <v>46</v>
      </c>
      <c r="E594" t="s" s="9">
        <v>33</v>
      </c>
      <c r="F594" s="10">
        <v>62220</v>
      </c>
      <c r="G594" s="10">
        <v>17477569</v>
      </c>
      <c r="H594" s="11" cm="1">
        <f t="array" ref="H594">F594/G594*100000</f>
        <v>355.999166703333</v>
      </c>
    </row>
    <row r="595" ht="13" customHeight="1">
      <c r="A595" s="8">
        <v>4</v>
      </c>
      <c r="B595" t="s" s="9">
        <v>34</v>
      </c>
      <c r="C595" t="s" s="9">
        <v>62</v>
      </c>
      <c r="D595" t="s" s="9">
        <v>46</v>
      </c>
      <c r="E595" t="s" s="9">
        <v>33</v>
      </c>
      <c r="F595" s="10">
        <v>44685</v>
      </c>
      <c r="G595" s="10">
        <v>17477569</v>
      </c>
      <c r="H595" s="11" cm="1">
        <f t="array" ref="H595">F595/G595*100000</f>
        <v>255.670568372524</v>
      </c>
    </row>
    <row r="596" ht="13" customHeight="1">
      <c r="A596" s="8">
        <v>5</v>
      </c>
      <c r="B596" t="s" s="9">
        <v>30</v>
      </c>
      <c r="C596" t="s" s="9">
        <v>62</v>
      </c>
      <c r="D596" t="s" s="9">
        <v>46</v>
      </c>
      <c r="E596" t="s" s="9">
        <v>33</v>
      </c>
      <c r="F596" s="10">
        <v>52605</v>
      </c>
      <c r="G596" s="10">
        <v>17477569</v>
      </c>
      <c r="H596" s="11" cm="1">
        <f t="array" ref="H596">F596/G596*100000</f>
        <v>300.985794992427</v>
      </c>
    </row>
    <row r="597" ht="13" customHeight="1">
      <c r="A597" s="8">
        <v>6</v>
      </c>
      <c r="B597" t="s" s="9">
        <v>39</v>
      </c>
      <c r="C597" t="s" s="9">
        <v>62</v>
      </c>
      <c r="D597" t="s" s="9">
        <v>46</v>
      </c>
      <c r="E597" t="s" s="9">
        <v>33</v>
      </c>
      <c r="F597" s="10">
        <v>32010</v>
      </c>
      <c r="G597" s="10">
        <v>17477569</v>
      </c>
      <c r="H597" s="11" cm="1">
        <f t="array" ref="H597">F597/G597*100000</f>
        <v>183.149040922110</v>
      </c>
    </row>
    <row r="598" ht="13" customHeight="1">
      <c r="A598" s="8">
        <v>7</v>
      </c>
      <c r="B598" t="s" s="9">
        <v>41</v>
      </c>
      <c r="C598" t="s" s="9">
        <v>62</v>
      </c>
      <c r="D598" t="s" s="9">
        <v>46</v>
      </c>
      <c r="E598" t="s" s="9">
        <v>33</v>
      </c>
      <c r="F598" s="10">
        <v>33720</v>
      </c>
      <c r="G598" s="10">
        <v>17477569</v>
      </c>
      <c r="H598" s="11" cm="1">
        <f t="array" ref="H598">F598/G598*100000</f>
        <v>192.933010305953</v>
      </c>
    </row>
    <row r="599" ht="13" customHeight="1">
      <c r="A599" s="8">
        <v>8</v>
      </c>
      <c r="B599" t="s" s="9">
        <v>37</v>
      </c>
      <c r="C599" t="s" s="9">
        <v>62</v>
      </c>
      <c r="D599" t="s" s="9">
        <v>46</v>
      </c>
      <c r="E599" t="s" s="9">
        <v>33</v>
      </c>
      <c r="F599" s="10">
        <v>13245</v>
      </c>
      <c r="G599" s="10">
        <v>17477569</v>
      </c>
      <c r="H599" s="11" cm="1">
        <f t="array" ref="H599">F599/G599*100000</f>
        <v>75.78285057836131</v>
      </c>
    </row>
    <row r="600" ht="13" customHeight="1">
      <c r="A600" s="8">
        <v>9</v>
      </c>
      <c r="B600" t="s" s="9">
        <v>45</v>
      </c>
      <c r="C600" t="s" s="9">
        <v>62</v>
      </c>
      <c r="D600" t="s" s="9">
        <v>46</v>
      </c>
      <c r="E600" t="s" s="9">
        <v>33</v>
      </c>
      <c r="F600" s="10">
        <v>15465</v>
      </c>
      <c r="G600" s="10">
        <v>17477569</v>
      </c>
      <c r="H600" s="11" cm="1">
        <f t="array" ref="H600">F600/G600*100000</f>
        <v>88.48484591878881</v>
      </c>
    </row>
    <row r="601" ht="13" customHeight="1">
      <c r="A601" s="8">
        <v>10</v>
      </c>
      <c r="B601" t="s" s="9">
        <v>35</v>
      </c>
      <c r="C601" t="s" s="9">
        <v>62</v>
      </c>
      <c r="D601" t="s" s="9">
        <v>46</v>
      </c>
      <c r="E601" t="s" s="9">
        <v>33</v>
      </c>
      <c r="F601" s="10">
        <v>14610</v>
      </c>
      <c r="G601" s="10">
        <v>17477569</v>
      </c>
      <c r="H601" s="11" cm="1">
        <f t="array" ref="H601">F601/G601*100000</f>
        <v>83.5928612268674</v>
      </c>
    </row>
    <row r="602" ht="13" customHeight="1">
      <c r="A602" s="8">
        <v>1</v>
      </c>
      <c r="B602" t="s" s="9">
        <v>30</v>
      </c>
      <c r="C602" t="s" s="9">
        <v>62</v>
      </c>
      <c r="D602" t="s" s="9">
        <v>47</v>
      </c>
      <c r="E602" t="s" s="9">
        <v>33</v>
      </c>
      <c r="F602" s="10">
        <v>51034</v>
      </c>
      <c r="G602" s="10">
        <v>3342831</v>
      </c>
      <c r="H602" s="11" cm="1">
        <f t="array" ref="H602">F602/G602*100000</f>
        <v>1526.670059000890</v>
      </c>
    </row>
    <row r="603" ht="13" customHeight="1">
      <c r="A603" s="8">
        <v>2</v>
      </c>
      <c r="B603" t="s" s="9">
        <v>35</v>
      </c>
      <c r="C603" t="s" s="9">
        <v>62</v>
      </c>
      <c r="D603" t="s" s="9">
        <v>47</v>
      </c>
      <c r="E603" t="s" s="9">
        <v>33</v>
      </c>
      <c r="F603" s="10">
        <v>29512</v>
      </c>
      <c r="G603" s="10">
        <v>3342831</v>
      </c>
      <c r="H603" s="11" cm="1">
        <f t="array" ref="H603">F603/G603*100000</f>
        <v>882.844511134425</v>
      </c>
    </row>
    <row r="604" ht="13" customHeight="1">
      <c r="A604" s="8">
        <v>3</v>
      </c>
      <c r="B604" t="s" s="9">
        <v>34</v>
      </c>
      <c r="C604" t="s" s="9">
        <v>62</v>
      </c>
      <c r="D604" t="s" s="9">
        <v>47</v>
      </c>
      <c r="E604" t="s" s="9">
        <v>33</v>
      </c>
      <c r="F604" s="10">
        <v>8619</v>
      </c>
      <c r="G604" s="10">
        <v>3342831</v>
      </c>
      <c r="H604" s="11" cm="1">
        <f t="array" ref="H604">F604/G604*100000</f>
        <v>257.835349737992</v>
      </c>
    </row>
    <row r="605" ht="13" customHeight="1">
      <c r="A605" s="8">
        <v>4</v>
      </c>
      <c r="B605" t="s" s="9">
        <v>39</v>
      </c>
      <c r="C605" t="s" s="9">
        <v>62</v>
      </c>
      <c r="D605" t="s" s="9">
        <v>47</v>
      </c>
      <c r="E605" t="s" s="9">
        <v>33</v>
      </c>
      <c r="F605" s="10">
        <v>4709</v>
      </c>
      <c r="G605" s="10">
        <v>3342831</v>
      </c>
      <c r="H605" s="11" cm="1">
        <f t="array" ref="H605">F605/G605*100000</f>
        <v>140.868623032394</v>
      </c>
    </row>
    <row r="606" ht="13" customHeight="1">
      <c r="A606" s="8">
        <v>5</v>
      </c>
      <c r="B606" t="s" s="9">
        <v>30</v>
      </c>
      <c r="C606" t="s" s="9">
        <v>62</v>
      </c>
      <c r="D606" t="s" s="9">
        <v>47</v>
      </c>
      <c r="E606" t="s" s="9">
        <v>33</v>
      </c>
      <c r="F606" s="10">
        <v>6800</v>
      </c>
      <c r="G606" s="10">
        <v>3342831</v>
      </c>
      <c r="H606" s="11" cm="1">
        <f t="array" ref="H606">F606/G606*100000</f>
        <v>203.420394270605</v>
      </c>
    </row>
    <row r="607" ht="13" customHeight="1">
      <c r="A607" s="8">
        <v>6</v>
      </c>
      <c r="B607" t="s" s="9">
        <v>35</v>
      </c>
      <c r="C607" t="s" s="9">
        <v>62</v>
      </c>
      <c r="D607" t="s" s="9">
        <v>47</v>
      </c>
      <c r="E607" t="s" s="9">
        <v>33</v>
      </c>
      <c r="F607" s="10">
        <v>7565</v>
      </c>
      <c r="G607" s="10">
        <v>3342831</v>
      </c>
      <c r="H607" s="11" cm="1">
        <f t="array" ref="H607">F607/G607*100000</f>
        <v>226.305188626048</v>
      </c>
    </row>
    <row r="608" ht="13" customHeight="1">
      <c r="A608" s="8">
        <v>7</v>
      </c>
      <c r="B608" t="s" s="9">
        <v>45</v>
      </c>
      <c r="C608" t="s" s="9">
        <v>62</v>
      </c>
      <c r="D608" t="s" s="9">
        <v>47</v>
      </c>
      <c r="E608" t="s" s="9">
        <v>33</v>
      </c>
      <c r="F608" s="10">
        <v>5865</v>
      </c>
      <c r="G608" s="10">
        <v>3342831</v>
      </c>
      <c r="H608" s="11" cm="1">
        <f t="array" ref="H608">F608/G608*100000</f>
        <v>175.450090058397</v>
      </c>
    </row>
    <row r="609" ht="13" customHeight="1">
      <c r="A609" s="8">
        <v>8</v>
      </c>
      <c r="B609" t="s" s="9">
        <v>30</v>
      </c>
      <c r="C609" t="s" s="9">
        <v>62</v>
      </c>
      <c r="D609" t="s" s="9">
        <v>47</v>
      </c>
      <c r="E609" t="s" s="9">
        <v>33</v>
      </c>
      <c r="F609" s="10">
        <v>3995</v>
      </c>
      <c r="G609" s="10">
        <v>3342831</v>
      </c>
      <c r="H609" s="11" cm="1">
        <f t="array" ref="H609">F609/G609*100000</f>
        <v>119.509481633980</v>
      </c>
    </row>
    <row r="610" ht="13" customHeight="1">
      <c r="A610" s="8">
        <v>9</v>
      </c>
      <c r="B610" t="s" s="9">
        <v>36</v>
      </c>
      <c r="C610" t="s" s="9">
        <v>62</v>
      </c>
      <c r="D610" t="s" s="9">
        <v>47</v>
      </c>
      <c r="E610" t="s" s="9">
        <v>33</v>
      </c>
      <c r="F610" s="10">
        <v>3553</v>
      </c>
      <c r="G610" s="10">
        <v>3342831</v>
      </c>
      <c r="H610" s="11" cm="1">
        <f t="array" ref="H610">F610/G610*100000</f>
        <v>106.287156006391</v>
      </c>
    </row>
    <row r="611" ht="13" customHeight="1">
      <c r="A611" s="8">
        <v>10</v>
      </c>
      <c r="B611" t="s" s="9">
        <v>30</v>
      </c>
      <c r="C611" t="s" s="9">
        <v>62</v>
      </c>
      <c r="D611" t="s" s="9">
        <v>47</v>
      </c>
      <c r="E611" t="s" s="9">
        <v>33</v>
      </c>
      <c r="F611" s="10">
        <v>3740</v>
      </c>
      <c r="G611" s="10">
        <v>3342831</v>
      </c>
      <c r="H611" s="11" cm="1">
        <f t="array" ref="H611">F611/G611*100000</f>
        <v>111.881216848833</v>
      </c>
    </row>
    <row r="612" ht="13" customHeight="1">
      <c r="A612" s="8">
        <v>1</v>
      </c>
      <c r="B612" t="s" s="9">
        <v>30</v>
      </c>
      <c r="C612" t="s" s="9">
        <v>62</v>
      </c>
      <c r="D612" t="s" s="9">
        <v>49</v>
      </c>
      <c r="E612" t="s" s="9">
        <v>33</v>
      </c>
      <c r="F612" s="10">
        <v>70785</v>
      </c>
      <c r="G612" s="10">
        <v>6397690</v>
      </c>
      <c r="H612" s="11" cm="1">
        <f t="array" ref="H612">F612/G612*100000</f>
        <v>1106.414971653830</v>
      </c>
    </row>
    <row r="613" ht="13" customHeight="1">
      <c r="A613" s="8">
        <v>2</v>
      </c>
      <c r="B613" t="s" s="9">
        <v>34</v>
      </c>
      <c r="C613" t="s" s="9">
        <v>62</v>
      </c>
      <c r="D613" t="s" s="9">
        <v>49</v>
      </c>
      <c r="E613" t="s" s="9">
        <v>33</v>
      </c>
      <c r="F613" s="10">
        <v>41955</v>
      </c>
      <c r="G613" s="10">
        <v>6397690</v>
      </c>
      <c r="H613" s="11" cm="1">
        <f t="array" ref="H613">F613/G613*100000</f>
        <v>655.783571882977</v>
      </c>
    </row>
    <row r="614" ht="13" customHeight="1">
      <c r="A614" s="8">
        <v>3</v>
      </c>
      <c r="B614" t="s" s="9">
        <v>35</v>
      </c>
      <c r="C614" t="s" s="9">
        <v>62</v>
      </c>
      <c r="D614" t="s" s="9">
        <v>49</v>
      </c>
      <c r="E614" t="s" s="9">
        <v>33</v>
      </c>
      <c r="F614" s="10">
        <v>28200</v>
      </c>
      <c r="G614" s="10">
        <v>6397690</v>
      </c>
      <c r="H614" s="11" cm="1">
        <f t="array" ref="H614">F614/G614*100000</f>
        <v>440.784095509473</v>
      </c>
    </row>
    <row r="615" ht="13" customHeight="1">
      <c r="A615" s="8">
        <v>4</v>
      </c>
      <c r="B615" t="s" s="9">
        <v>30</v>
      </c>
      <c r="C615" t="s" s="9">
        <v>62</v>
      </c>
      <c r="D615" t="s" s="9">
        <v>49</v>
      </c>
      <c r="E615" t="s" s="9">
        <v>33</v>
      </c>
      <c r="F615" s="10">
        <v>15360</v>
      </c>
      <c r="G615" s="10">
        <v>6397690</v>
      </c>
      <c r="H615" s="11" cm="1">
        <f t="array" ref="H615">F615/G615*100000</f>
        <v>240.0866562775</v>
      </c>
    </row>
    <row r="616" ht="13" customHeight="1">
      <c r="A616" s="8">
        <v>5</v>
      </c>
      <c r="B616" t="s" s="9">
        <v>39</v>
      </c>
      <c r="C616" t="s" s="9">
        <v>62</v>
      </c>
      <c r="D616" t="s" s="9">
        <v>49</v>
      </c>
      <c r="E616" t="s" s="9">
        <v>33</v>
      </c>
      <c r="F616" s="10">
        <v>8595</v>
      </c>
      <c r="G616" s="10">
        <v>6397690</v>
      </c>
      <c r="H616" s="11" cm="1">
        <f t="array" ref="H616">F616/G616*100000</f>
        <v>134.345365280281</v>
      </c>
    </row>
    <row r="617" ht="13" customHeight="1">
      <c r="A617" s="8">
        <v>6</v>
      </c>
      <c r="B617" t="s" s="9">
        <v>30</v>
      </c>
      <c r="C617" t="s" s="9">
        <v>62</v>
      </c>
      <c r="D617" t="s" s="9">
        <v>49</v>
      </c>
      <c r="E617" t="s" s="9">
        <v>33</v>
      </c>
      <c r="F617" s="10">
        <v>11550</v>
      </c>
      <c r="G617" s="10">
        <v>6397690</v>
      </c>
      <c r="H617" s="11" cm="1">
        <f t="array" ref="H617">F617/G617*100000</f>
        <v>180.533911458667</v>
      </c>
    </row>
    <row r="618" ht="13" customHeight="1">
      <c r="A618" s="8">
        <v>7</v>
      </c>
      <c r="B618" t="s" s="9">
        <v>37</v>
      </c>
      <c r="C618" t="s" s="9">
        <v>62</v>
      </c>
      <c r="D618" t="s" s="9">
        <v>49</v>
      </c>
      <c r="E618" t="s" s="9">
        <v>33</v>
      </c>
      <c r="F618" s="10">
        <v>9285</v>
      </c>
      <c r="G618" s="10">
        <v>6397690</v>
      </c>
      <c r="H618" s="11" cm="1">
        <f t="array" ref="H618">F618/G618*100000</f>
        <v>145.130508042747</v>
      </c>
    </row>
    <row r="619" ht="13" customHeight="1">
      <c r="A619" s="8">
        <v>8</v>
      </c>
      <c r="B619" t="s" s="9">
        <v>41</v>
      </c>
      <c r="C619" t="s" s="9">
        <v>62</v>
      </c>
      <c r="D619" t="s" s="9">
        <v>49</v>
      </c>
      <c r="E619" t="s" s="9">
        <v>33</v>
      </c>
      <c r="F619" s="10">
        <v>8505</v>
      </c>
      <c r="G619" s="10">
        <v>6397690</v>
      </c>
      <c r="H619" s="11" cm="1">
        <f t="array" ref="H619">F619/G619*100000</f>
        <v>132.938607528655</v>
      </c>
    </row>
    <row r="620" ht="13" customHeight="1">
      <c r="A620" s="8">
        <v>9</v>
      </c>
      <c r="B620" t="s" s="9">
        <v>36</v>
      </c>
      <c r="C620" t="s" s="9">
        <v>62</v>
      </c>
      <c r="D620" t="s" s="9">
        <v>49</v>
      </c>
      <c r="E620" t="s" s="9">
        <v>33</v>
      </c>
      <c r="F620" s="10">
        <v>8475</v>
      </c>
      <c r="G620" s="10">
        <v>6397690</v>
      </c>
      <c r="H620" s="11" cm="1">
        <f t="array" ref="H620">F620/G620*100000</f>
        <v>132.469688278113</v>
      </c>
    </row>
    <row r="621" ht="13" customHeight="1">
      <c r="A621" s="8">
        <v>10</v>
      </c>
      <c r="B621" t="s" s="9">
        <v>36</v>
      </c>
      <c r="C621" t="s" s="9">
        <v>62</v>
      </c>
      <c r="D621" t="s" s="9">
        <v>49</v>
      </c>
      <c r="E621" t="s" s="9">
        <v>33</v>
      </c>
      <c r="F621" s="10">
        <v>9060</v>
      </c>
      <c r="G621" s="10">
        <v>6397690</v>
      </c>
      <c r="H621" s="11" cm="1">
        <f t="array" ref="H621">F621/G621*100000</f>
        <v>141.613613663682</v>
      </c>
    </row>
    <row r="622" ht="13.65" customHeight="1">
      <c r="A622" s="8">
        <v>1</v>
      </c>
      <c r="B622" t="s" s="9">
        <v>30</v>
      </c>
      <c r="C622" t="s" s="9">
        <v>62</v>
      </c>
      <c r="D622" t="s" s="9">
        <v>51</v>
      </c>
      <c r="E622" t="s" s="9">
        <v>33</v>
      </c>
      <c r="F622" s="10">
        <v>23760</v>
      </c>
      <c r="G622" s="12"/>
      <c r="H622" s="13"/>
    </row>
    <row r="623" ht="13.65" customHeight="1">
      <c r="A623" s="8">
        <v>2</v>
      </c>
      <c r="B623" t="s" s="9">
        <v>34</v>
      </c>
      <c r="C623" t="s" s="9">
        <v>62</v>
      </c>
      <c r="D623" t="s" s="9">
        <v>51</v>
      </c>
      <c r="E623" t="s" s="9">
        <v>33</v>
      </c>
      <c r="F623" s="10">
        <v>13695</v>
      </c>
      <c r="G623" s="14"/>
      <c r="H623" s="15"/>
    </row>
    <row r="624" ht="13.65" customHeight="1">
      <c r="A624" s="8">
        <v>3</v>
      </c>
      <c r="B624" t="s" s="9">
        <v>35</v>
      </c>
      <c r="C624" t="s" s="9">
        <v>62</v>
      </c>
      <c r="D624" t="s" s="9">
        <v>51</v>
      </c>
      <c r="E624" t="s" s="9">
        <v>33</v>
      </c>
      <c r="F624" s="10">
        <v>14040</v>
      </c>
      <c r="G624" s="14"/>
      <c r="H624" s="15"/>
    </row>
    <row r="625" ht="13.65" customHeight="1">
      <c r="A625" s="8">
        <v>4</v>
      </c>
      <c r="B625" t="s" s="9">
        <v>30</v>
      </c>
      <c r="C625" t="s" s="9">
        <v>62</v>
      </c>
      <c r="D625" t="s" s="9">
        <v>51</v>
      </c>
      <c r="E625" t="s" s="9">
        <v>33</v>
      </c>
      <c r="F625" s="10">
        <v>10425</v>
      </c>
      <c r="G625" s="14"/>
      <c r="H625" s="15"/>
    </row>
    <row r="626" ht="13.65" customHeight="1">
      <c r="A626" s="8">
        <v>5</v>
      </c>
      <c r="B626" t="s" s="9">
        <v>39</v>
      </c>
      <c r="C626" t="s" s="9">
        <v>62</v>
      </c>
      <c r="D626" t="s" s="9">
        <v>51</v>
      </c>
      <c r="E626" t="s" s="9">
        <v>33</v>
      </c>
      <c r="F626" s="10">
        <v>4245</v>
      </c>
      <c r="G626" s="14"/>
      <c r="H626" s="15"/>
    </row>
    <row r="627" ht="13.65" customHeight="1">
      <c r="A627" s="8">
        <v>6</v>
      </c>
      <c r="B627" t="s" s="9">
        <v>30</v>
      </c>
      <c r="C627" t="s" s="9">
        <v>62</v>
      </c>
      <c r="D627" t="s" s="9">
        <v>51</v>
      </c>
      <c r="E627" t="s" s="9">
        <v>33</v>
      </c>
      <c r="F627" s="10">
        <v>7530</v>
      </c>
      <c r="G627" s="14"/>
      <c r="H627" s="15"/>
    </row>
    <row r="628" ht="13.65" customHeight="1">
      <c r="A628" s="8">
        <v>7</v>
      </c>
      <c r="B628" t="s" s="9">
        <v>37</v>
      </c>
      <c r="C628" t="s" s="9">
        <v>62</v>
      </c>
      <c r="D628" t="s" s="9">
        <v>51</v>
      </c>
      <c r="E628" t="s" s="9">
        <v>33</v>
      </c>
      <c r="F628" s="10">
        <v>4035</v>
      </c>
      <c r="G628" s="14"/>
      <c r="H628" s="15"/>
    </row>
    <row r="629" ht="13.65" customHeight="1">
      <c r="A629" s="8">
        <v>8</v>
      </c>
      <c r="B629" t="s" s="9">
        <v>35</v>
      </c>
      <c r="C629" t="s" s="9">
        <v>62</v>
      </c>
      <c r="D629" t="s" s="9">
        <v>51</v>
      </c>
      <c r="E629" t="s" s="9">
        <v>33</v>
      </c>
      <c r="F629" s="10">
        <v>6240</v>
      </c>
      <c r="G629" s="14"/>
      <c r="H629" s="15"/>
    </row>
    <row r="630" ht="13.65" customHeight="1">
      <c r="A630" s="8">
        <v>9</v>
      </c>
      <c r="B630" t="s" s="9">
        <v>41</v>
      </c>
      <c r="C630" t="s" s="9">
        <v>62</v>
      </c>
      <c r="D630" t="s" s="9">
        <v>51</v>
      </c>
      <c r="E630" t="s" s="9">
        <v>33</v>
      </c>
      <c r="F630" s="10">
        <v>3495</v>
      </c>
      <c r="G630" s="14"/>
      <c r="H630" s="15"/>
    </row>
    <row r="631" ht="13.65" customHeight="1">
      <c r="A631" s="8">
        <v>10</v>
      </c>
      <c r="B631" t="s" s="9">
        <v>36</v>
      </c>
      <c r="C631" t="s" s="9">
        <v>62</v>
      </c>
      <c r="D631" t="s" s="9">
        <v>51</v>
      </c>
      <c r="E631" t="s" s="9">
        <v>33</v>
      </c>
      <c r="F631" s="10">
        <v>3270</v>
      </c>
      <c r="G631" s="14"/>
      <c r="H631" s="15"/>
    </row>
    <row r="632" ht="13.65" customHeight="1">
      <c r="A632" s="8">
        <v>1</v>
      </c>
      <c r="B632" t="s" s="9">
        <v>35</v>
      </c>
      <c r="C632" t="s" s="9">
        <v>62</v>
      </c>
      <c r="D632" t="s" s="9">
        <v>52</v>
      </c>
      <c r="E632" t="s" s="9">
        <v>33</v>
      </c>
      <c r="F632" s="10">
        <v>91470</v>
      </c>
      <c r="G632" s="14"/>
      <c r="H632" s="15"/>
    </row>
    <row r="633" ht="13.65" customHeight="1">
      <c r="A633" s="8">
        <v>2</v>
      </c>
      <c r="B633" t="s" s="9">
        <v>30</v>
      </c>
      <c r="C633" t="s" s="9">
        <v>62</v>
      </c>
      <c r="D633" t="s" s="9">
        <v>52</v>
      </c>
      <c r="E633" t="s" s="9">
        <v>33</v>
      </c>
      <c r="F633" s="10">
        <v>43620</v>
      </c>
      <c r="G633" s="14"/>
      <c r="H633" s="15"/>
    </row>
    <row r="634" ht="13.65" customHeight="1">
      <c r="A634" s="8">
        <v>3</v>
      </c>
      <c r="B634" t="s" s="9">
        <v>34</v>
      </c>
      <c r="C634" t="s" s="9">
        <v>62</v>
      </c>
      <c r="D634" t="s" s="9">
        <v>52</v>
      </c>
      <c r="E634" t="s" s="9">
        <v>33</v>
      </c>
      <c r="F634" s="10">
        <v>33990</v>
      </c>
      <c r="G634" s="14"/>
      <c r="H634" s="15"/>
    </row>
    <row r="635" ht="13.65" customHeight="1">
      <c r="A635" s="8">
        <v>4</v>
      </c>
      <c r="B635" t="s" s="9">
        <v>30</v>
      </c>
      <c r="C635" t="s" s="9">
        <v>62</v>
      </c>
      <c r="D635" t="s" s="9">
        <v>52</v>
      </c>
      <c r="E635" t="s" s="9">
        <v>33</v>
      </c>
      <c r="F635" s="10">
        <v>18540</v>
      </c>
      <c r="G635" s="14"/>
      <c r="H635" s="15"/>
    </row>
    <row r="636" ht="13.65" customHeight="1">
      <c r="A636" s="8">
        <v>5</v>
      </c>
      <c r="B636" t="s" s="9">
        <v>36</v>
      </c>
      <c r="C636" t="s" s="9">
        <v>62</v>
      </c>
      <c r="D636" t="s" s="9">
        <v>52</v>
      </c>
      <c r="E636" t="s" s="9">
        <v>33</v>
      </c>
      <c r="F636" s="10">
        <v>15795</v>
      </c>
      <c r="G636" s="14"/>
      <c r="H636" s="15"/>
    </row>
    <row r="637" ht="13.65" customHeight="1">
      <c r="A637" s="8">
        <v>6</v>
      </c>
      <c r="B637" t="s" s="9">
        <v>35</v>
      </c>
      <c r="C637" t="s" s="9">
        <v>62</v>
      </c>
      <c r="D637" t="s" s="9">
        <v>52</v>
      </c>
      <c r="E637" t="s" s="9">
        <v>33</v>
      </c>
      <c r="F637" s="10">
        <v>16440</v>
      </c>
      <c r="G637" s="14"/>
      <c r="H637" s="15"/>
    </row>
    <row r="638" ht="13.65" customHeight="1">
      <c r="A638" s="8">
        <v>7</v>
      </c>
      <c r="B638" t="s" s="9">
        <v>39</v>
      </c>
      <c r="C638" t="s" s="9">
        <v>62</v>
      </c>
      <c r="D638" t="s" s="9">
        <v>52</v>
      </c>
      <c r="E638" t="s" s="9">
        <v>33</v>
      </c>
      <c r="F638" s="10">
        <v>5580</v>
      </c>
      <c r="G638" s="14"/>
      <c r="H638" s="15"/>
    </row>
    <row r="639" ht="13.65" customHeight="1">
      <c r="A639" s="8">
        <v>8</v>
      </c>
      <c r="B639" t="s" s="9">
        <v>37</v>
      </c>
      <c r="C639" t="s" s="9">
        <v>62</v>
      </c>
      <c r="D639" t="s" s="9">
        <v>52</v>
      </c>
      <c r="E639" t="s" s="9">
        <v>33</v>
      </c>
      <c r="F639" s="10">
        <v>5910</v>
      </c>
      <c r="G639" s="14"/>
      <c r="H639" s="15"/>
    </row>
    <row r="640" ht="13.65" customHeight="1">
      <c r="A640" s="8">
        <v>9</v>
      </c>
      <c r="B640" t="s" s="9">
        <v>30</v>
      </c>
      <c r="C640" t="s" s="9">
        <v>62</v>
      </c>
      <c r="D640" t="s" s="9">
        <v>52</v>
      </c>
      <c r="E640" t="s" s="9">
        <v>33</v>
      </c>
      <c r="F640" s="10">
        <v>6225</v>
      </c>
      <c r="G640" s="14"/>
      <c r="H640" s="15"/>
    </row>
    <row r="641" ht="13.65" customHeight="1">
      <c r="A641" s="8">
        <v>10</v>
      </c>
      <c r="B641" t="s" s="9">
        <v>45</v>
      </c>
      <c r="C641" t="s" s="9">
        <v>62</v>
      </c>
      <c r="D641" t="s" s="9">
        <v>52</v>
      </c>
      <c r="E641" t="s" s="9">
        <v>33</v>
      </c>
      <c r="F641" s="10">
        <v>6555</v>
      </c>
      <c r="G641" s="16"/>
      <c r="H641" s="17"/>
    </row>
    <row r="642" ht="13" customHeight="1">
      <c r="A642" s="8">
        <v>1</v>
      </c>
      <c r="B642" t="s" s="9">
        <v>30</v>
      </c>
      <c r="C642" t="s" s="9">
        <v>62</v>
      </c>
      <c r="D642" t="s" s="9">
        <v>53</v>
      </c>
      <c r="E642" t="s" s="9">
        <v>33</v>
      </c>
      <c r="F642" s="10">
        <v>4800</v>
      </c>
      <c r="G642" s="10">
        <v>5049226</v>
      </c>
      <c r="H642" s="11" cm="1">
        <f t="array" ref="H642">F642/G642*100000</f>
        <v>95.06407516716421</v>
      </c>
    </row>
    <row r="643" ht="13" customHeight="1">
      <c r="A643" s="8">
        <v>2</v>
      </c>
      <c r="B643" t="s" s="9">
        <v>34</v>
      </c>
      <c r="C643" t="s" s="9">
        <v>62</v>
      </c>
      <c r="D643" t="s" s="9">
        <v>53</v>
      </c>
      <c r="E643" t="s" s="9">
        <v>33</v>
      </c>
      <c r="F643" s="10">
        <v>2490</v>
      </c>
      <c r="G643" s="10">
        <v>5049226</v>
      </c>
      <c r="H643" s="11" cm="1">
        <f t="array" ref="H643">F643/G643*100000</f>
        <v>49.3144889929664</v>
      </c>
    </row>
    <row r="644" ht="13" customHeight="1">
      <c r="A644" s="8">
        <v>3</v>
      </c>
      <c r="B644" t="s" s="9">
        <v>30</v>
      </c>
      <c r="C644" t="s" s="9">
        <v>62</v>
      </c>
      <c r="D644" t="s" s="9">
        <v>53</v>
      </c>
      <c r="E644" t="s" s="9">
        <v>33</v>
      </c>
      <c r="F644" s="10">
        <v>1965</v>
      </c>
      <c r="G644" s="10">
        <v>5049226</v>
      </c>
      <c r="H644" s="11" cm="1">
        <f t="array" ref="H644">F644/G644*100000</f>
        <v>38.9168557715579</v>
      </c>
    </row>
    <row r="645" ht="13" customHeight="1">
      <c r="A645" s="8">
        <v>4</v>
      </c>
      <c r="B645" t="s" s="9">
        <v>36</v>
      </c>
      <c r="C645" t="s" s="9">
        <v>62</v>
      </c>
      <c r="D645" t="s" s="9">
        <v>53</v>
      </c>
      <c r="E645" t="s" s="9">
        <v>33</v>
      </c>
      <c r="F645" s="10">
        <v>1230</v>
      </c>
      <c r="G645" s="10">
        <v>5049226</v>
      </c>
      <c r="H645" s="11" cm="1">
        <f t="array" ref="H645">F645/G645*100000</f>
        <v>24.3601692615858</v>
      </c>
    </row>
    <row r="646" ht="13" customHeight="1">
      <c r="A646" s="8">
        <v>5</v>
      </c>
      <c r="B646" t="s" s="9">
        <v>30</v>
      </c>
      <c r="C646" t="s" s="9">
        <v>62</v>
      </c>
      <c r="D646" t="s" s="9">
        <v>53</v>
      </c>
      <c r="E646" t="s" s="9">
        <v>33</v>
      </c>
      <c r="F646" s="10">
        <v>1005</v>
      </c>
      <c r="G646" s="10">
        <v>5049226</v>
      </c>
      <c r="H646" s="11" cm="1">
        <f t="array" ref="H646">F646/G646*100000</f>
        <v>19.904040738125</v>
      </c>
    </row>
    <row r="647" ht="13" customHeight="1">
      <c r="A647" s="8">
        <v>6</v>
      </c>
      <c r="B647" t="s" s="9">
        <v>59</v>
      </c>
      <c r="C647" t="s" s="9">
        <v>62</v>
      </c>
      <c r="D647" t="s" s="9">
        <v>53</v>
      </c>
      <c r="E647" t="s" s="9">
        <v>33</v>
      </c>
      <c r="F647" s="10">
        <v>630</v>
      </c>
      <c r="G647" s="10">
        <v>5049226</v>
      </c>
      <c r="H647" s="11" cm="1">
        <f t="array" ref="H647">F647/G647*100000</f>
        <v>12.4771598656903</v>
      </c>
    </row>
    <row r="648" ht="13" customHeight="1">
      <c r="A648" s="8">
        <v>7</v>
      </c>
      <c r="B648" t="s" s="9">
        <v>35</v>
      </c>
      <c r="C648" t="s" s="9">
        <v>62</v>
      </c>
      <c r="D648" t="s" s="9">
        <v>53</v>
      </c>
      <c r="E648" t="s" s="9">
        <v>33</v>
      </c>
      <c r="F648" s="10">
        <v>855</v>
      </c>
      <c r="G648" s="10">
        <v>5049226</v>
      </c>
      <c r="H648" s="11" cm="1">
        <f t="array" ref="H648">F648/G648*100000</f>
        <v>16.9332883891511</v>
      </c>
    </row>
    <row r="649" ht="13" customHeight="1">
      <c r="A649" s="8">
        <v>8</v>
      </c>
      <c r="B649" t="s" s="9">
        <v>37</v>
      </c>
      <c r="C649" t="s" s="9">
        <v>62</v>
      </c>
      <c r="D649" t="s" s="9">
        <v>53</v>
      </c>
      <c r="E649" t="s" s="9">
        <v>33</v>
      </c>
      <c r="F649" s="10">
        <v>330</v>
      </c>
      <c r="G649" s="10">
        <v>5049226</v>
      </c>
      <c r="H649" s="11" cm="1">
        <f t="array" ref="H649">F649/G649*100000</f>
        <v>6.53565516774254</v>
      </c>
    </row>
    <row r="650" ht="13" customHeight="1">
      <c r="A650" s="8">
        <v>9</v>
      </c>
      <c r="B650" t="s" s="9">
        <v>59</v>
      </c>
      <c r="C650" t="s" s="9">
        <v>62</v>
      </c>
      <c r="D650" t="s" s="9">
        <v>53</v>
      </c>
      <c r="E650" t="s" s="9">
        <v>33</v>
      </c>
      <c r="F650" s="10">
        <v>345</v>
      </c>
      <c r="G650" s="10">
        <v>5049226</v>
      </c>
      <c r="H650" s="11" cm="1">
        <f t="array" ref="H650">F650/G650*100000</f>
        <v>6.83273040263993</v>
      </c>
    </row>
    <row r="651" ht="13" customHeight="1">
      <c r="A651" s="8">
        <v>9</v>
      </c>
      <c r="B651" t="s" s="9">
        <v>30</v>
      </c>
      <c r="C651" t="s" s="9">
        <v>62</v>
      </c>
      <c r="D651" t="s" s="9">
        <v>53</v>
      </c>
      <c r="E651" t="s" s="9">
        <v>33</v>
      </c>
      <c r="F651" s="10">
        <v>525</v>
      </c>
      <c r="G651" s="10">
        <v>5049226</v>
      </c>
      <c r="H651" s="11" cm="1">
        <f t="array" ref="H651">F651/G651*100000</f>
        <v>10.3976332214086</v>
      </c>
    </row>
    <row r="652" ht="13" customHeight="1">
      <c r="A652" s="8">
        <v>10</v>
      </c>
      <c r="B652" t="s" s="9">
        <v>36</v>
      </c>
      <c r="C652" t="s" s="9">
        <v>62</v>
      </c>
      <c r="D652" t="s" s="9">
        <v>53</v>
      </c>
      <c r="E652" t="s" s="9">
        <v>33</v>
      </c>
      <c r="F652" s="10">
        <v>420</v>
      </c>
      <c r="G652" s="10">
        <v>5049226</v>
      </c>
      <c r="H652" s="11" cm="1">
        <f t="array" ref="H652">F652/G652*100000</f>
        <v>8.318106577126869</v>
      </c>
    </row>
    <row r="653" ht="13" customHeight="1">
      <c r="A653" s="8">
        <v>1</v>
      </c>
      <c r="B653" t="s" s="9">
        <v>30</v>
      </c>
      <c r="C653" t="s" s="9">
        <v>62</v>
      </c>
      <c r="D653" t="s" s="9">
        <v>54</v>
      </c>
      <c r="E653" t="s" s="9">
        <v>33</v>
      </c>
      <c r="F653" s="10">
        <v>17130</v>
      </c>
      <c r="G653" s="10">
        <v>3901529</v>
      </c>
      <c r="H653" s="11" cm="1">
        <f t="array" ref="H653">F653/G653*100000</f>
        <v>439.058635729736</v>
      </c>
    </row>
    <row r="654" ht="13" customHeight="1">
      <c r="A654" s="8">
        <v>2</v>
      </c>
      <c r="B654" t="s" s="9">
        <v>34</v>
      </c>
      <c r="C654" t="s" s="9">
        <v>62</v>
      </c>
      <c r="D654" t="s" s="9">
        <v>54</v>
      </c>
      <c r="E654" t="s" s="9">
        <v>33</v>
      </c>
      <c r="F654" s="10">
        <v>7530</v>
      </c>
      <c r="G654" s="10">
        <v>3901529</v>
      </c>
      <c r="H654" s="11" cm="1">
        <f t="array" ref="H654">F654/G654*100000</f>
        <v>193.001256686802</v>
      </c>
    </row>
    <row r="655" ht="13" customHeight="1">
      <c r="A655" s="8">
        <v>3</v>
      </c>
      <c r="B655" t="s" s="9">
        <v>35</v>
      </c>
      <c r="C655" t="s" s="9">
        <v>62</v>
      </c>
      <c r="D655" t="s" s="9">
        <v>54</v>
      </c>
      <c r="E655" t="s" s="9">
        <v>33</v>
      </c>
      <c r="F655" s="10">
        <v>7590</v>
      </c>
      <c r="G655" s="10">
        <v>3901529</v>
      </c>
      <c r="H655" s="11" cm="1">
        <f t="array" ref="H655">F655/G655*100000</f>
        <v>194.539115305820</v>
      </c>
    </row>
    <row r="656" ht="13" customHeight="1">
      <c r="A656" s="8">
        <v>4</v>
      </c>
      <c r="B656" t="s" s="9">
        <v>41</v>
      </c>
      <c r="C656" t="s" s="9">
        <v>62</v>
      </c>
      <c r="D656" t="s" s="9">
        <v>54</v>
      </c>
      <c r="E656" t="s" s="9">
        <v>33</v>
      </c>
      <c r="F656" s="10">
        <v>5355</v>
      </c>
      <c r="G656" s="10">
        <v>3901529</v>
      </c>
      <c r="H656" s="11" cm="1">
        <f t="array" ref="H656">F656/G656*100000</f>
        <v>137.253881747387</v>
      </c>
    </row>
    <row r="657" ht="13" customHeight="1">
      <c r="A657" s="8">
        <v>5</v>
      </c>
      <c r="B657" t="s" s="9">
        <v>30</v>
      </c>
      <c r="C657" t="s" s="9">
        <v>62</v>
      </c>
      <c r="D657" t="s" s="9">
        <v>54</v>
      </c>
      <c r="E657" t="s" s="9">
        <v>33</v>
      </c>
      <c r="F657" s="10">
        <v>4830</v>
      </c>
      <c r="G657" s="10">
        <v>3901529</v>
      </c>
      <c r="H657" s="11" cm="1">
        <f t="array" ref="H657">F657/G657*100000</f>
        <v>123.797618830976</v>
      </c>
    </row>
    <row r="658" ht="13" customHeight="1">
      <c r="A658" s="8">
        <v>6</v>
      </c>
      <c r="B658" t="s" s="9">
        <v>35</v>
      </c>
      <c r="C658" t="s" s="9">
        <v>62</v>
      </c>
      <c r="D658" t="s" s="9">
        <v>54</v>
      </c>
      <c r="E658" t="s" s="9">
        <v>33</v>
      </c>
      <c r="F658" s="10">
        <v>5130</v>
      </c>
      <c r="G658" s="10">
        <v>3901529</v>
      </c>
      <c r="H658" s="11" cm="1">
        <f t="array" ref="H658">F658/G658*100000</f>
        <v>131.486911926068</v>
      </c>
    </row>
    <row r="659" ht="13" customHeight="1">
      <c r="A659" s="8">
        <v>7</v>
      </c>
      <c r="B659" t="s" s="9">
        <v>41</v>
      </c>
      <c r="C659" t="s" s="9">
        <v>62</v>
      </c>
      <c r="D659" t="s" s="9">
        <v>54</v>
      </c>
      <c r="E659" t="s" s="9">
        <v>33</v>
      </c>
      <c r="F659" s="10">
        <v>3870</v>
      </c>
      <c r="G659" s="10">
        <v>3901529</v>
      </c>
      <c r="H659" s="11" cm="1">
        <f t="array" ref="H659">F659/G659*100000</f>
        <v>99.1918809266828</v>
      </c>
    </row>
    <row r="660" ht="13" customHeight="1">
      <c r="A660" s="8">
        <v>8</v>
      </c>
      <c r="B660" t="s" s="9">
        <v>45</v>
      </c>
      <c r="C660" t="s" s="9">
        <v>62</v>
      </c>
      <c r="D660" t="s" s="9">
        <v>54</v>
      </c>
      <c r="E660" t="s" s="9">
        <v>33</v>
      </c>
      <c r="F660" s="10">
        <v>3750</v>
      </c>
      <c r="G660" s="10">
        <v>3901529</v>
      </c>
      <c r="H660" s="11" cm="1">
        <f t="array" ref="H660">F660/G660*100000</f>
        <v>96.1161636886462</v>
      </c>
    </row>
    <row r="661" ht="13" customHeight="1">
      <c r="A661" s="8">
        <v>9</v>
      </c>
      <c r="B661" t="s" s="9">
        <v>45</v>
      </c>
      <c r="C661" t="s" s="9">
        <v>62</v>
      </c>
      <c r="D661" t="s" s="9">
        <v>54</v>
      </c>
      <c r="E661" t="s" s="9">
        <v>33</v>
      </c>
      <c r="F661" s="10">
        <v>3720</v>
      </c>
      <c r="G661" s="10">
        <v>3901529</v>
      </c>
      <c r="H661" s="11" cm="1">
        <f t="array" ref="H661">F661/G661*100000</f>
        <v>95.34723437913701</v>
      </c>
    </row>
    <row r="662" ht="13" customHeight="1">
      <c r="A662" s="8">
        <v>10</v>
      </c>
      <c r="B662" t="s" s="9">
        <v>39</v>
      </c>
      <c r="C662" t="s" s="9">
        <v>62</v>
      </c>
      <c r="D662" t="s" s="9">
        <v>54</v>
      </c>
      <c r="E662" t="s" s="9">
        <v>33</v>
      </c>
      <c r="F662" s="10">
        <v>2100</v>
      </c>
      <c r="G662" s="10">
        <v>3901529</v>
      </c>
      <c r="H662" s="11" cm="1">
        <f t="array" ref="H662">F662/G662*100000</f>
        <v>53.8250516656419</v>
      </c>
    </row>
    <row r="663" ht="13" customHeight="1">
      <c r="A663" s="8">
        <v>1</v>
      </c>
      <c r="B663" t="s" s="9">
        <v>30</v>
      </c>
      <c r="C663" t="s" s="9">
        <v>62</v>
      </c>
      <c r="D663" t="s" s="9">
        <v>55</v>
      </c>
      <c r="E663" t="s" s="9">
        <v>33</v>
      </c>
      <c r="F663" s="10">
        <v>43710</v>
      </c>
      <c r="G663" s="10">
        <v>5273604</v>
      </c>
      <c r="H663" s="11" cm="1">
        <f t="array" ref="H663">F663/G663*100000</f>
        <v>828.844941713485</v>
      </c>
    </row>
    <row r="664" ht="13" customHeight="1">
      <c r="A664" s="8">
        <v>2</v>
      </c>
      <c r="B664" t="s" s="9">
        <v>35</v>
      </c>
      <c r="C664" t="s" s="9">
        <v>62</v>
      </c>
      <c r="D664" t="s" s="9">
        <v>55</v>
      </c>
      <c r="E664" t="s" s="9">
        <v>33</v>
      </c>
      <c r="F664" s="10">
        <v>39630</v>
      </c>
      <c r="G664" s="10">
        <v>5273604</v>
      </c>
      <c r="H664" s="11" cm="1">
        <f t="array" ref="H664">F664/G664*100000</f>
        <v>751.478495541190</v>
      </c>
    </row>
    <row r="665" ht="13" customHeight="1">
      <c r="A665" s="8">
        <v>3</v>
      </c>
      <c r="B665" t="s" s="9">
        <v>34</v>
      </c>
      <c r="C665" t="s" s="9">
        <v>62</v>
      </c>
      <c r="D665" t="s" s="9">
        <v>55</v>
      </c>
      <c r="E665" t="s" s="9">
        <v>33</v>
      </c>
      <c r="F665" s="10">
        <v>17370</v>
      </c>
      <c r="G665" s="10">
        <v>5273604</v>
      </c>
      <c r="H665" s="11" cm="1">
        <f t="array" ref="H665">F665/G665*100000</f>
        <v>329.376267159992</v>
      </c>
    </row>
    <row r="666" ht="13" customHeight="1">
      <c r="A666" s="8">
        <v>4</v>
      </c>
      <c r="B666" t="s" s="9">
        <v>35</v>
      </c>
      <c r="C666" t="s" s="9">
        <v>62</v>
      </c>
      <c r="D666" t="s" s="9">
        <v>55</v>
      </c>
      <c r="E666" t="s" s="9">
        <v>33</v>
      </c>
      <c r="F666" s="10">
        <v>16470</v>
      </c>
      <c r="G666" s="10">
        <v>5273604</v>
      </c>
      <c r="H666" s="11" cm="1">
        <f t="array" ref="H666">F666/G666*100000</f>
        <v>312.310139327868</v>
      </c>
    </row>
    <row r="667" ht="13" customHeight="1">
      <c r="A667" s="8">
        <v>5</v>
      </c>
      <c r="B667" t="s" s="9">
        <v>30</v>
      </c>
      <c r="C667" t="s" s="9">
        <v>62</v>
      </c>
      <c r="D667" t="s" s="9">
        <v>55</v>
      </c>
      <c r="E667" t="s" s="9">
        <v>33</v>
      </c>
      <c r="F667" s="10">
        <v>14190</v>
      </c>
      <c r="G667" s="10">
        <v>5273604</v>
      </c>
      <c r="H667" s="11" cm="1">
        <f t="array" ref="H667">F667/G667*100000</f>
        <v>269.075948819820</v>
      </c>
    </row>
    <row r="668" ht="13" customHeight="1">
      <c r="A668" s="8">
        <v>6</v>
      </c>
      <c r="B668" t="s" s="9">
        <v>39</v>
      </c>
      <c r="C668" t="s" s="9">
        <v>62</v>
      </c>
      <c r="D668" t="s" s="9">
        <v>55</v>
      </c>
      <c r="E668" t="s" s="9">
        <v>33</v>
      </c>
      <c r="F668" s="10">
        <v>9045</v>
      </c>
      <c r="G668" s="10">
        <v>5273604</v>
      </c>
      <c r="H668" s="11" cm="1">
        <f t="array" ref="H668">F668/G668*100000</f>
        <v>171.514584712845</v>
      </c>
    </row>
    <row r="669" ht="13" customHeight="1">
      <c r="A669" s="8">
        <v>7</v>
      </c>
      <c r="B669" t="s" s="9">
        <v>41</v>
      </c>
      <c r="C669" t="s" s="9">
        <v>62</v>
      </c>
      <c r="D669" t="s" s="9">
        <v>55</v>
      </c>
      <c r="E669" t="s" s="9">
        <v>33</v>
      </c>
      <c r="F669" s="10">
        <v>7710</v>
      </c>
      <c r="G669" s="10">
        <v>5273604</v>
      </c>
      <c r="H669" s="11" cm="1">
        <f t="array" ref="H669">F669/G669*100000</f>
        <v>146.199828428528</v>
      </c>
    </row>
    <row r="670" ht="13" customHeight="1">
      <c r="A670" s="8">
        <v>8</v>
      </c>
      <c r="B670" t="s" s="9">
        <v>36</v>
      </c>
      <c r="C670" t="s" s="9">
        <v>62</v>
      </c>
      <c r="D670" t="s" s="9">
        <v>55</v>
      </c>
      <c r="E670" t="s" s="9">
        <v>33</v>
      </c>
      <c r="F670" s="10">
        <v>9420</v>
      </c>
      <c r="G670" s="10">
        <v>5273604</v>
      </c>
      <c r="H670" s="11" cm="1">
        <f t="array" ref="H670">F670/G670*100000</f>
        <v>178.625471309564</v>
      </c>
    </row>
    <row r="671" ht="13" customHeight="1">
      <c r="A671" s="8">
        <v>9</v>
      </c>
      <c r="B671" t="s" s="9">
        <v>36</v>
      </c>
      <c r="C671" t="s" s="9">
        <v>62</v>
      </c>
      <c r="D671" t="s" s="9">
        <v>55</v>
      </c>
      <c r="E671" t="s" s="9">
        <v>33</v>
      </c>
      <c r="F671" s="10">
        <v>8220</v>
      </c>
      <c r="G671" s="10">
        <v>5273604</v>
      </c>
      <c r="H671" s="11" cm="1">
        <f t="array" ref="H671">F671/G671*100000</f>
        <v>155.870634200065</v>
      </c>
    </row>
    <row r="672" ht="13" customHeight="1">
      <c r="A672" s="8">
        <v>10</v>
      </c>
      <c r="B672" t="s" s="9">
        <v>37</v>
      </c>
      <c r="C672" t="s" s="9">
        <v>62</v>
      </c>
      <c r="D672" t="s" s="9">
        <v>55</v>
      </c>
      <c r="E672" t="s" s="9">
        <v>33</v>
      </c>
      <c r="F672" s="10">
        <v>4140</v>
      </c>
      <c r="G672" s="10">
        <v>5273604</v>
      </c>
      <c r="H672" s="11" cm="1">
        <f t="array" ref="H672">F672/G672*100000</f>
        <v>78.504188027770</v>
      </c>
    </row>
    <row r="673" ht="13" customHeight="1">
      <c r="A673" s="8">
        <v>1</v>
      </c>
      <c r="B673" t="s" s="9">
        <v>34</v>
      </c>
      <c r="C673" t="s" s="9">
        <v>62</v>
      </c>
      <c r="D673" t="s" s="9">
        <v>56</v>
      </c>
      <c r="E673" t="s" s="9">
        <v>33</v>
      </c>
      <c r="F673" s="10">
        <v>27285</v>
      </c>
      <c r="G673" s="10">
        <v>5691183</v>
      </c>
      <c r="H673" s="11" cm="1">
        <f t="array" ref="H673">F673/G673*100000</f>
        <v>479.425806550237</v>
      </c>
    </row>
    <row r="674" ht="13" customHeight="1">
      <c r="A674" s="8">
        <v>2</v>
      </c>
      <c r="B674" t="s" s="9">
        <v>30</v>
      </c>
      <c r="C674" t="s" s="9">
        <v>62</v>
      </c>
      <c r="D674" t="s" s="9">
        <v>56</v>
      </c>
      <c r="E674" t="s" s="9">
        <v>33</v>
      </c>
      <c r="F674" s="10">
        <v>24123</v>
      </c>
      <c r="G674" s="10">
        <v>5691183</v>
      </c>
      <c r="H674" s="11" cm="1">
        <f t="array" ref="H674">F674/G674*100000</f>
        <v>423.866180370584</v>
      </c>
    </row>
    <row r="675" ht="13" customHeight="1">
      <c r="A675" s="8">
        <v>3</v>
      </c>
      <c r="B675" t="s" s="9">
        <v>35</v>
      </c>
      <c r="C675" t="s" s="9">
        <v>62</v>
      </c>
      <c r="D675" t="s" s="9">
        <v>56</v>
      </c>
      <c r="E675" t="s" s="9">
        <v>33</v>
      </c>
      <c r="F675" s="10">
        <v>20893</v>
      </c>
      <c r="G675" s="10">
        <v>5691183</v>
      </c>
      <c r="H675" s="11" cm="1">
        <f t="array" ref="H675">F675/G675*100000</f>
        <v>367.1117235204</v>
      </c>
    </row>
    <row r="676" ht="13" customHeight="1">
      <c r="A676" s="8">
        <v>4</v>
      </c>
      <c r="B676" t="s" s="9">
        <v>30</v>
      </c>
      <c r="C676" t="s" s="9">
        <v>62</v>
      </c>
      <c r="D676" t="s" s="9">
        <v>56</v>
      </c>
      <c r="E676" t="s" s="9">
        <v>33</v>
      </c>
      <c r="F676" s="10">
        <v>10999</v>
      </c>
      <c r="G676" s="10">
        <v>5691183</v>
      </c>
      <c r="H676" s="11" cm="1">
        <f t="array" ref="H676">F676/G676*100000</f>
        <v>193.263860958258</v>
      </c>
    </row>
    <row r="677" ht="13" customHeight="1">
      <c r="A677" s="8">
        <v>5</v>
      </c>
      <c r="B677" t="s" s="9">
        <v>37</v>
      </c>
      <c r="C677" t="s" s="9">
        <v>62</v>
      </c>
      <c r="D677" t="s" s="9">
        <v>56</v>
      </c>
      <c r="E677" t="s" s="9">
        <v>33</v>
      </c>
      <c r="F677" s="10">
        <v>8432</v>
      </c>
      <c r="G677" s="10">
        <v>5691183</v>
      </c>
      <c r="H677" s="11" cm="1">
        <f t="array" ref="H677">F677/G677*100000</f>
        <v>148.159003145743</v>
      </c>
    </row>
    <row r="678" ht="13" customHeight="1">
      <c r="A678" s="8">
        <v>6</v>
      </c>
      <c r="B678" t="s" s="9">
        <v>35</v>
      </c>
      <c r="C678" t="s" s="9">
        <v>62</v>
      </c>
      <c r="D678" t="s" s="9">
        <v>56</v>
      </c>
      <c r="E678" t="s" s="9">
        <v>33</v>
      </c>
      <c r="F678" s="10">
        <v>9724</v>
      </c>
      <c r="G678" s="10">
        <v>5691183</v>
      </c>
      <c r="H678" s="11" cm="1">
        <f t="array" ref="H678">F678/G678*100000</f>
        <v>170.860785885817</v>
      </c>
    </row>
    <row r="679" ht="13" customHeight="1">
      <c r="A679" s="8">
        <v>7</v>
      </c>
      <c r="B679" t="s" s="9">
        <v>39</v>
      </c>
      <c r="C679" t="s" s="9">
        <v>62</v>
      </c>
      <c r="D679" t="s" s="9">
        <v>56</v>
      </c>
      <c r="E679" t="s" s="9">
        <v>33</v>
      </c>
      <c r="F679" s="10">
        <v>5015</v>
      </c>
      <c r="G679" s="10">
        <v>5691183</v>
      </c>
      <c r="H679" s="11" cm="1">
        <f t="array" ref="H679">F679/G679*100000</f>
        <v>88.1187619516013</v>
      </c>
    </row>
    <row r="680" ht="13" customHeight="1">
      <c r="A680" s="8">
        <v>8</v>
      </c>
      <c r="B680" t="s" s="9">
        <v>30</v>
      </c>
      <c r="C680" t="s" s="9">
        <v>62</v>
      </c>
      <c r="D680" t="s" s="9">
        <v>56</v>
      </c>
      <c r="E680" t="s" s="9">
        <v>33</v>
      </c>
      <c r="F680" s="10">
        <v>4964</v>
      </c>
      <c r="G680" s="10">
        <v>5691183</v>
      </c>
      <c r="H680" s="11" cm="1">
        <f t="array" ref="H680">F680/G680*100000</f>
        <v>87.2226389487036</v>
      </c>
    </row>
    <row r="681" ht="13" customHeight="1">
      <c r="A681" s="8">
        <v>9</v>
      </c>
      <c r="B681" t="s" s="9">
        <v>36</v>
      </c>
      <c r="C681" t="s" s="9">
        <v>62</v>
      </c>
      <c r="D681" t="s" s="9">
        <v>56</v>
      </c>
      <c r="E681" t="s" s="9">
        <v>33</v>
      </c>
      <c r="F681" s="10">
        <v>3332</v>
      </c>
      <c r="G681" s="10">
        <v>5691183</v>
      </c>
      <c r="H681" s="11" cm="1">
        <f t="array" ref="H681">F681/G681*100000</f>
        <v>58.5467028559792</v>
      </c>
    </row>
    <row r="682" ht="13" customHeight="1">
      <c r="A682" s="8">
        <v>10</v>
      </c>
      <c r="B682" t="s" s="9">
        <v>41</v>
      </c>
      <c r="C682" t="s" s="9">
        <v>62</v>
      </c>
      <c r="D682" t="s" s="9">
        <v>56</v>
      </c>
      <c r="E682" t="s" s="9">
        <v>33</v>
      </c>
      <c r="F682" s="10">
        <v>2958</v>
      </c>
      <c r="G682" s="10">
        <v>5691183</v>
      </c>
      <c r="H682" s="11" cm="1">
        <f t="array" ref="H682">F682/G682*100000</f>
        <v>51.9751341680631</v>
      </c>
    </row>
    <row r="683" ht="13" customHeight="1">
      <c r="A683" s="8">
        <v>1</v>
      </c>
      <c r="B683" t="s" s="9">
        <v>35</v>
      </c>
      <c r="C683" t="s" s="9">
        <v>62</v>
      </c>
      <c r="D683" t="s" s="9">
        <v>57</v>
      </c>
      <c r="E683" t="s" s="9">
        <v>33</v>
      </c>
      <c r="F683" s="10">
        <v>12077</v>
      </c>
      <c r="G683" s="10">
        <v>5214931</v>
      </c>
      <c r="H683" s="11" cm="1">
        <f t="array" ref="H683">F683/G683*100000</f>
        <v>231.585039188438</v>
      </c>
    </row>
    <row r="684" ht="13" customHeight="1">
      <c r="A684" s="8">
        <v>2</v>
      </c>
      <c r="B684" t="s" s="9">
        <v>30</v>
      </c>
      <c r="C684" t="s" s="9">
        <v>62</v>
      </c>
      <c r="D684" t="s" s="9">
        <v>57</v>
      </c>
      <c r="E684" t="s" s="9">
        <v>33</v>
      </c>
      <c r="F684" s="10">
        <v>3666</v>
      </c>
      <c r="G684" s="10">
        <v>5214931</v>
      </c>
      <c r="H684" s="11" cm="1">
        <f t="array" ref="H684">F684/G684*100000</f>
        <v>70.2981496782987</v>
      </c>
    </row>
    <row r="685" ht="13" customHeight="1">
      <c r="A685" s="8">
        <v>3</v>
      </c>
      <c r="B685" t="s" s="9">
        <v>45</v>
      </c>
      <c r="C685" t="s" s="9">
        <v>62</v>
      </c>
      <c r="D685" t="s" s="9">
        <v>57</v>
      </c>
      <c r="E685" t="s" s="9">
        <v>33</v>
      </c>
      <c r="F685" s="10">
        <v>1131</v>
      </c>
      <c r="G685" s="10">
        <v>5214931</v>
      </c>
      <c r="H685" s="11" cm="1">
        <f t="array" ref="H685">F685/G685*100000</f>
        <v>21.6877270284113</v>
      </c>
    </row>
    <row r="686" ht="13" customHeight="1">
      <c r="A686" s="8">
        <v>4</v>
      </c>
      <c r="B686" t="s" s="9">
        <v>45</v>
      </c>
      <c r="C686" t="s" s="9">
        <v>62</v>
      </c>
      <c r="D686" t="s" s="9">
        <v>57</v>
      </c>
      <c r="E686" t="s" s="9">
        <v>33</v>
      </c>
      <c r="F686" s="10">
        <v>130</v>
      </c>
      <c r="G686" s="10">
        <v>5214931</v>
      </c>
      <c r="H686" s="11" cm="1">
        <f t="array" ref="H686">F686/G686*100000</f>
        <v>2.49284218717371</v>
      </c>
    </row>
    <row r="687" ht="13" customHeight="1">
      <c r="A687" s="8">
        <v>5</v>
      </c>
      <c r="B687" t="s" s="9">
        <v>30</v>
      </c>
      <c r="C687" t="s" s="9">
        <v>62</v>
      </c>
      <c r="D687" t="s" s="9">
        <v>57</v>
      </c>
      <c r="E687" t="s" s="9">
        <v>33</v>
      </c>
      <c r="F687" s="10">
        <v>13</v>
      </c>
      <c r="G687" s="10">
        <v>5214931</v>
      </c>
      <c r="H687" s="11" cm="1">
        <f t="array" ref="H687">F687/G687*100000</f>
        <v>0.249284218717371</v>
      </c>
    </row>
    <row r="688" ht="13" customHeight="1">
      <c r="A688" s="8">
        <v>6</v>
      </c>
      <c r="B688" t="s" s="9">
        <v>45</v>
      </c>
      <c r="C688" t="s" s="9">
        <v>62</v>
      </c>
      <c r="D688" t="s" s="9">
        <v>57</v>
      </c>
      <c r="E688" t="s" s="9">
        <v>33</v>
      </c>
      <c r="F688" s="10">
        <v>39</v>
      </c>
      <c r="G688" s="10">
        <v>5214931</v>
      </c>
      <c r="H688" s="11" cm="1">
        <f t="array" ref="H688">F688/G688*100000</f>
        <v>0.747852656152114</v>
      </c>
    </row>
    <row r="689" ht="13" customHeight="1">
      <c r="A689" s="8">
        <v>7</v>
      </c>
      <c r="B689" t="s" s="9">
        <v>48</v>
      </c>
      <c r="C689" t="s" s="9">
        <v>62</v>
      </c>
      <c r="D689" t="s" s="9">
        <v>57</v>
      </c>
      <c r="E689" t="s" s="9">
        <v>33</v>
      </c>
      <c r="F689" s="10">
        <v>0</v>
      </c>
      <c r="G689" s="10">
        <v>5214931</v>
      </c>
      <c r="H689" t="s" s="9">
        <v>50</v>
      </c>
    </row>
    <row r="690" ht="13" customHeight="1">
      <c r="A690" s="8">
        <v>8</v>
      </c>
      <c r="B690" t="s" s="9">
        <v>48</v>
      </c>
      <c r="C690" t="s" s="9">
        <v>62</v>
      </c>
      <c r="D690" t="s" s="9">
        <v>57</v>
      </c>
      <c r="E690" t="s" s="9">
        <v>33</v>
      </c>
      <c r="F690" s="10">
        <v>0</v>
      </c>
      <c r="G690" s="10">
        <v>5214931</v>
      </c>
      <c r="H690" t="s" s="9">
        <v>50</v>
      </c>
    </row>
    <row r="691" ht="13" customHeight="1">
      <c r="A691" s="8">
        <v>9</v>
      </c>
      <c r="B691" t="s" s="9">
        <v>48</v>
      </c>
      <c r="C691" t="s" s="9">
        <v>62</v>
      </c>
      <c r="D691" t="s" s="9">
        <v>57</v>
      </c>
      <c r="E691" t="s" s="9">
        <v>33</v>
      </c>
      <c r="F691" s="10">
        <v>0</v>
      </c>
      <c r="G691" s="10">
        <v>5214931</v>
      </c>
      <c r="H691" t="s" s="9">
        <v>50</v>
      </c>
    </row>
    <row r="692" ht="13" customHeight="1">
      <c r="A692" s="8">
        <v>10</v>
      </c>
      <c r="B692" t="s" s="9">
        <v>48</v>
      </c>
      <c r="C692" t="s" s="9">
        <v>62</v>
      </c>
      <c r="D692" t="s" s="9">
        <v>57</v>
      </c>
      <c r="E692" t="s" s="9">
        <v>33</v>
      </c>
      <c r="F692" s="10">
        <v>0</v>
      </c>
      <c r="G692" s="10">
        <v>5214931</v>
      </c>
      <c r="H692" t="s" s="9">
        <v>50</v>
      </c>
    </row>
    <row r="693" ht="13" customHeight="1">
      <c r="A693" s="8">
        <v>1</v>
      </c>
      <c r="B693" t="s" s="9">
        <v>35</v>
      </c>
      <c r="C693" t="s" s="9">
        <v>62</v>
      </c>
      <c r="D693" t="s" s="9">
        <v>20</v>
      </c>
      <c r="E693" t="s" s="9">
        <v>33</v>
      </c>
      <c r="F693" s="10">
        <v>3495</v>
      </c>
      <c r="G693" s="10">
        <v>2889689</v>
      </c>
      <c r="H693" s="11" cm="1">
        <f t="array" ref="H693">F693/G693*100000</f>
        <v>120.947271488385</v>
      </c>
    </row>
    <row r="694" ht="13" customHeight="1">
      <c r="A694" s="8">
        <v>2</v>
      </c>
      <c r="B694" t="s" s="9">
        <v>30</v>
      </c>
      <c r="C694" t="s" s="9">
        <v>62</v>
      </c>
      <c r="D694" t="s" s="9">
        <v>20</v>
      </c>
      <c r="E694" t="s" s="9">
        <v>33</v>
      </c>
      <c r="F694" s="10">
        <v>2685</v>
      </c>
      <c r="G694" s="10">
        <v>2889689</v>
      </c>
      <c r="H694" s="11" cm="1">
        <f t="array" ref="H694">F694/G694*100000</f>
        <v>92.9165733751971</v>
      </c>
    </row>
    <row r="695" ht="13" customHeight="1">
      <c r="A695" s="8">
        <v>3</v>
      </c>
      <c r="B695" t="s" s="9">
        <v>34</v>
      </c>
      <c r="C695" t="s" s="9">
        <v>62</v>
      </c>
      <c r="D695" t="s" s="9">
        <v>20</v>
      </c>
      <c r="E695" t="s" s="9">
        <v>33</v>
      </c>
      <c r="F695" s="10">
        <v>2310</v>
      </c>
      <c r="G695" s="10">
        <v>2889689</v>
      </c>
      <c r="H695" s="11" cm="1">
        <f t="array" ref="H695">F695/G695*100000</f>
        <v>79.9393983227953</v>
      </c>
    </row>
    <row r="696" ht="13" customHeight="1">
      <c r="A696" s="8">
        <v>4</v>
      </c>
      <c r="B696" t="s" s="9">
        <v>35</v>
      </c>
      <c r="C696" t="s" s="9">
        <v>62</v>
      </c>
      <c r="D696" t="s" s="9">
        <v>20</v>
      </c>
      <c r="E696" t="s" s="9">
        <v>33</v>
      </c>
      <c r="F696" s="10">
        <v>2475</v>
      </c>
      <c r="G696" s="10">
        <v>2889689</v>
      </c>
      <c r="H696" s="11" cm="1">
        <f t="array" ref="H696">F696/G696*100000</f>
        <v>85.6493553458521</v>
      </c>
    </row>
    <row r="697" ht="13" customHeight="1">
      <c r="A697" s="8">
        <v>5</v>
      </c>
      <c r="B697" t="s" s="9">
        <v>39</v>
      </c>
      <c r="C697" t="s" s="9">
        <v>62</v>
      </c>
      <c r="D697" t="s" s="9">
        <v>20</v>
      </c>
      <c r="E697" t="s" s="9">
        <v>33</v>
      </c>
      <c r="F697" s="10">
        <v>360</v>
      </c>
      <c r="G697" s="10">
        <v>2889689</v>
      </c>
      <c r="H697" s="11" cm="1">
        <f t="array" ref="H697">F697/G697*100000</f>
        <v>12.4580880503058</v>
      </c>
    </row>
    <row r="698" ht="13" customHeight="1">
      <c r="A698" s="8">
        <v>6</v>
      </c>
      <c r="B698" t="s" s="9">
        <v>30</v>
      </c>
      <c r="C698" t="s" s="9">
        <v>62</v>
      </c>
      <c r="D698" t="s" s="9">
        <v>20</v>
      </c>
      <c r="E698" t="s" s="9">
        <v>33</v>
      </c>
      <c r="F698" s="10">
        <v>1005</v>
      </c>
      <c r="G698" s="10">
        <v>2889689</v>
      </c>
      <c r="H698" s="11" cm="1">
        <f t="array" ref="H698">F698/G698*100000</f>
        <v>34.7788291404369</v>
      </c>
    </row>
    <row r="699" ht="13" customHeight="1">
      <c r="A699" s="8">
        <v>7</v>
      </c>
      <c r="B699" t="s" s="9">
        <v>41</v>
      </c>
      <c r="C699" t="s" s="9">
        <v>62</v>
      </c>
      <c r="D699" t="s" s="9">
        <v>20</v>
      </c>
      <c r="E699" t="s" s="9">
        <v>33</v>
      </c>
      <c r="F699" s="10">
        <v>945</v>
      </c>
      <c r="G699" s="10">
        <v>2889689</v>
      </c>
      <c r="H699" s="11" cm="1">
        <f t="array" ref="H699">F699/G699*100000</f>
        <v>32.7024811320526</v>
      </c>
    </row>
    <row r="700" ht="13" customHeight="1">
      <c r="A700" s="8">
        <v>8</v>
      </c>
      <c r="B700" t="s" s="9">
        <v>30</v>
      </c>
      <c r="C700" t="s" s="9">
        <v>62</v>
      </c>
      <c r="D700" t="s" s="9">
        <v>20</v>
      </c>
      <c r="E700" t="s" s="9">
        <v>33</v>
      </c>
      <c r="F700" s="10">
        <v>855</v>
      </c>
      <c r="G700" s="10">
        <v>2889689</v>
      </c>
      <c r="H700" s="11" cm="1">
        <f t="array" ref="H700">F700/G700*100000</f>
        <v>29.5879591194762</v>
      </c>
    </row>
    <row r="701" ht="13" customHeight="1">
      <c r="A701" s="8">
        <v>9</v>
      </c>
      <c r="B701" t="s" s="9">
        <v>36</v>
      </c>
      <c r="C701" t="s" s="9">
        <v>62</v>
      </c>
      <c r="D701" t="s" s="9">
        <v>20</v>
      </c>
      <c r="E701" t="s" s="9">
        <v>33</v>
      </c>
      <c r="F701" s="10">
        <v>630</v>
      </c>
      <c r="G701" s="10">
        <v>2889689</v>
      </c>
      <c r="H701" s="11" cm="1">
        <f t="array" ref="H701">F701/G701*100000</f>
        <v>21.8016540880351</v>
      </c>
    </row>
    <row r="702" ht="13" customHeight="1">
      <c r="A702" s="8">
        <v>10</v>
      </c>
      <c r="B702" t="s" s="9">
        <v>37</v>
      </c>
      <c r="C702" t="s" s="9">
        <v>62</v>
      </c>
      <c r="D702" t="s" s="9">
        <v>20</v>
      </c>
      <c r="E702" t="s" s="9">
        <v>33</v>
      </c>
      <c r="F702" s="10">
        <v>525</v>
      </c>
      <c r="G702" s="10">
        <v>2889689</v>
      </c>
      <c r="H702" s="11" cm="1">
        <f t="array" ref="H702">F702/G702*100000</f>
        <v>18.1680450733626</v>
      </c>
    </row>
    <row r="703" ht="13" customHeight="1">
      <c r="A703" s="8">
        <v>1</v>
      </c>
      <c r="B703" t="s" s="9">
        <v>30</v>
      </c>
      <c r="C703" t="s" s="9">
        <v>62</v>
      </c>
      <c r="D703" t="s" s="9">
        <v>21</v>
      </c>
      <c r="E703" t="s" s="9">
        <v>33</v>
      </c>
      <c r="F703" s="10">
        <v>14816</v>
      </c>
      <c r="G703" s="10">
        <v>4635519</v>
      </c>
      <c r="H703" s="11" cm="1">
        <f t="array" ref="H703">F703/G703*100000</f>
        <v>319.619011377151</v>
      </c>
    </row>
    <row r="704" ht="13" customHeight="1">
      <c r="A704" s="8">
        <v>2</v>
      </c>
      <c r="B704" t="s" s="9">
        <v>36</v>
      </c>
      <c r="C704" t="s" s="9">
        <v>62</v>
      </c>
      <c r="D704" t="s" s="9">
        <v>21</v>
      </c>
      <c r="E704" t="s" s="9">
        <v>33</v>
      </c>
      <c r="F704" s="10">
        <v>12032</v>
      </c>
      <c r="G704" s="10">
        <v>4635519</v>
      </c>
      <c r="H704" s="11" cm="1">
        <f t="array" ref="H704">F704/G704*100000</f>
        <v>259.561011399155</v>
      </c>
    </row>
    <row r="705" ht="13" customHeight="1">
      <c r="A705" s="8">
        <v>3</v>
      </c>
      <c r="B705" t="s" s="9">
        <v>45</v>
      </c>
      <c r="C705" t="s" s="9">
        <v>62</v>
      </c>
      <c r="D705" t="s" s="9">
        <v>21</v>
      </c>
      <c r="E705" t="s" s="9">
        <v>33</v>
      </c>
      <c r="F705" s="10">
        <v>5120</v>
      </c>
      <c r="G705" s="10">
        <v>4635519</v>
      </c>
      <c r="H705" s="11" cm="1">
        <f t="array" ref="H705">F705/G705*100000</f>
        <v>110.451494212406</v>
      </c>
    </row>
    <row r="706" ht="13" customHeight="1">
      <c r="A706" s="8">
        <v>4</v>
      </c>
      <c r="B706" t="s" s="9">
        <v>34</v>
      </c>
      <c r="C706" t="s" s="9">
        <v>62</v>
      </c>
      <c r="D706" t="s" s="9">
        <v>21</v>
      </c>
      <c r="E706" t="s" s="9">
        <v>33</v>
      </c>
      <c r="F706" s="10">
        <v>4112</v>
      </c>
      <c r="G706" s="10">
        <v>4635519</v>
      </c>
      <c r="H706" s="11" cm="1">
        <f t="array" ref="H706">F706/G706*100000</f>
        <v>88.7063562893389</v>
      </c>
    </row>
    <row r="707" ht="13" customHeight="1">
      <c r="A707" s="8">
        <v>5</v>
      </c>
      <c r="B707" t="s" s="9">
        <v>35</v>
      </c>
      <c r="C707" t="s" s="9">
        <v>62</v>
      </c>
      <c r="D707" t="s" s="9">
        <v>21</v>
      </c>
      <c r="E707" t="s" s="9">
        <v>33</v>
      </c>
      <c r="F707" s="10">
        <v>4256</v>
      </c>
      <c r="G707" s="10">
        <v>4635519</v>
      </c>
      <c r="H707" s="11" cm="1">
        <f t="array" ref="H707">F707/G707*100000</f>
        <v>91.8128045640628</v>
      </c>
    </row>
    <row r="708" ht="13" customHeight="1">
      <c r="A708" s="8">
        <v>6</v>
      </c>
      <c r="B708" t="s" s="9">
        <v>41</v>
      </c>
      <c r="C708" t="s" s="9">
        <v>62</v>
      </c>
      <c r="D708" t="s" s="9">
        <v>21</v>
      </c>
      <c r="E708" t="s" s="9">
        <v>33</v>
      </c>
      <c r="F708" s="10">
        <v>4000</v>
      </c>
      <c r="G708" s="10">
        <v>4635519</v>
      </c>
      <c r="H708" s="11" cm="1">
        <f t="array" ref="H708">F708/G708*100000</f>
        <v>86.2902298534425</v>
      </c>
    </row>
    <row r="709" ht="13" customHeight="1">
      <c r="A709" s="8">
        <v>7</v>
      </c>
      <c r="B709" t="s" s="9">
        <v>30</v>
      </c>
      <c r="C709" t="s" s="9">
        <v>62</v>
      </c>
      <c r="D709" t="s" s="9">
        <v>21</v>
      </c>
      <c r="E709" t="s" s="9">
        <v>33</v>
      </c>
      <c r="F709" s="10">
        <v>3616</v>
      </c>
      <c r="G709" s="10">
        <v>4635519</v>
      </c>
      <c r="H709" s="11" cm="1">
        <f t="array" ref="H709">F709/G709*100000</f>
        <v>78.006367787512</v>
      </c>
    </row>
    <row r="710" ht="13" customHeight="1">
      <c r="A710" s="8">
        <v>8</v>
      </c>
      <c r="B710" t="s" s="9">
        <v>36</v>
      </c>
      <c r="C710" t="s" s="9">
        <v>62</v>
      </c>
      <c r="D710" t="s" s="9">
        <v>21</v>
      </c>
      <c r="E710" t="s" s="9">
        <v>33</v>
      </c>
      <c r="F710" s="10">
        <v>1904</v>
      </c>
      <c r="G710" s="10">
        <v>4635519</v>
      </c>
      <c r="H710" s="11" cm="1">
        <f t="array" ref="H710">F710/G710*100000</f>
        <v>41.0741494102386</v>
      </c>
    </row>
    <row r="711" ht="13" customHeight="1">
      <c r="A711" s="8">
        <v>9</v>
      </c>
      <c r="B711" t="s" s="9">
        <v>30</v>
      </c>
      <c r="C711" t="s" s="9">
        <v>62</v>
      </c>
      <c r="D711" t="s" s="9">
        <v>21</v>
      </c>
      <c r="E711" t="s" s="9">
        <v>33</v>
      </c>
      <c r="F711" s="10">
        <v>2032</v>
      </c>
      <c r="G711" s="10">
        <v>4635519</v>
      </c>
      <c r="H711" s="11" cm="1">
        <f t="array" ref="H711">F711/G711*100000</f>
        <v>43.8354367655488</v>
      </c>
    </row>
    <row r="712" ht="13" customHeight="1">
      <c r="A712" s="8">
        <v>10</v>
      </c>
      <c r="B712" t="s" s="9">
        <v>37</v>
      </c>
      <c r="C712" t="s" s="9">
        <v>62</v>
      </c>
      <c r="D712" t="s" s="9">
        <v>21</v>
      </c>
      <c r="E712" t="s" s="9">
        <v>33</v>
      </c>
      <c r="F712" s="10">
        <v>1312</v>
      </c>
      <c r="G712" s="10">
        <v>4635519</v>
      </c>
      <c r="H712" s="11" cm="1">
        <f t="array" ref="H712">F712/G712*100000</f>
        <v>28.3031953919291</v>
      </c>
    </row>
    <row r="713" ht="13.65" customHeight="1">
      <c r="A713" s="8">
        <v>1</v>
      </c>
      <c r="B713" t="s" s="9">
        <v>30</v>
      </c>
      <c r="C713" t="s" s="9">
        <v>62</v>
      </c>
      <c r="D713" t="s" s="9">
        <v>58</v>
      </c>
      <c r="E713" t="s" s="9">
        <v>33</v>
      </c>
      <c r="F713" s="10">
        <v>14816</v>
      </c>
      <c r="G713" s="12"/>
      <c r="H713" s="13"/>
    </row>
    <row r="714" ht="13.65" customHeight="1">
      <c r="A714" s="8">
        <v>2</v>
      </c>
      <c r="B714" t="s" s="9">
        <v>36</v>
      </c>
      <c r="C714" t="s" s="9">
        <v>62</v>
      </c>
      <c r="D714" t="s" s="9">
        <v>58</v>
      </c>
      <c r="E714" t="s" s="9">
        <v>33</v>
      </c>
      <c r="F714" s="10">
        <v>12032</v>
      </c>
      <c r="G714" s="14"/>
      <c r="H714" s="15"/>
    </row>
    <row r="715" ht="13.65" customHeight="1">
      <c r="A715" s="8">
        <v>3</v>
      </c>
      <c r="B715" t="s" s="9">
        <v>45</v>
      </c>
      <c r="C715" t="s" s="9">
        <v>62</v>
      </c>
      <c r="D715" t="s" s="9">
        <v>58</v>
      </c>
      <c r="E715" t="s" s="9">
        <v>33</v>
      </c>
      <c r="F715" s="10">
        <v>5120</v>
      </c>
      <c r="G715" s="14"/>
      <c r="H715" s="15"/>
    </row>
    <row r="716" ht="13.65" customHeight="1">
      <c r="A716" s="8">
        <v>4</v>
      </c>
      <c r="B716" t="s" s="9">
        <v>34</v>
      </c>
      <c r="C716" t="s" s="9">
        <v>62</v>
      </c>
      <c r="D716" t="s" s="9">
        <v>58</v>
      </c>
      <c r="E716" t="s" s="9">
        <v>33</v>
      </c>
      <c r="F716" s="10">
        <v>4112</v>
      </c>
      <c r="G716" s="14"/>
      <c r="H716" s="15"/>
    </row>
    <row r="717" ht="13.65" customHeight="1">
      <c r="A717" s="8">
        <v>5</v>
      </c>
      <c r="B717" t="s" s="9">
        <v>35</v>
      </c>
      <c r="C717" t="s" s="9">
        <v>62</v>
      </c>
      <c r="D717" t="s" s="9">
        <v>58</v>
      </c>
      <c r="E717" t="s" s="9">
        <v>33</v>
      </c>
      <c r="F717" s="10">
        <v>4256</v>
      </c>
      <c r="G717" s="14"/>
      <c r="H717" s="15"/>
    </row>
    <row r="718" ht="13.65" customHeight="1">
      <c r="A718" s="8">
        <v>6</v>
      </c>
      <c r="B718" t="s" s="9">
        <v>41</v>
      </c>
      <c r="C718" t="s" s="9">
        <v>62</v>
      </c>
      <c r="D718" t="s" s="9">
        <v>58</v>
      </c>
      <c r="E718" t="s" s="9">
        <v>33</v>
      </c>
      <c r="F718" s="10">
        <v>4000</v>
      </c>
      <c r="G718" s="14"/>
      <c r="H718" s="15"/>
    </row>
    <row r="719" ht="13.65" customHeight="1">
      <c r="A719" s="8">
        <v>7</v>
      </c>
      <c r="B719" t="s" s="9">
        <v>30</v>
      </c>
      <c r="C719" t="s" s="9">
        <v>62</v>
      </c>
      <c r="D719" t="s" s="9">
        <v>58</v>
      </c>
      <c r="E719" t="s" s="9">
        <v>33</v>
      </c>
      <c r="F719" s="10">
        <v>3616</v>
      </c>
      <c r="G719" s="14"/>
      <c r="H719" s="15"/>
    </row>
    <row r="720" ht="13.65" customHeight="1">
      <c r="A720" s="8">
        <v>8</v>
      </c>
      <c r="B720" t="s" s="9">
        <v>36</v>
      </c>
      <c r="C720" t="s" s="9">
        <v>62</v>
      </c>
      <c r="D720" t="s" s="9">
        <v>58</v>
      </c>
      <c r="E720" t="s" s="9">
        <v>33</v>
      </c>
      <c r="F720" s="10">
        <v>1904</v>
      </c>
      <c r="G720" s="14"/>
      <c r="H720" s="15"/>
    </row>
    <row r="721" ht="13.65" customHeight="1">
      <c r="A721" s="8">
        <v>9</v>
      </c>
      <c r="B721" t="s" s="9">
        <v>30</v>
      </c>
      <c r="C721" t="s" s="9">
        <v>62</v>
      </c>
      <c r="D721" t="s" s="9">
        <v>58</v>
      </c>
      <c r="E721" t="s" s="9">
        <v>33</v>
      </c>
      <c r="F721" s="10">
        <v>2032</v>
      </c>
      <c r="G721" s="14"/>
      <c r="H721" s="15"/>
    </row>
    <row r="722" ht="13.65" customHeight="1">
      <c r="A722" s="8">
        <v>10</v>
      </c>
      <c r="B722" t="s" s="9">
        <v>37</v>
      </c>
      <c r="C722" t="s" s="9">
        <v>62</v>
      </c>
      <c r="D722" t="s" s="9">
        <v>58</v>
      </c>
      <c r="E722" t="s" s="9">
        <v>33</v>
      </c>
      <c r="F722" s="10">
        <v>1312</v>
      </c>
      <c r="G722" s="16"/>
      <c r="H722" s="17"/>
    </row>
    <row r="723" ht="13" customHeight="1">
      <c r="A723" s="8">
        <v>1</v>
      </c>
      <c r="B723" t="s" s="9">
        <v>34</v>
      </c>
      <c r="C723" t="s" s="9">
        <v>63</v>
      </c>
      <c r="D723" t="s" s="9">
        <v>32</v>
      </c>
      <c r="E723" t="s" s="9">
        <v>33</v>
      </c>
      <c r="F723" s="10">
        <v>6836</v>
      </c>
      <c r="G723" s="10">
        <v>14521657</v>
      </c>
      <c r="H723" s="11" cm="1">
        <f t="array" ref="H723">F723/G723*100000</f>
        <v>47.0745177358204</v>
      </c>
    </row>
    <row r="724" ht="13" customHeight="1">
      <c r="A724" s="8">
        <v>2</v>
      </c>
      <c r="B724" t="s" s="9">
        <v>30</v>
      </c>
      <c r="C724" t="s" s="9">
        <v>63</v>
      </c>
      <c r="D724" t="s" s="9">
        <v>32</v>
      </c>
      <c r="E724" t="s" s="9">
        <v>33</v>
      </c>
      <c r="F724" s="10">
        <v>7563</v>
      </c>
      <c r="G724" s="10">
        <v>14521657</v>
      </c>
      <c r="H724" s="11" cm="1">
        <f t="array" ref="H724">F724/G724*100000</f>
        <v>52.080833475133</v>
      </c>
    </row>
    <row r="725" ht="13" customHeight="1">
      <c r="A725" s="8">
        <v>3</v>
      </c>
      <c r="B725" t="s" s="9">
        <v>35</v>
      </c>
      <c r="C725" t="s" s="9">
        <v>63</v>
      </c>
      <c r="D725" t="s" s="9">
        <v>32</v>
      </c>
      <c r="E725" t="s" s="9">
        <v>33</v>
      </c>
      <c r="F725" s="10">
        <v>3667</v>
      </c>
      <c r="G725" s="10">
        <v>14521657</v>
      </c>
      <c r="H725" s="11" cm="1">
        <f t="array" ref="H725">F725/G725*100000</f>
        <v>25.251939224291</v>
      </c>
    </row>
    <row r="726" ht="13" customHeight="1">
      <c r="A726" s="8">
        <v>4</v>
      </c>
      <c r="B726" t="s" s="9">
        <v>37</v>
      </c>
      <c r="C726" t="s" s="9">
        <v>63</v>
      </c>
      <c r="D726" t="s" s="9">
        <v>32</v>
      </c>
      <c r="E726" t="s" s="9">
        <v>33</v>
      </c>
      <c r="F726" s="10">
        <v>2808</v>
      </c>
      <c r="G726" s="10">
        <v>14521657</v>
      </c>
      <c r="H726" s="11" cm="1">
        <f t="array" ref="H726">F726/G726*100000</f>
        <v>19.3366363081018</v>
      </c>
    </row>
    <row r="727" ht="13" customHeight="1">
      <c r="A727" s="8">
        <v>5</v>
      </c>
      <c r="B727" t="s" s="9">
        <v>36</v>
      </c>
      <c r="C727" t="s" s="9">
        <v>63</v>
      </c>
      <c r="D727" t="s" s="9">
        <v>32</v>
      </c>
      <c r="E727" t="s" s="9">
        <v>33</v>
      </c>
      <c r="F727" s="10">
        <v>2317</v>
      </c>
      <c r="G727" s="10">
        <v>14521657</v>
      </c>
      <c r="H727" s="11" cm="1">
        <f t="array" ref="H727">F727/G727*100000</f>
        <v>15.9554794607805</v>
      </c>
    </row>
    <row r="728" ht="13" customHeight="1">
      <c r="A728" s="8">
        <v>6</v>
      </c>
      <c r="B728" t="s" s="9">
        <v>37</v>
      </c>
      <c r="C728" t="s" s="9">
        <v>63</v>
      </c>
      <c r="D728" t="s" s="9">
        <v>32</v>
      </c>
      <c r="E728" t="s" s="9">
        <v>33</v>
      </c>
      <c r="F728" s="10">
        <v>1396</v>
      </c>
      <c r="G728" s="10">
        <v>14521657</v>
      </c>
      <c r="H728" s="11" cm="1">
        <f t="array" ref="H728">F728/G728*100000</f>
        <v>9.61322802211896</v>
      </c>
    </row>
    <row r="729" ht="13" customHeight="1">
      <c r="A729" s="8">
        <v>7</v>
      </c>
      <c r="B729" t="s" s="9">
        <v>39</v>
      </c>
      <c r="C729" t="s" s="9">
        <v>63</v>
      </c>
      <c r="D729" t="s" s="9">
        <v>32</v>
      </c>
      <c r="E729" t="s" s="9">
        <v>33</v>
      </c>
      <c r="F729" s="10">
        <v>1037</v>
      </c>
      <c r="G729" s="10">
        <v>14521657</v>
      </c>
      <c r="H729" s="11" cm="1">
        <f t="array" ref="H729">F729/G729*100000</f>
        <v>7.14105835167433</v>
      </c>
    </row>
    <row r="730" ht="13" customHeight="1">
      <c r="A730" s="8">
        <v>8</v>
      </c>
      <c r="B730" t="s" s="9">
        <v>30</v>
      </c>
      <c r="C730" t="s" s="9">
        <v>63</v>
      </c>
      <c r="D730" t="s" s="9">
        <v>32</v>
      </c>
      <c r="E730" t="s" s="9">
        <v>33</v>
      </c>
      <c r="F730" s="10">
        <v>1528</v>
      </c>
      <c r="G730" s="10">
        <v>14521657</v>
      </c>
      <c r="H730" s="11" cm="1">
        <f t="array" ref="H730">F730/G730*100000</f>
        <v>10.5222151989955</v>
      </c>
    </row>
    <row r="731" ht="13" customHeight="1">
      <c r="A731" s="8">
        <v>9</v>
      </c>
      <c r="B731" t="s" s="9">
        <v>37</v>
      </c>
      <c r="C731" t="s" s="9">
        <v>63</v>
      </c>
      <c r="D731" t="s" s="9">
        <v>32</v>
      </c>
      <c r="E731" t="s" s="9">
        <v>33</v>
      </c>
      <c r="F731" s="10">
        <v>828</v>
      </c>
      <c r="G731" s="10">
        <v>14521657</v>
      </c>
      <c r="H731" s="11" cm="1">
        <f t="array" ref="H731">F731/G731*100000</f>
        <v>5.70182865495308</v>
      </c>
    </row>
    <row r="732" ht="13" customHeight="1">
      <c r="A732" s="8">
        <v>10</v>
      </c>
      <c r="B732" t="s" s="9">
        <v>35</v>
      </c>
      <c r="C732" t="s" s="9">
        <v>63</v>
      </c>
      <c r="D732" t="s" s="9">
        <v>32</v>
      </c>
      <c r="E732" t="s" s="9">
        <v>33</v>
      </c>
      <c r="F732" s="10">
        <v>900</v>
      </c>
      <c r="G732" s="10">
        <v>14521657</v>
      </c>
      <c r="H732" s="11" cm="1">
        <f t="array" ref="H732">F732/G732*100000</f>
        <v>6.19763984234031</v>
      </c>
    </row>
    <row r="733" ht="13" customHeight="1">
      <c r="A733" s="8">
        <v>1</v>
      </c>
      <c r="B733" t="s" s="9">
        <v>30</v>
      </c>
      <c r="C733" t="s" s="9">
        <v>63</v>
      </c>
      <c r="D733" t="s" s="9">
        <v>38</v>
      </c>
      <c r="E733" t="s" s="9">
        <v>33</v>
      </c>
      <c r="F733" s="10">
        <v>5739</v>
      </c>
      <c r="G733" s="10">
        <v>1874281</v>
      </c>
      <c r="H733" s="11" cm="1">
        <f t="array" ref="H733">F733/G733*100000</f>
        <v>306.197416502648</v>
      </c>
    </row>
    <row r="734" ht="13" customHeight="1">
      <c r="A734" s="8">
        <v>2</v>
      </c>
      <c r="B734" t="s" s="9">
        <v>34</v>
      </c>
      <c r="C734" t="s" s="9">
        <v>63</v>
      </c>
      <c r="D734" t="s" s="9">
        <v>38</v>
      </c>
      <c r="E734" t="s" s="9">
        <v>33</v>
      </c>
      <c r="F734" s="10">
        <v>3502</v>
      </c>
      <c r="G734" s="10">
        <v>1874281</v>
      </c>
      <c r="H734" s="11" cm="1">
        <f t="array" ref="H734">F734/G734*100000</f>
        <v>186.844982155824</v>
      </c>
    </row>
    <row r="735" ht="13" customHeight="1">
      <c r="A735" s="8">
        <v>3</v>
      </c>
      <c r="B735" t="s" s="9">
        <v>37</v>
      </c>
      <c r="C735" t="s" s="9">
        <v>63</v>
      </c>
      <c r="D735" t="s" s="9">
        <v>38</v>
      </c>
      <c r="E735" t="s" s="9">
        <v>33</v>
      </c>
      <c r="F735" s="10">
        <v>571</v>
      </c>
      <c r="G735" s="10">
        <v>1874281</v>
      </c>
      <c r="H735" s="11" cm="1">
        <f t="array" ref="H735">F735/G735*100000</f>
        <v>30.4650156513351</v>
      </c>
    </row>
    <row r="736" ht="13" customHeight="1">
      <c r="A736" s="8">
        <v>4</v>
      </c>
      <c r="B736" t="s" s="9">
        <v>30</v>
      </c>
      <c r="C736" t="s" s="9">
        <v>63</v>
      </c>
      <c r="D736" t="s" s="9">
        <v>38</v>
      </c>
      <c r="E736" t="s" s="9">
        <v>33</v>
      </c>
      <c r="F736" s="10">
        <v>740</v>
      </c>
      <c r="G736" s="10">
        <v>1874281</v>
      </c>
      <c r="H736" s="11" cm="1">
        <f t="array" ref="H736">F736/G736*100000</f>
        <v>39.4818066234465</v>
      </c>
    </row>
    <row r="737" ht="13" customHeight="1">
      <c r="A737" s="8">
        <v>5</v>
      </c>
      <c r="B737" t="s" s="9">
        <v>35</v>
      </c>
      <c r="C737" t="s" s="9">
        <v>63</v>
      </c>
      <c r="D737" t="s" s="9">
        <v>38</v>
      </c>
      <c r="E737" t="s" s="9">
        <v>33</v>
      </c>
      <c r="F737" s="10">
        <v>879</v>
      </c>
      <c r="G737" s="10">
        <v>1874281</v>
      </c>
      <c r="H737" s="11" cm="1">
        <f t="array" ref="H737">F737/G737*100000</f>
        <v>46.8979838135264</v>
      </c>
    </row>
    <row r="738" ht="13" customHeight="1">
      <c r="A738" s="8">
        <v>6</v>
      </c>
      <c r="B738" t="s" s="9">
        <v>37</v>
      </c>
      <c r="C738" t="s" s="9">
        <v>63</v>
      </c>
      <c r="D738" t="s" s="9">
        <v>38</v>
      </c>
      <c r="E738" t="s" s="9">
        <v>33</v>
      </c>
      <c r="F738" s="10">
        <v>469</v>
      </c>
      <c r="G738" s="10">
        <v>1874281</v>
      </c>
      <c r="H738" s="11" cm="1">
        <f t="array" ref="H738">F738/G738*100000</f>
        <v>25.0229287924276</v>
      </c>
    </row>
    <row r="739" ht="13" customHeight="1">
      <c r="A739" s="8">
        <v>7</v>
      </c>
      <c r="B739" t="s" s="9">
        <v>35</v>
      </c>
      <c r="C739" t="s" s="9">
        <v>63</v>
      </c>
      <c r="D739" t="s" s="9">
        <v>38</v>
      </c>
      <c r="E739" t="s" s="9">
        <v>33</v>
      </c>
      <c r="F739" s="10">
        <v>654</v>
      </c>
      <c r="G739" s="10">
        <v>1874281</v>
      </c>
      <c r="H739" s="11" cm="1">
        <f t="array" ref="H739">F739/G739*100000</f>
        <v>34.8933804482892</v>
      </c>
    </row>
    <row r="740" ht="13" customHeight="1">
      <c r="A740" s="8">
        <v>8</v>
      </c>
      <c r="B740" t="s" s="9">
        <v>45</v>
      </c>
      <c r="C740" t="s" s="9">
        <v>63</v>
      </c>
      <c r="D740" t="s" s="9">
        <v>38</v>
      </c>
      <c r="E740" t="s" s="9">
        <v>33</v>
      </c>
      <c r="F740" s="10">
        <v>582</v>
      </c>
      <c r="G740" s="10">
        <v>1874281</v>
      </c>
      <c r="H740" s="11" cm="1">
        <f t="array" ref="H740">F740/G740*100000</f>
        <v>31.0519073714134</v>
      </c>
    </row>
    <row r="741" ht="13" customHeight="1">
      <c r="A741" s="8">
        <v>9</v>
      </c>
      <c r="B741" t="s" s="9">
        <v>30</v>
      </c>
      <c r="C741" t="s" s="9">
        <v>63</v>
      </c>
      <c r="D741" t="s" s="9">
        <v>38</v>
      </c>
      <c r="E741" t="s" s="9">
        <v>33</v>
      </c>
      <c r="F741" s="10">
        <v>497</v>
      </c>
      <c r="G741" s="10">
        <v>1874281</v>
      </c>
      <c r="H741" s="11" cm="1">
        <f t="array" ref="H741">F741/G741*100000</f>
        <v>26.5168349889904</v>
      </c>
    </row>
    <row r="742" ht="13" customHeight="1">
      <c r="A742" s="8">
        <v>10</v>
      </c>
      <c r="B742" t="s" s="9">
        <v>39</v>
      </c>
      <c r="C742" t="s" s="9">
        <v>63</v>
      </c>
      <c r="D742" t="s" s="9">
        <v>38</v>
      </c>
      <c r="E742" t="s" s="9">
        <v>33</v>
      </c>
      <c r="F742" s="10">
        <v>339</v>
      </c>
      <c r="G742" s="10">
        <v>1874281</v>
      </c>
      <c r="H742" s="11" cm="1">
        <f t="array" ref="H742">F742/G742*100000</f>
        <v>18.0869357369573</v>
      </c>
    </row>
    <row r="743" ht="13" customHeight="1">
      <c r="A743" s="8">
        <v>1</v>
      </c>
      <c r="B743" t="s" s="9">
        <v>34</v>
      </c>
      <c r="C743" t="s" s="9">
        <v>63</v>
      </c>
      <c r="D743" t="s" s="9">
        <v>42</v>
      </c>
      <c r="E743" t="s" s="9">
        <v>33</v>
      </c>
      <c r="F743" s="10">
        <v>2506</v>
      </c>
      <c r="G743" s="10">
        <v>5458063</v>
      </c>
      <c r="H743" s="11" cm="1">
        <f t="array" ref="H743">F743/G743*100000</f>
        <v>45.9137243377367</v>
      </c>
    </row>
    <row r="744" ht="13" customHeight="1">
      <c r="A744" s="8">
        <v>2</v>
      </c>
      <c r="B744" t="s" s="9">
        <v>30</v>
      </c>
      <c r="C744" t="s" s="9">
        <v>63</v>
      </c>
      <c r="D744" t="s" s="9">
        <v>42</v>
      </c>
      <c r="E744" t="s" s="9">
        <v>33</v>
      </c>
      <c r="F744" s="10">
        <v>2540</v>
      </c>
      <c r="G744" s="10">
        <v>5458063</v>
      </c>
      <c r="H744" s="11" cm="1">
        <f t="array" ref="H744">F744/G744*100000</f>
        <v>46.5366559528536</v>
      </c>
    </row>
    <row r="745" ht="13" customHeight="1">
      <c r="A745" s="8">
        <v>3</v>
      </c>
      <c r="B745" t="s" s="9">
        <v>35</v>
      </c>
      <c r="C745" t="s" s="9">
        <v>63</v>
      </c>
      <c r="D745" t="s" s="9">
        <v>42</v>
      </c>
      <c r="E745" t="s" s="9">
        <v>33</v>
      </c>
      <c r="F745" s="10">
        <v>1786</v>
      </c>
      <c r="G745" s="10">
        <v>5458063</v>
      </c>
      <c r="H745" s="11" cm="1">
        <f t="array" ref="H745">F745/G745*100000</f>
        <v>32.7222313117309</v>
      </c>
    </row>
    <row r="746" ht="13" customHeight="1">
      <c r="A746" s="8">
        <v>4</v>
      </c>
      <c r="B746" t="s" s="9">
        <v>37</v>
      </c>
      <c r="C746" t="s" s="9">
        <v>63</v>
      </c>
      <c r="D746" t="s" s="9">
        <v>42</v>
      </c>
      <c r="E746" t="s" s="9">
        <v>33</v>
      </c>
      <c r="F746" s="10">
        <v>776</v>
      </c>
      <c r="G746" s="10">
        <v>5458063</v>
      </c>
      <c r="H746" s="11" cm="1">
        <f t="array" ref="H746">F746/G746*100000</f>
        <v>14.2174980391395</v>
      </c>
    </row>
    <row r="747" ht="13" customHeight="1">
      <c r="A747" s="8">
        <v>5</v>
      </c>
      <c r="B747" t="s" s="9">
        <v>37</v>
      </c>
      <c r="C747" t="s" s="9">
        <v>63</v>
      </c>
      <c r="D747" t="s" s="9">
        <v>42</v>
      </c>
      <c r="E747" t="s" s="9">
        <v>33</v>
      </c>
      <c r="F747" s="10">
        <v>595</v>
      </c>
      <c r="G747" s="10">
        <v>5458063</v>
      </c>
      <c r="H747" s="11" cm="1">
        <f t="array" ref="H747">F747/G747*100000</f>
        <v>10.9013032645464</v>
      </c>
    </row>
    <row r="748" ht="13" customHeight="1">
      <c r="A748" s="8">
        <v>6</v>
      </c>
      <c r="B748" t="s" s="9">
        <v>35</v>
      </c>
      <c r="C748" t="s" s="9">
        <v>63</v>
      </c>
      <c r="D748" t="s" s="9">
        <v>42</v>
      </c>
      <c r="E748" t="s" s="9">
        <v>33</v>
      </c>
      <c r="F748" s="10">
        <v>953</v>
      </c>
      <c r="G748" s="10">
        <v>5458063</v>
      </c>
      <c r="H748" s="11" cm="1">
        <f t="array" ref="H748">F748/G748*100000</f>
        <v>17.4604067413659</v>
      </c>
    </row>
    <row r="749" ht="13" customHeight="1">
      <c r="A749" s="8">
        <v>7</v>
      </c>
      <c r="B749" t="s" s="9">
        <v>39</v>
      </c>
      <c r="C749" t="s" s="9">
        <v>63</v>
      </c>
      <c r="D749" t="s" s="9">
        <v>42</v>
      </c>
      <c r="E749" t="s" s="9">
        <v>33</v>
      </c>
      <c r="F749" s="10">
        <v>425</v>
      </c>
      <c r="G749" s="10">
        <v>5458063</v>
      </c>
      <c r="H749" s="11" cm="1">
        <f t="array" ref="H749">F749/G749*100000</f>
        <v>7.78664518896173</v>
      </c>
    </row>
    <row r="750" ht="13" customHeight="1">
      <c r="A750" s="8">
        <v>8</v>
      </c>
      <c r="B750" t="s" s="9">
        <v>37</v>
      </c>
      <c r="C750" t="s" s="9">
        <v>63</v>
      </c>
      <c r="D750" t="s" s="9">
        <v>42</v>
      </c>
      <c r="E750" t="s" s="9">
        <v>33</v>
      </c>
      <c r="F750" s="10">
        <v>454</v>
      </c>
      <c r="G750" s="10">
        <v>5458063</v>
      </c>
      <c r="H750" s="11" cm="1">
        <f t="array" ref="H750">F750/G750*100000</f>
        <v>8.317969213620289</v>
      </c>
    </row>
    <row r="751" ht="13" customHeight="1">
      <c r="A751" s="8">
        <v>9</v>
      </c>
      <c r="B751" t="s" s="9">
        <v>41</v>
      </c>
      <c r="C751" t="s" s="9">
        <v>63</v>
      </c>
      <c r="D751" t="s" s="9">
        <v>42</v>
      </c>
      <c r="E751" t="s" s="9">
        <v>33</v>
      </c>
      <c r="F751" s="10">
        <v>417</v>
      </c>
      <c r="G751" s="10">
        <v>5458063</v>
      </c>
      <c r="H751" s="11" cm="1">
        <f t="array" ref="H751">F751/G751*100000</f>
        <v>7.64007304422833</v>
      </c>
    </row>
    <row r="752" ht="13" customHeight="1">
      <c r="A752" s="8">
        <v>10</v>
      </c>
      <c r="B752" t="s" s="9">
        <v>36</v>
      </c>
      <c r="C752" t="s" s="9">
        <v>63</v>
      </c>
      <c r="D752" t="s" s="9">
        <v>42</v>
      </c>
      <c r="E752" t="s" s="9">
        <v>33</v>
      </c>
      <c r="F752" s="10">
        <v>454</v>
      </c>
      <c r="G752" s="10">
        <v>5458063</v>
      </c>
      <c r="H752" s="11" cm="1">
        <f t="array" ref="H752">F752/G752*100000</f>
        <v>8.317969213620289</v>
      </c>
    </row>
    <row r="753" ht="13" customHeight="1">
      <c r="A753" s="8">
        <v>1</v>
      </c>
      <c r="B753" t="s" s="9">
        <v>30</v>
      </c>
      <c r="C753" t="s" s="9">
        <v>63</v>
      </c>
      <c r="D753" t="s" s="9">
        <v>43</v>
      </c>
      <c r="E753" t="s" s="9">
        <v>33</v>
      </c>
      <c r="F753" s="10">
        <v>2580</v>
      </c>
      <c r="G753" s="10">
        <v>3817144</v>
      </c>
      <c r="H753" s="11" cm="1">
        <f t="array" ref="H753">F753/G753*100000</f>
        <v>67.5898001228143</v>
      </c>
    </row>
    <row r="754" ht="13" customHeight="1">
      <c r="A754" s="8">
        <v>2</v>
      </c>
      <c r="B754" t="s" s="9">
        <v>34</v>
      </c>
      <c r="C754" t="s" s="9">
        <v>63</v>
      </c>
      <c r="D754" t="s" s="9">
        <v>43</v>
      </c>
      <c r="E754" t="s" s="9">
        <v>33</v>
      </c>
      <c r="F754" s="10">
        <v>1025</v>
      </c>
      <c r="G754" s="10">
        <v>3817144</v>
      </c>
      <c r="H754" s="11" cm="1">
        <f t="array" ref="H754">F754/G754*100000</f>
        <v>26.8525368704979</v>
      </c>
    </row>
    <row r="755" ht="13" customHeight="1">
      <c r="A755" s="8">
        <v>3</v>
      </c>
      <c r="B755" t="s" s="9">
        <v>35</v>
      </c>
      <c r="C755" t="s" s="9">
        <v>63</v>
      </c>
      <c r="D755" t="s" s="9">
        <v>43</v>
      </c>
      <c r="E755" t="s" s="9">
        <v>33</v>
      </c>
      <c r="F755" s="10">
        <v>560</v>
      </c>
      <c r="G755" s="10">
        <v>3817144</v>
      </c>
      <c r="H755" s="11" cm="1">
        <f t="array" ref="H755">F755/G755*100000</f>
        <v>14.6706542902233</v>
      </c>
    </row>
    <row r="756" ht="13" customHeight="1">
      <c r="A756" s="8">
        <v>4</v>
      </c>
      <c r="B756" t="s" s="9">
        <v>30</v>
      </c>
      <c r="C756" t="s" s="9">
        <v>63</v>
      </c>
      <c r="D756" t="s" s="9">
        <v>43</v>
      </c>
      <c r="E756" t="s" s="9">
        <v>33</v>
      </c>
      <c r="F756" s="10">
        <v>385</v>
      </c>
      <c r="G756" s="10">
        <v>3817144</v>
      </c>
      <c r="H756" s="11" cm="1">
        <f t="array" ref="H756">F756/G756*100000</f>
        <v>10.0860748245285</v>
      </c>
    </row>
    <row r="757" ht="13" customHeight="1">
      <c r="A757" s="8">
        <v>5</v>
      </c>
      <c r="B757" t="s" s="9">
        <v>30</v>
      </c>
      <c r="C757" t="s" s="9">
        <v>63</v>
      </c>
      <c r="D757" t="s" s="9">
        <v>43</v>
      </c>
      <c r="E757" t="s" s="9">
        <v>33</v>
      </c>
      <c r="F757" s="10">
        <v>373</v>
      </c>
      <c r="G757" s="10">
        <v>3817144</v>
      </c>
      <c r="H757" s="11" cm="1">
        <f t="array" ref="H757">F757/G757*100000</f>
        <v>9.771703661166571</v>
      </c>
    </row>
    <row r="758" ht="13" customHeight="1">
      <c r="A758" s="8">
        <v>6</v>
      </c>
      <c r="B758" t="s" s="9">
        <v>39</v>
      </c>
      <c r="C758" t="s" s="9">
        <v>63</v>
      </c>
      <c r="D758" t="s" s="9">
        <v>43</v>
      </c>
      <c r="E758" t="s" s="9">
        <v>33</v>
      </c>
      <c r="F758" s="10">
        <v>251</v>
      </c>
      <c r="G758" s="10">
        <v>3817144</v>
      </c>
      <c r="H758" s="11" cm="1">
        <f t="array" ref="H758">F758/G758*100000</f>
        <v>6.57559683365364</v>
      </c>
    </row>
    <row r="759" ht="13" customHeight="1">
      <c r="A759" s="8">
        <v>7</v>
      </c>
      <c r="B759" t="s" s="9">
        <v>35</v>
      </c>
      <c r="C759" t="s" s="9">
        <v>63</v>
      </c>
      <c r="D759" t="s" s="9">
        <v>43</v>
      </c>
      <c r="E759" t="s" s="9">
        <v>33</v>
      </c>
      <c r="F759" s="10">
        <v>384</v>
      </c>
      <c r="G759" s="10">
        <v>3817144</v>
      </c>
      <c r="H759" s="11" cm="1">
        <f t="array" ref="H759">F759/G759*100000</f>
        <v>10.0598772275817</v>
      </c>
    </row>
    <row r="760" ht="13" customHeight="1">
      <c r="A760" s="8">
        <v>8</v>
      </c>
      <c r="B760" t="s" s="9">
        <v>37</v>
      </c>
      <c r="C760" t="s" s="9">
        <v>63</v>
      </c>
      <c r="D760" t="s" s="9">
        <v>43</v>
      </c>
      <c r="E760" t="s" s="9">
        <v>33</v>
      </c>
      <c r="F760" s="10">
        <v>239</v>
      </c>
      <c r="G760" s="10">
        <v>3817144</v>
      </c>
      <c r="H760" s="11" cm="1">
        <f t="array" ref="H760">F760/G760*100000</f>
        <v>6.26122567029172</v>
      </c>
    </row>
    <row r="761" ht="13" customHeight="1">
      <c r="A761" s="8">
        <v>9</v>
      </c>
      <c r="B761" t="s" s="9">
        <v>36</v>
      </c>
      <c r="C761" t="s" s="9">
        <v>63</v>
      </c>
      <c r="D761" t="s" s="9">
        <v>43</v>
      </c>
      <c r="E761" t="s" s="9">
        <v>33</v>
      </c>
      <c r="F761" s="10">
        <v>285</v>
      </c>
      <c r="G761" s="10">
        <v>3817144</v>
      </c>
      <c r="H761" s="11" cm="1">
        <f t="array" ref="H761">F761/G761*100000</f>
        <v>7.46631512984577</v>
      </c>
    </row>
    <row r="762" ht="13" customHeight="1">
      <c r="A762" s="8">
        <v>10</v>
      </c>
      <c r="B762" t="s" s="9">
        <v>30</v>
      </c>
      <c r="C762" t="s" s="9">
        <v>63</v>
      </c>
      <c r="D762" t="s" s="9">
        <v>43</v>
      </c>
      <c r="E762" t="s" s="9">
        <v>33</v>
      </c>
      <c r="F762" s="10">
        <v>361</v>
      </c>
      <c r="G762" s="10">
        <v>3817144</v>
      </c>
      <c r="H762" s="11" cm="1">
        <f t="array" ref="H762">F762/G762*100000</f>
        <v>9.457332497804639</v>
      </c>
    </row>
    <row r="763" ht="13" customHeight="1">
      <c r="A763" s="8">
        <v>1</v>
      </c>
      <c r="B763" t="s" s="9">
        <v>30</v>
      </c>
      <c r="C763" t="s" s="9">
        <v>63</v>
      </c>
      <c r="D763" t="s" s="9">
        <v>44</v>
      </c>
      <c r="E763" t="s" s="9">
        <v>33</v>
      </c>
      <c r="F763" s="10">
        <v>2443</v>
      </c>
      <c r="G763" s="10">
        <v>13239670</v>
      </c>
      <c r="H763" s="11" cm="1">
        <f t="array" ref="H763">F763/G763*100000</f>
        <v>18.4521215407937</v>
      </c>
    </row>
    <row r="764" ht="13" customHeight="1">
      <c r="A764" s="8">
        <v>2</v>
      </c>
      <c r="B764" t="s" s="9">
        <v>35</v>
      </c>
      <c r="C764" t="s" s="9">
        <v>63</v>
      </c>
      <c r="D764" t="s" s="9">
        <v>44</v>
      </c>
      <c r="E764" t="s" s="9">
        <v>33</v>
      </c>
      <c r="F764" s="10">
        <v>2286</v>
      </c>
      <c r="G764" s="10">
        <v>13239670</v>
      </c>
      <c r="H764" s="11" cm="1">
        <f t="array" ref="H764">F764/G764*100000</f>
        <v>17.2662913803743</v>
      </c>
    </row>
    <row r="765" ht="13" customHeight="1">
      <c r="A765" s="8">
        <v>3</v>
      </c>
      <c r="B765" t="s" s="9">
        <v>39</v>
      </c>
      <c r="C765" t="s" s="9">
        <v>63</v>
      </c>
      <c r="D765" t="s" s="9">
        <v>44</v>
      </c>
      <c r="E765" t="s" s="9">
        <v>33</v>
      </c>
      <c r="F765" s="10">
        <v>1290</v>
      </c>
      <c r="G765" s="10">
        <v>13239670</v>
      </c>
      <c r="H765" s="11" cm="1">
        <f t="array" ref="H765">F765/G765*100000</f>
        <v>9.74344526714034</v>
      </c>
    </row>
    <row r="766" ht="13" customHeight="1">
      <c r="A766" s="8">
        <v>4</v>
      </c>
      <c r="B766" t="s" s="9">
        <v>34</v>
      </c>
      <c r="C766" t="s" s="9">
        <v>63</v>
      </c>
      <c r="D766" t="s" s="9">
        <v>44</v>
      </c>
      <c r="E766" t="s" s="9">
        <v>33</v>
      </c>
      <c r="F766" s="10">
        <v>1434</v>
      </c>
      <c r="G766" s="10">
        <v>13239670</v>
      </c>
      <c r="H766" s="11" cm="1">
        <f t="array" ref="H766">F766/G766*100000</f>
        <v>10.8310856690537</v>
      </c>
    </row>
    <row r="767" ht="13" customHeight="1">
      <c r="A767" s="8">
        <v>5</v>
      </c>
      <c r="B767" t="s" s="9">
        <v>37</v>
      </c>
      <c r="C767" t="s" s="9">
        <v>63</v>
      </c>
      <c r="D767" t="s" s="9">
        <v>44</v>
      </c>
      <c r="E767" t="s" s="9">
        <v>33</v>
      </c>
      <c r="F767" s="10">
        <v>958</v>
      </c>
      <c r="G767" s="10">
        <v>13239670</v>
      </c>
      <c r="H767" s="11" cm="1">
        <f t="array" ref="H767">F767/G767*100000</f>
        <v>7.23582989606236</v>
      </c>
    </row>
    <row r="768" ht="13" customHeight="1">
      <c r="A768" s="8">
        <v>6</v>
      </c>
      <c r="B768" t="s" s="9">
        <v>37</v>
      </c>
      <c r="C768" t="s" s="9">
        <v>63</v>
      </c>
      <c r="D768" t="s" s="9">
        <v>44</v>
      </c>
      <c r="E768" t="s" s="9">
        <v>33</v>
      </c>
      <c r="F768" s="10">
        <v>930</v>
      </c>
      <c r="G768" s="10">
        <v>13239670</v>
      </c>
      <c r="H768" s="11" cm="1">
        <f t="array" ref="H768">F768/G768*100000</f>
        <v>7.02434426235699</v>
      </c>
    </row>
    <row r="769" ht="13" customHeight="1">
      <c r="A769" s="8">
        <v>7</v>
      </c>
      <c r="B769" t="s" s="9">
        <v>36</v>
      </c>
      <c r="C769" t="s" s="9">
        <v>63</v>
      </c>
      <c r="D769" t="s" s="9">
        <v>44</v>
      </c>
      <c r="E769" t="s" s="9">
        <v>33</v>
      </c>
      <c r="F769" s="10">
        <v>755</v>
      </c>
      <c r="G769" s="10">
        <v>13239670</v>
      </c>
      <c r="H769" s="11" cm="1">
        <f t="array" ref="H769">F769/G769*100000</f>
        <v>5.70255905169842</v>
      </c>
    </row>
    <row r="770" ht="13" customHeight="1">
      <c r="A770" s="8">
        <v>8</v>
      </c>
      <c r="B770" t="s" s="9">
        <v>30</v>
      </c>
      <c r="C770" t="s" s="9">
        <v>63</v>
      </c>
      <c r="D770" t="s" s="9">
        <v>44</v>
      </c>
      <c r="E770" t="s" s="9">
        <v>33</v>
      </c>
      <c r="F770" s="10">
        <v>673</v>
      </c>
      <c r="G770" s="10">
        <v>13239670</v>
      </c>
      <c r="H770" s="11" cm="1">
        <f t="array" ref="H770">F770/G770*100000</f>
        <v>5.08320826727554</v>
      </c>
    </row>
    <row r="771" ht="13" customHeight="1">
      <c r="A771" s="8">
        <v>9</v>
      </c>
      <c r="B771" t="s" s="9">
        <v>36</v>
      </c>
      <c r="C771" t="s" s="9">
        <v>63</v>
      </c>
      <c r="D771" t="s" s="9">
        <v>44</v>
      </c>
      <c r="E771" t="s" s="9">
        <v>33</v>
      </c>
      <c r="F771" s="10">
        <v>735</v>
      </c>
      <c r="G771" s="10">
        <v>13239670</v>
      </c>
      <c r="H771" s="11" cm="1">
        <f t="array" ref="H771">F771/G771*100000</f>
        <v>5.55149788476601</v>
      </c>
    </row>
    <row r="772" ht="13" customHeight="1">
      <c r="A772" s="8">
        <v>10</v>
      </c>
      <c r="B772" t="s" s="9">
        <v>30</v>
      </c>
      <c r="C772" t="s" s="9">
        <v>63</v>
      </c>
      <c r="D772" t="s" s="9">
        <v>44</v>
      </c>
      <c r="E772" t="s" s="9">
        <v>33</v>
      </c>
      <c r="F772" s="10">
        <v>833</v>
      </c>
      <c r="G772" s="10">
        <v>13239670</v>
      </c>
      <c r="H772" s="11" cm="1">
        <f t="array" ref="H772">F772/G772*100000</f>
        <v>6.29169760273481</v>
      </c>
    </row>
    <row r="773" ht="13" customHeight="1">
      <c r="A773" s="8">
        <v>1</v>
      </c>
      <c r="B773" t="s" s="9">
        <v>30</v>
      </c>
      <c r="C773" t="s" s="9">
        <v>63</v>
      </c>
      <c r="D773" t="s" s="9">
        <v>46</v>
      </c>
      <c r="E773" t="s" s="9">
        <v>33</v>
      </c>
      <c r="F773" s="10">
        <v>8515</v>
      </c>
      <c r="G773" s="10">
        <v>17477569</v>
      </c>
      <c r="H773" s="11" cm="1">
        <f t="array" ref="H773">F773/G773*100000</f>
        <v>48.719590235919</v>
      </c>
    </row>
    <row r="774" ht="13" customHeight="1">
      <c r="A774" s="8">
        <v>2</v>
      </c>
      <c r="B774" t="s" s="9">
        <v>35</v>
      </c>
      <c r="C774" t="s" s="9">
        <v>63</v>
      </c>
      <c r="D774" t="s" s="9">
        <v>46</v>
      </c>
      <c r="E774" t="s" s="9">
        <v>33</v>
      </c>
      <c r="F774" s="10">
        <v>5916</v>
      </c>
      <c r="G774" s="10">
        <v>17477569</v>
      </c>
      <c r="H774" s="11" cm="1">
        <f t="array" ref="H774">F774/G774*100000</f>
        <v>33.8491010963825</v>
      </c>
    </row>
    <row r="775" ht="13" customHeight="1">
      <c r="A775" s="8">
        <v>3</v>
      </c>
      <c r="B775" t="s" s="9">
        <v>30</v>
      </c>
      <c r="C775" t="s" s="9">
        <v>63</v>
      </c>
      <c r="D775" t="s" s="9">
        <v>46</v>
      </c>
      <c r="E775" t="s" s="9">
        <v>33</v>
      </c>
      <c r="F775" s="10">
        <v>4322</v>
      </c>
      <c r="G775" s="10">
        <v>17477569</v>
      </c>
      <c r="H775" s="11" cm="1">
        <f t="array" ref="H775">F775/G775*100000</f>
        <v>24.7288395771746</v>
      </c>
    </row>
    <row r="776" ht="13" customHeight="1">
      <c r="A776" s="8">
        <v>4</v>
      </c>
      <c r="B776" t="s" s="9">
        <v>34</v>
      </c>
      <c r="C776" t="s" s="9">
        <v>63</v>
      </c>
      <c r="D776" t="s" s="9">
        <v>46</v>
      </c>
      <c r="E776" t="s" s="9">
        <v>33</v>
      </c>
      <c r="F776" s="10">
        <v>2991</v>
      </c>
      <c r="G776" s="10">
        <v>17477569</v>
      </c>
      <c r="H776" s="11" cm="1">
        <f t="array" ref="H776">F776/G776*100000</f>
        <v>17.1133639924408</v>
      </c>
    </row>
    <row r="777" ht="13" customHeight="1">
      <c r="A777" s="8">
        <v>5</v>
      </c>
      <c r="B777" t="s" s="9">
        <v>30</v>
      </c>
      <c r="C777" t="s" s="9">
        <v>63</v>
      </c>
      <c r="D777" t="s" s="9">
        <v>46</v>
      </c>
      <c r="E777" t="s" s="9">
        <v>33</v>
      </c>
      <c r="F777" s="10">
        <v>3085</v>
      </c>
      <c r="G777" s="10">
        <v>17477569</v>
      </c>
      <c r="H777" s="11" cm="1">
        <f t="array" ref="H777">F777/G777*100000</f>
        <v>17.651196227576</v>
      </c>
    </row>
    <row r="778" ht="13" customHeight="1">
      <c r="A778" s="8">
        <v>6</v>
      </c>
      <c r="B778" t="s" s="9">
        <v>39</v>
      </c>
      <c r="C778" t="s" s="9">
        <v>63</v>
      </c>
      <c r="D778" t="s" s="9">
        <v>46</v>
      </c>
      <c r="E778" t="s" s="9">
        <v>33</v>
      </c>
      <c r="F778" s="10">
        <v>1706</v>
      </c>
      <c r="G778" s="10">
        <v>17477569</v>
      </c>
      <c r="H778" s="11" cm="1">
        <f t="array" ref="H778">F778/G778*100000</f>
        <v>9.761082905751939</v>
      </c>
    </row>
    <row r="779" ht="13" customHeight="1">
      <c r="A779" s="8">
        <v>7</v>
      </c>
      <c r="B779" t="s" s="9">
        <v>41</v>
      </c>
      <c r="C779" t="s" s="9">
        <v>63</v>
      </c>
      <c r="D779" t="s" s="9">
        <v>46</v>
      </c>
      <c r="E779" t="s" s="9">
        <v>33</v>
      </c>
      <c r="F779" s="10">
        <v>2098</v>
      </c>
      <c r="G779" s="10">
        <v>17477569</v>
      </c>
      <c r="H779" s="11" cm="1">
        <f t="array" ref="H779">F779/G779*100000</f>
        <v>12.0039577586563</v>
      </c>
    </row>
    <row r="780" ht="13" customHeight="1">
      <c r="A780" s="8">
        <v>8</v>
      </c>
      <c r="B780" t="s" s="9">
        <v>37</v>
      </c>
      <c r="C780" t="s" s="9">
        <v>63</v>
      </c>
      <c r="D780" t="s" s="9">
        <v>46</v>
      </c>
      <c r="E780" t="s" s="9">
        <v>33</v>
      </c>
      <c r="F780" s="10">
        <v>923</v>
      </c>
      <c r="G780" s="10">
        <v>17477569</v>
      </c>
      <c r="H780" s="11" cm="1">
        <f t="array" ref="H780">F780/G780*100000</f>
        <v>5.28105481946603</v>
      </c>
    </row>
    <row r="781" ht="13" customHeight="1">
      <c r="A781" s="8">
        <v>9</v>
      </c>
      <c r="B781" t="s" s="9">
        <v>35</v>
      </c>
      <c r="C781" t="s" s="9">
        <v>63</v>
      </c>
      <c r="D781" t="s" s="9">
        <v>46</v>
      </c>
      <c r="E781" t="s" s="9">
        <v>33</v>
      </c>
      <c r="F781" s="10">
        <v>1041</v>
      </c>
      <c r="G781" s="10">
        <v>17477569</v>
      </c>
      <c r="H781" s="11" cm="1">
        <f t="array" ref="H781">F781/G781*100000</f>
        <v>5.95620592314641</v>
      </c>
    </row>
    <row r="782" ht="13" customHeight="1">
      <c r="A782" s="8">
        <v>10</v>
      </c>
      <c r="B782" t="s" s="9">
        <v>45</v>
      </c>
      <c r="C782" t="s" s="9">
        <v>63</v>
      </c>
      <c r="D782" t="s" s="9">
        <v>46</v>
      </c>
      <c r="E782" t="s" s="9">
        <v>33</v>
      </c>
      <c r="F782" s="10">
        <v>861</v>
      </c>
      <c r="G782" s="10">
        <v>17477569</v>
      </c>
      <c r="H782" s="11" cm="1">
        <f t="array" ref="H782">F782/G782*100000</f>
        <v>4.92631440905769</v>
      </c>
    </row>
    <row r="783" ht="13" customHeight="1">
      <c r="A783" s="8">
        <v>1</v>
      </c>
      <c r="B783" t="s" s="9">
        <v>30</v>
      </c>
      <c r="C783" t="s" s="9">
        <v>63</v>
      </c>
      <c r="D783" t="s" s="9">
        <v>47</v>
      </c>
      <c r="E783" t="s" s="9">
        <v>33</v>
      </c>
      <c r="F783" s="10">
        <v>2621</v>
      </c>
      <c r="G783" s="10">
        <v>3342831</v>
      </c>
      <c r="H783" s="11" cm="1">
        <f t="array" ref="H783">F783/G783*100000</f>
        <v>78.4065960857728</v>
      </c>
    </row>
    <row r="784" ht="13" customHeight="1">
      <c r="A784" s="8">
        <v>2</v>
      </c>
      <c r="B784" t="s" s="9">
        <v>35</v>
      </c>
      <c r="C784" t="s" s="9">
        <v>63</v>
      </c>
      <c r="D784" t="s" s="9">
        <v>47</v>
      </c>
      <c r="E784" t="s" s="9">
        <v>33</v>
      </c>
      <c r="F784" s="10">
        <v>1913</v>
      </c>
      <c r="G784" s="10">
        <v>3342831</v>
      </c>
      <c r="H784" s="11" cm="1">
        <f t="array" ref="H784">F784/G784*100000</f>
        <v>57.2269432705393</v>
      </c>
    </row>
    <row r="785" ht="13" customHeight="1">
      <c r="A785" s="8">
        <v>3</v>
      </c>
      <c r="B785" t="s" s="9">
        <v>34</v>
      </c>
      <c r="C785" t="s" s="9">
        <v>63</v>
      </c>
      <c r="D785" t="s" s="9">
        <v>47</v>
      </c>
      <c r="E785" t="s" s="9">
        <v>33</v>
      </c>
      <c r="F785" s="10">
        <v>596</v>
      </c>
      <c r="G785" s="10">
        <v>3342831</v>
      </c>
      <c r="H785" s="11" cm="1">
        <f t="array" ref="H785">F785/G785*100000</f>
        <v>17.8291992625412</v>
      </c>
    </row>
    <row r="786" ht="13" customHeight="1">
      <c r="A786" s="8">
        <v>4</v>
      </c>
      <c r="B786" t="s" s="9">
        <v>39</v>
      </c>
      <c r="C786" t="s" s="9">
        <v>63</v>
      </c>
      <c r="D786" t="s" s="9">
        <v>47</v>
      </c>
      <c r="E786" t="s" s="9">
        <v>33</v>
      </c>
      <c r="F786" s="10">
        <v>250</v>
      </c>
      <c r="G786" s="10">
        <v>3342831</v>
      </c>
      <c r="H786" s="11" cm="1">
        <f t="array" ref="H786">F786/G786*100000</f>
        <v>7.47869096583106</v>
      </c>
    </row>
    <row r="787" ht="13" customHeight="1">
      <c r="A787" s="8">
        <v>5</v>
      </c>
      <c r="B787" t="s" s="9">
        <v>30</v>
      </c>
      <c r="C787" t="s" s="9">
        <v>63</v>
      </c>
      <c r="D787" t="s" s="9">
        <v>47</v>
      </c>
      <c r="E787" t="s" s="9">
        <v>33</v>
      </c>
      <c r="F787" s="10">
        <v>393</v>
      </c>
      <c r="G787" s="10">
        <v>3342831</v>
      </c>
      <c r="H787" s="11" cm="1">
        <f t="array" ref="H787">F787/G787*100000</f>
        <v>11.7565021982864</v>
      </c>
    </row>
    <row r="788" ht="13" customHeight="1">
      <c r="A788" s="8">
        <v>6</v>
      </c>
      <c r="B788" t="s" s="9">
        <v>35</v>
      </c>
      <c r="C788" t="s" s="9">
        <v>63</v>
      </c>
      <c r="D788" t="s" s="9">
        <v>47</v>
      </c>
      <c r="E788" t="s" s="9">
        <v>33</v>
      </c>
      <c r="F788" s="10">
        <v>474</v>
      </c>
      <c r="G788" s="10">
        <v>3342831</v>
      </c>
      <c r="H788" s="11" cm="1">
        <f t="array" ref="H788">F788/G788*100000</f>
        <v>14.1795980712157</v>
      </c>
    </row>
    <row r="789" ht="13" customHeight="1">
      <c r="A789" s="8">
        <v>7</v>
      </c>
      <c r="B789" t="s" s="9">
        <v>45</v>
      </c>
      <c r="C789" t="s" s="9">
        <v>63</v>
      </c>
      <c r="D789" t="s" s="9">
        <v>47</v>
      </c>
      <c r="E789" t="s" s="9">
        <v>33</v>
      </c>
      <c r="F789" s="10">
        <v>355</v>
      </c>
      <c r="G789" s="10">
        <v>3342831</v>
      </c>
      <c r="H789" s="11" cm="1">
        <f t="array" ref="H789">F789/G789*100000</f>
        <v>10.6197411714801</v>
      </c>
    </row>
    <row r="790" ht="13" customHeight="1">
      <c r="A790" s="8">
        <v>8</v>
      </c>
      <c r="B790" t="s" s="9">
        <v>36</v>
      </c>
      <c r="C790" t="s" s="9">
        <v>63</v>
      </c>
      <c r="D790" t="s" s="9">
        <v>47</v>
      </c>
      <c r="E790" t="s" s="9">
        <v>33</v>
      </c>
      <c r="F790" s="10">
        <v>222</v>
      </c>
      <c r="G790" s="10">
        <v>3342831</v>
      </c>
      <c r="H790" s="11" cm="1">
        <f t="array" ref="H790">F790/G790*100000</f>
        <v>6.64107757765798</v>
      </c>
    </row>
    <row r="791" ht="13" customHeight="1">
      <c r="A791" s="8">
        <v>9</v>
      </c>
      <c r="B791" t="s" s="9">
        <v>36</v>
      </c>
      <c r="C791" t="s" s="9">
        <v>63</v>
      </c>
      <c r="D791" t="s" s="9">
        <v>47</v>
      </c>
      <c r="E791" t="s" s="9">
        <v>33</v>
      </c>
      <c r="F791" s="10">
        <v>165</v>
      </c>
      <c r="G791" s="10">
        <v>3342831</v>
      </c>
      <c r="H791" s="11" cm="1">
        <f t="array" ref="H791">F791/G791*100000</f>
        <v>4.9359360374485</v>
      </c>
    </row>
    <row r="792" ht="13" customHeight="1">
      <c r="A792" s="8">
        <v>10</v>
      </c>
      <c r="B792" t="s" s="9">
        <v>45</v>
      </c>
      <c r="C792" t="s" s="9">
        <v>63</v>
      </c>
      <c r="D792" t="s" s="9">
        <v>47</v>
      </c>
      <c r="E792" t="s" s="9">
        <v>33</v>
      </c>
      <c r="F792" s="10">
        <v>177</v>
      </c>
      <c r="G792" s="10">
        <v>3342831</v>
      </c>
      <c r="H792" s="11" cm="1">
        <f t="array" ref="H792">F792/G792*100000</f>
        <v>5.29491320380839</v>
      </c>
    </row>
    <row r="793" ht="13" customHeight="1">
      <c r="A793" s="8">
        <v>1</v>
      </c>
      <c r="B793" t="s" s="9">
        <v>30</v>
      </c>
      <c r="C793" t="s" s="9">
        <v>63</v>
      </c>
      <c r="D793" t="s" s="9">
        <v>49</v>
      </c>
      <c r="E793" t="s" s="9">
        <v>33</v>
      </c>
      <c r="F793" s="10">
        <v>4571</v>
      </c>
      <c r="G793" s="10">
        <v>6397690</v>
      </c>
      <c r="H793" s="11" cm="1">
        <f t="array" ref="H793">F793/G793*100000</f>
        <v>71.4476631409149</v>
      </c>
    </row>
    <row r="794" ht="13" customHeight="1">
      <c r="A794" s="8">
        <v>2</v>
      </c>
      <c r="B794" t="s" s="9">
        <v>34</v>
      </c>
      <c r="C794" t="s" s="9">
        <v>63</v>
      </c>
      <c r="D794" t="s" s="9">
        <v>49</v>
      </c>
      <c r="E794" t="s" s="9">
        <v>33</v>
      </c>
      <c r="F794" s="10">
        <v>2940</v>
      </c>
      <c r="G794" s="10">
        <v>6397690</v>
      </c>
      <c r="H794" s="11" cm="1">
        <f t="array" ref="H794">F794/G794*100000</f>
        <v>45.9540865531153</v>
      </c>
    </row>
    <row r="795" ht="13" customHeight="1">
      <c r="A795" s="8">
        <v>3</v>
      </c>
      <c r="B795" t="s" s="9">
        <v>35</v>
      </c>
      <c r="C795" t="s" s="9">
        <v>63</v>
      </c>
      <c r="D795" t="s" s="9">
        <v>49</v>
      </c>
      <c r="E795" t="s" s="9">
        <v>33</v>
      </c>
      <c r="F795" s="10">
        <v>2017</v>
      </c>
      <c r="G795" s="10">
        <v>6397690</v>
      </c>
      <c r="H795" s="11" cm="1">
        <f t="array" ref="H795">F795/G795*100000</f>
        <v>31.5270042781066</v>
      </c>
    </row>
    <row r="796" ht="13" customHeight="1">
      <c r="A796" s="8">
        <v>4</v>
      </c>
      <c r="B796" t="s" s="9">
        <v>30</v>
      </c>
      <c r="C796" t="s" s="9">
        <v>63</v>
      </c>
      <c r="D796" t="s" s="9">
        <v>49</v>
      </c>
      <c r="E796" t="s" s="9">
        <v>33</v>
      </c>
      <c r="F796" s="10">
        <v>1000</v>
      </c>
      <c r="G796" s="10">
        <v>6397690</v>
      </c>
      <c r="H796" s="11" cm="1">
        <f t="array" ref="H796">F796/G796*100000</f>
        <v>15.6306416847331</v>
      </c>
    </row>
    <row r="797" ht="13" customHeight="1">
      <c r="A797" s="8">
        <v>5</v>
      </c>
      <c r="B797" t="s" s="9">
        <v>39</v>
      </c>
      <c r="C797" t="s" s="9">
        <v>63</v>
      </c>
      <c r="D797" t="s" s="9">
        <v>49</v>
      </c>
      <c r="E797" t="s" s="9">
        <v>33</v>
      </c>
      <c r="F797" s="10">
        <v>517</v>
      </c>
      <c r="G797" s="10">
        <v>6397690</v>
      </c>
      <c r="H797" s="11" cm="1">
        <f t="array" ref="H797">F797/G797*100000</f>
        <v>8.081041751007</v>
      </c>
    </row>
    <row r="798" ht="13" customHeight="1">
      <c r="A798" s="8">
        <v>6</v>
      </c>
      <c r="B798" t="s" s="9">
        <v>36</v>
      </c>
      <c r="C798" t="s" s="9">
        <v>63</v>
      </c>
      <c r="D798" t="s" s="9">
        <v>49</v>
      </c>
      <c r="E798" t="s" s="9">
        <v>33</v>
      </c>
      <c r="F798" s="10">
        <v>749</v>
      </c>
      <c r="G798" s="10">
        <v>6397690</v>
      </c>
      <c r="H798" s="11" cm="1">
        <f t="array" ref="H798">F798/G798*100000</f>
        <v>11.7073506218651</v>
      </c>
    </row>
    <row r="799" ht="13" customHeight="1">
      <c r="A799" s="8">
        <v>7</v>
      </c>
      <c r="B799" t="s" s="9">
        <v>37</v>
      </c>
      <c r="C799" t="s" s="9">
        <v>63</v>
      </c>
      <c r="D799" t="s" s="9">
        <v>49</v>
      </c>
      <c r="E799" t="s" s="9">
        <v>33</v>
      </c>
      <c r="F799" s="10">
        <v>651</v>
      </c>
      <c r="G799" s="10">
        <v>6397690</v>
      </c>
      <c r="H799" s="11" cm="1">
        <f t="array" ref="H799">F799/G799*100000</f>
        <v>10.1755477367612</v>
      </c>
    </row>
    <row r="800" ht="13" customHeight="1">
      <c r="A800" s="8">
        <v>8</v>
      </c>
      <c r="B800" t="s" s="9">
        <v>36</v>
      </c>
      <c r="C800" t="s" s="9">
        <v>63</v>
      </c>
      <c r="D800" t="s" s="9">
        <v>49</v>
      </c>
      <c r="E800" t="s" s="9">
        <v>33</v>
      </c>
      <c r="F800" s="10">
        <v>822</v>
      </c>
      <c r="G800" s="10">
        <v>6397690</v>
      </c>
      <c r="H800" s="11" cm="1">
        <f t="array" ref="H800">F800/G800*100000</f>
        <v>12.8483874648506</v>
      </c>
    </row>
    <row r="801" ht="13" customHeight="1">
      <c r="A801" s="8">
        <v>9</v>
      </c>
      <c r="B801" t="s" s="9">
        <v>30</v>
      </c>
      <c r="C801" t="s" s="9">
        <v>63</v>
      </c>
      <c r="D801" t="s" s="9">
        <v>49</v>
      </c>
      <c r="E801" t="s" s="9">
        <v>33</v>
      </c>
      <c r="F801" s="10">
        <v>710</v>
      </c>
      <c r="G801" s="10">
        <v>6397690</v>
      </c>
      <c r="H801" s="11" cm="1">
        <f t="array" ref="H801">F801/G801*100000</f>
        <v>11.0977555961605</v>
      </c>
    </row>
    <row r="802" ht="13" customHeight="1">
      <c r="A802" s="8">
        <v>10</v>
      </c>
      <c r="B802" t="s" s="9">
        <v>30</v>
      </c>
      <c r="C802" t="s" s="9">
        <v>63</v>
      </c>
      <c r="D802" t="s" s="9">
        <v>49</v>
      </c>
      <c r="E802" t="s" s="9">
        <v>33</v>
      </c>
      <c r="F802" s="10">
        <v>633</v>
      </c>
      <c r="G802" s="10">
        <v>6397690</v>
      </c>
      <c r="H802" s="11" cm="1">
        <f t="array" ref="H802">F802/G802*100000</f>
        <v>9.894196186436041</v>
      </c>
    </row>
    <row r="803" ht="13.65" customHeight="1">
      <c r="A803" s="8">
        <v>1</v>
      </c>
      <c r="B803" t="s" s="9">
        <v>30</v>
      </c>
      <c r="C803" t="s" s="9">
        <v>63</v>
      </c>
      <c r="D803" t="s" s="9">
        <v>51</v>
      </c>
      <c r="E803" t="s" s="9">
        <v>33</v>
      </c>
      <c r="F803" s="10">
        <v>1465</v>
      </c>
      <c r="G803" s="12"/>
      <c r="H803" s="13"/>
    </row>
    <row r="804" ht="13.65" customHeight="1">
      <c r="A804" s="8">
        <v>2</v>
      </c>
      <c r="B804" t="s" s="9">
        <v>34</v>
      </c>
      <c r="C804" t="s" s="9">
        <v>63</v>
      </c>
      <c r="D804" t="s" s="9">
        <v>51</v>
      </c>
      <c r="E804" t="s" s="9">
        <v>33</v>
      </c>
      <c r="F804" s="10">
        <v>1244</v>
      </c>
      <c r="G804" s="14"/>
      <c r="H804" s="15"/>
    </row>
    <row r="805" ht="13.65" customHeight="1">
      <c r="A805" s="8">
        <v>3</v>
      </c>
      <c r="B805" t="s" s="9">
        <v>35</v>
      </c>
      <c r="C805" t="s" s="9">
        <v>63</v>
      </c>
      <c r="D805" t="s" s="9">
        <v>51</v>
      </c>
      <c r="E805" t="s" s="9">
        <v>33</v>
      </c>
      <c r="F805" s="10">
        <v>1176</v>
      </c>
      <c r="G805" s="14"/>
      <c r="H805" s="15"/>
    </row>
    <row r="806" ht="13.65" customHeight="1">
      <c r="A806" s="8">
        <v>4</v>
      </c>
      <c r="B806" t="s" s="9">
        <v>30</v>
      </c>
      <c r="C806" t="s" s="9">
        <v>63</v>
      </c>
      <c r="D806" t="s" s="9">
        <v>51</v>
      </c>
      <c r="E806" t="s" s="9">
        <v>33</v>
      </c>
      <c r="F806" s="10">
        <v>745</v>
      </c>
      <c r="G806" s="14"/>
      <c r="H806" s="15"/>
    </row>
    <row r="807" ht="13.65" customHeight="1">
      <c r="A807" s="8">
        <v>5</v>
      </c>
      <c r="B807" t="s" s="9">
        <v>39</v>
      </c>
      <c r="C807" t="s" s="9">
        <v>63</v>
      </c>
      <c r="D807" t="s" s="9">
        <v>51</v>
      </c>
      <c r="E807" t="s" s="9">
        <v>33</v>
      </c>
      <c r="F807" s="10">
        <v>247</v>
      </c>
      <c r="G807" s="14"/>
      <c r="H807" s="15"/>
    </row>
    <row r="808" ht="13.65" customHeight="1">
      <c r="A808" s="8">
        <v>6</v>
      </c>
      <c r="B808" t="s" s="9">
        <v>37</v>
      </c>
      <c r="C808" t="s" s="9">
        <v>63</v>
      </c>
      <c r="D808" t="s" s="9">
        <v>51</v>
      </c>
      <c r="E808" t="s" s="9">
        <v>33</v>
      </c>
      <c r="F808" s="10">
        <v>278</v>
      </c>
      <c r="G808" s="14"/>
      <c r="H808" s="15"/>
    </row>
    <row r="809" ht="13.65" customHeight="1">
      <c r="A809" s="8">
        <v>7</v>
      </c>
      <c r="B809" t="s" s="9">
        <v>35</v>
      </c>
      <c r="C809" t="s" s="9">
        <v>63</v>
      </c>
      <c r="D809" t="s" s="9">
        <v>51</v>
      </c>
      <c r="E809" t="s" s="9">
        <v>33</v>
      </c>
      <c r="F809" s="10">
        <v>536</v>
      </c>
      <c r="G809" s="14"/>
      <c r="H809" s="15"/>
    </row>
    <row r="810" ht="13.65" customHeight="1">
      <c r="A810" s="8">
        <v>8</v>
      </c>
      <c r="B810" t="s" s="9">
        <v>30</v>
      </c>
      <c r="C810" t="s" s="9">
        <v>63</v>
      </c>
      <c r="D810" t="s" s="9">
        <v>51</v>
      </c>
      <c r="E810" t="s" s="9">
        <v>33</v>
      </c>
      <c r="F810" s="10">
        <v>429</v>
      </c>
      <c r="G810" s="14"/>
      <c r="H810" s="15"/>
    </row>
    <row r="811" ht="13.65" customHeight="1">
      <c r="A811" s="8">
        <v>9</v>
      </c>
      <c r="B811" t="s" s="9">
        <v>41</v>
      </c>
      <c r="C811" t="s" s="9">
        <v>63</v>
      </c>
      <c r="D811" t="s" s="9">
        <v>51</v>
      </c>
      <c r="E811" t="s" s="9">
        <v>33</v>
      </c>
      <c r="F811" s="10">
        <v>242</v>
      </c>
      <c r="G811" s="14"/>
      <c r="H811" s="15"/>
    </row>
    <row r="812" ht="13.65" customHeight="1">
      <c r="A812" s="8">
        <v>10</v>
      </c>
      <c r="B812" t="s" s="9">
        <v>36</v>
      </c>
      <c r="C812" t="s" s="9">
        <v>63</v>
      </c>
      <c r="D812" t="s" s="9">
        <v>51</v>
      </c>
      <c r="E812" t="s" s="9">
        <v>33</v>
      </c>
      <c r="F812" s="10">
        <v>315</v>
      </c>
      <c r="G812" s="14"/>
      <c r="H812" s="15"/>
    </row>
    <row r="813" ht="13.65" customHeight="1">
      <c r="A813" s="8">
        <v>1</v>
      </c>
      <c r="B813" t="s" s="9">
        <v>35</v>
      </c>
      <c r="C813" t="s" s="9">
        <v>63</v>
      </c>
      <c r="D813" t="s" s="9">
        <v>52</v>
      </c>
      <c r="E813" t="s" s="9">
        <v>33</v>
      </c>
      <c r="F813" s="10">
        <v>6228</v>
      </c>
      <c r="G813" s="14"/>
      <c r="H813" s="15"/>
    </row>
    <row r="814" ht="13.65" customHeight="1">
      <c r="A814" s="8">
        <v>2</v>
      </c>
      <c r="B814" t="s" s="9">
        <v>30</v>
      </c>
      <c r="C814" t="s" s="9">
        <v>63</v>
      </c>
      <c r="D814" t="s" s="9">
        <v>52</v>
      </c>
      <c r="E814" t="s" s="9">
        <v>33</v>
      </c>
      <c r="F814" s="10">
        <v>2420</v>
      </c>
      <c r="G814" s="14"/>
      <c r="H814" s="15"/>
    </row>
    <row r="815" ht="13.65" customHeight="1">
      <c r="A815" s="8">
        <v>3</v>
      </c>
      <c r="B815" t="s" s="9">
        <v>34</v>
      </c>
      <c r="C815" t="s" s="9">
        <v>63</v>
      </c>
      <c r="D815" t="s" s="9">
        <v>52</v>
      </c>
      <c r="E815" t="s" s="9">
        <v>33</v>
      </c>
      <c r="F815" s="10">
        <v>1449</v>
      </c>
      <c r="G815" s="14"/>
      <c r="H815" s="15"/>
    </row>
    <row r="816" ht="13.65" customHeight="1">
      <c r="A816" s="8">
        <v>4</v>
      </c>
      <c r="B816" t="s" s="9">
        <v>30</v>
      </c>
      <c r="C816" t="s" s="9">
        <v>63</v>
      </c>
      <c r="D816" t="s" s="9">
        <v>52</v>
      </c>
      <c r="E816" t="s" s="9">
        <v>33</v>
      </c>
      <c r="F816" s="10">
        <v>1104</v>
      </c>
      <c r="G816" s="14"/>
      <c r="H816" s="15"/>
    </row>
    <row r="817" ht="13.65" customHeight="1">
      <c r="A817" s="8">
        <v>5</v>
      </c>
      <c r="B817" t="s" s="9">
        <v>35</v>
      </c>
      <c r="C817" t="s" s="9">
        <v>63</v>
      </c>
      <c r="D817" t="s" s="9">
        <v>52</v>
      </c>
      <c r="E817" t="s" s="9">
        <v>33</v>
      </c>
      <c r="F817" s="10">
        <v>843</v>
      </c>
      <c r="G817" s="14"/>
      <c r="H817" s="15"/>
    </row>
    <row r="818" ht="13.65" customHeight="1">
      <c r="A818" s="8">
        <v>6</v>
      </c>
      <c r="B818" t="s" s="9">
        <v>39</v>
      </c>
      <c r="C818" t="s" s="9">
        <v>63</v>
      </c>
      <c r="D818" t="s" s="9">
        <v>52</v>
      </c>
      <c r="E818" t="s" s="9">
        <v>33</v>
      </c>
      <c r="F818" s="10">
        <v>299</v>
      </c>
      <c r="G818" s="14"/>
      <c r="H818" s="15"/>
    </row>
    <row r="819" ht="13.65" customHeight="1">
      <c r="A819" s="8">
        <v>7</v>
      </c>
      <c r="B819" t="s" s="9">
        <v>36</v>
      </c>
      <c r="C819" t="s" s="9">
        <v>63</v>
      </c>
      <c r="D819" t="s" s="9">
        <v>52</v>
      </c>
      <c r="E819" t="s" s="9">
        <v>33</v>
      </c>
      <c r="F819" s="10">
        <v>600</v>
      </c>
      <c r="G819" s="14"/>
      <c r="H819" s="15"/>
    </row>
    <row r="820" ht="13.65" customHeight="1">
      <c r="A820" s="8">
        <v>8</v>
      </c>
      <c r="B820" t="s" s="9">
        <v>37</v>
      </c>
      <c r="C820" t="s" s="9">
        <v>63</v>
      </c>
      <c r="D820" t="s" s="9">
        <v>52</v>
      </c>
      <c r="E820" t="s" s="9">
        <v>33</v>
      </c>
      <c r="F820" s="10">
        <v>336</v>
      </c>
      <c r="G820" s="14"/>
      <c r="H820" s="15"/>
    </row>
    <row r="821" ht="13.65" customHeight="1">
      <c r="A821" s="8">
        <v>9</v>
      </c>
      <c r="B821" t="s" s="9">
        <v>45</v>
      </c>
      <c r="C821" t="s" s="9">
        <v>63</v>
      </c>
      <c r="D821" t="s" s="9">
        <v>52</v>
      </c>
      <c r="E821" t="s" s="9">
        <v>33</v>
      </c>
      <c r="F821" s="10">
        <v>415</v>
      </c>
      <c r="G821" s="14"/>
      <c r="H821" s="15"/>
    </row>
    <row r="822" ht="13.65" customHeight="1">
      <c r="A822" s="8">
        <v>10</v>
      </c>
      <c r="B822" t="s" s="9">
        <v>36</v>
      </c>
      <c r="C822" t="s" s="9">
        <v>63</v>
      </c>
      <c r="D822" t="s" s="9">
        <v>52</v>
      </c>
      <c r="E822" t="s" s="9">
        <v>33</v>
      </c>
      <c r="F822" s="10">
        <v>359</v>
      </c>
      <c r="G822" s="16"/>
      <c r="H822" s="17"/>
    </row>
    <row r="823" ht="13" customHeight="1">
      <c r="A823" s="8">
        <v>1</v>
      </c>
      <c r="B823" t="s" s="9">
        <v>30</v>
      </c>
      <c r="C823" t="s" s="9">
        <v>63</v>
      </c>
      <c r="D823" t="s" s="9">
        <v>53</v>
      </c>
      <c r="E823" t="s" s="9">
        <v>33</v>
      </c>
      <c r="F823" s="10">
        <v>1447</v>
      </c>
      <c r="G823" s="10">
        <v>5049226</v>
      </c>
      <c r="H823" s="11" cm="1">
        <f t="array" ref="H823">F823/G823*100000</f>
        <v>28.6578576597681</v>
      </c>
    </row>
    <row r="824" ht="13" customHeight="1">
      <c r="A824" s="8">
        <v>2</v>
      </c>
      <c r="B824" t="s" s="9">
        <v>41</v>
      </c>
      <c r="C824" t="s" s="9">
        <v>63</v>
      </c>
      <c r="D824" t="s" s="9">
        <v>53</v>
      </c>
      <c r="E824" t="s" s="9">
        <v>33</v>
      </c>
      <c r="F824" s="10">
        <v>774</v>
      </c>
      <c r="G824" s="10">
        <v>5049226</v>
      </c>
      <c r="H824" s="11" cm="1">
        <f t="array" ref="H824">F824/G824*100000</f>
        <v>15.3290821207052</v>
      </c>
    </row>
    <row r="825" ht="13" customHeight="1">
      <c r="A825" s="8">
        <v>3</v>
      </c>
      <c r="B825" t="s" s="9">
        <v>34</v>
      </c>
      <c r="C825" t="s" s="9">
        <v>63</v>
      </c>
      <c r="D825" t="s" s="9">
        <v>53</v>
      </c>
      <c r="E825" t="s" s="9">
        <v>33</v>
      </c>
      <c r="F825" s="10">
        <v>608</v>
      </c>
      <c r="G825" s="10">
        <v>5049226</v>
      </c>
      <c r="H825" s="11" cm="1">
        <f t="array" ref="H825">F825/G825*100000</f>
        <v>12.0414495211741</v>
      </c>
    </row>
    <row r="826" ht="13" customHeight="1">
      <c r="A826" s="8">
        <v>4</v>
      </c>
      <c r="B826" t="s" s="9">
        <v>30</v>
      </c>
      <c r="C826" t="s" s="9">
        <v>63</v>
      </c>
      <c r="D826" t="s" s="9">
        <v>53</v>
      </c>
      <c r="E826" t="s" s="9">
        <v>33</v>
      </c>
      <c r="F826" s="10">
        <v>651</v>
      </c>
      <c r="G826" s="10">
        <v>5049226</v>
      </c>
      <c r="H826" s="11" cm="1">
        <f t="array" ref="H826">F826/G826*100000</f>
        <v>12.8930651945466</v>
      </c>
    </row>
    <row r="827" ht="13" customHeight="1">
      <c r="A827" s="8">
        <v>5</v>
      </c>
      <c r="B827" t="s" s="9">
        <v>35</v>
      </c>
      <c r="C827" t="s" s="9">
        <v>63</v>
      </c>
      <c r="D827" t="s" s="9">
        <v>53</v>
      </c>
      <c r="E827" t="s" s="9">
        <v>33</v>
      </c>
      <c r="F827" s="10">
        <v>532</v>
      </c>
      <c r="G827" s="10">
        <v>5049226</v>
      </c>
      <c r="H827" s="11" cm="1">
        <f t="array" ref="H827">F827/G827*100000</f>
        <v>10.5362683310274</v>
      </c>
    </row>
    <row r="828" ht="13" customHeight="1">
      <c r="A828" s="8">
        <v>6</v>
      </c>
      <c r="B828" t="s" s="9">
        <v>39</v>
      </c>
      <c r="C828" t="s" s="9">
        <v>63</v>
      </c>
      <c r="D828" t="s" s="9">
        <v>53</v>
      </c>
      <c r="E828" t="s" s="9">
        <v>33</v>
      </c>
      <c r="F828" s="10">
        <v>254</v>
      </c>
      <c r="G828" s="10">
        <v>5049226</v>
      </c>
      <c r="H828" s="11" cm="1">
        <f t="array" ref="H828">F828/G828*100000</f>
        <v>5.03047397759577</v>
      </c>
    </row>
    <row r="829" ht="13" customHeight="1">
      <c r="A829" s="8">
        <v>7</v>
      </c>
      <c r="B829" t="s" s="9">
        <v>37</v>
      </c>
      <c r="C829" t="s" s="9">
        <v>63</v>
      </c>
      <c r="D829" t="s" s="9">
        <v>53</v>
      </c>
      <c r="E829" t="s" s="9">
        <v>33</v>
      </c>
      <c r="F829" s="10">
        <v>200</v>
      </c>
      <c r="G829" s="10">
        <v>5049226</v>
      </c>
      <c r="H829" s="11" cm="1">
        <f t="array" ref="H829">F829/G829*100000</f>
        <v>3.96100313196518</v>
      </c>
    </row>
    <row r="830" ht="13" customHeight="1">
      <c r="A830" s="8">
        <v>8</v>
      </c>
      <c r="B830" t="s" s="9">
        <v>30</v>
      </c>
      <c r="C830" t="s" s="9">
        <v>63</v>
      </c>
      <c r="D830" t="s" s="9">
        <v>53</v>
      </c>
      <c r="E830" t="s" s="9">
        <v>33</v>
      </c>
      <c r="F830" s="10">
        <v>180</v>
      </c>
      <c r="G830" s="10">
        <v>5049226</v>
      </c>
      <c r="H830" s="11" cm="1">
        <f t="array" ref="H830">F830/G830*100000</f>
        <v>3.56490281876866</v>
      </c>
    </row>
    <row r="831" ht="13" customHeight="1">
      <c r="A831" s="8">
        <v>9</v>
      </c>
      <c r="B831" t="s" s="9">
        <v>36</v>
      </c>
      <c r="C831" t="s" s="9">
        <v>63</v>
      </c>
      <c r="D831" t="s" s="9">
        <v>53</v>
      </c>
      <c r="E831" t="s" s="9">
        <v>33</v>
      </c>
      <c r="F831" s="10">
        <v>175</v>
      </c>
      <c r="G831" s="10">
        <v>5049226</v>
      </c>
      <c r="H831" s="11" cm="1">
        <f t="array" ref="H831">F831/G831*100000</f>
        <v>3.46587774046953</v>
      </c>
    </row>
    <row r="832" ht="13" customHeight="1">
      <c r="A832" s="8">
        <v>10</v>
      </c>
      <c r="B832" t="s" s="9">
        <v>30</v>
      </c>
      <c r="C832" t="s" s="9">
        <v>63</v>
      </c>
      <c r="D832" t="s" s="9">
        <v>53</v>
      </c>
      <c r="E832" t="s" s="9">
        <v>33</v>
      </c>
      <c r="F832" s="10">
        <v>162</v>
      </c>
      <c r="G832" s="10">
        <v>5049226</v>
      </c>
      <c r="H832" s="11" cm="1">
        <f t="array" ref="H832">F832/G832*100000</f>
        <v>3.20841253689179</v>
      </c>
    </row>
    <row r="833" ht="13" customHeight="1">
      <c r="A833" s="8">
        <v>1</v>
      </c>
      <c r="B833" t="s" s="9">
        <v>30</v>
      </c>
      <c r="C833" t="s" s="9">
        <v>63</v>
      </c>
      <c r="D833" t="s" s="9">
        <v>54</v>
      </c>
      <c r="E833" t="s" s="9">
        <v>33</v>
      </c>
      <c r="F833" s="10">
        <v>1166</v>
      </c>
      <c r="G833" s="10">
        <v>3901529</v>
      </c>
      <c r="H833" s="11" cm="1">
        <f t="array" ref="H833">F833/G833*100000</f>
        <v>29.885719162923</v>
      </c>
    </row>
    <row r="834" ht="13" customHeight="1">
      <c r="A834" s="8">
        <v>2</v>
      </c>
      <c r="B834" t="s" s="9">
        <v>34</v>
      </c>
      <c r="C834" t="s" s="9">
        <v>63</v>
      </c>
      <c r="D834" t="s" s="9">
        <v>54</v>
      </c>
      <c r="E834" t="s" s="9">
        <v>33</v>
      </c>
      <c r="F834" s="10">
        <v>563</v>
      </c>
      <c r="G834" s="10">
        <v>3901529</v>
      </c>
      <c r="H834" s="11" cm="1">
        <f t="array" ref="H834">F834/G834*100000</f>
        <v>14.4302400417887</v>
      </c>
    </row>
    <row r="835" ht="13" customHeight="1">
      <c r="A835" s="8">
        <v>3</v>
      </c>
      <c r="B835" t="s" s="9">
        <v>35</v>
      </c>
      <c r="C835" t="s" s="9">
        <v>63</v>
      </c>
      <c r="D835" t="s" s="9">
        <v>54</v>
      </c>
      <c r="E835" t="s" s="9">
        <v>33</v>
      </c>
      <c r="F835" s="10">
        <v>516</v>
      </c>
      <c r="G835" s="10">
        <v>3901529</v>
      </c>
      <c r="H835" s="11" cm="1">
        <f t="array" ref="H835">F835/G835*100000</f>
        <v>13.2255841235577</v>
      </c>
    </row>
    <row r="836" ht="13" customHeight="1">
      <c r="A836" s="8">
        <v>4</v>
      </c>
      <c r="B836" t="s" s="9">
        <v>41</v>
      </c>
      <c r="C836" t="s" s="9">
        <v>63</v>
      </c>
      <c r="D836" t="s" s="9">
        <v>54</v>
      </c>
      <c r="E836" t="s" s="9">
        <v>33</v>
      </c>
      <c r="F836" s="10">
        <v>375</v>
      </c>
      <c r="G836" s="10">
        <v>3901529</v>
      </c>
      <c r="H836" s="11" cm="1">
        <f t="array" ref="H836">F836/G836*100000</f>
        <v>9.61161636886462</v>
      </c>
    </row>
    <row r="837" ht="13" customHeight="1">
      <c r="A837" s="8">
        <v>5</v>
      </c>
      <c r="B837" t="s" s="9">
        <v>39</v>
      </c>
      <c r="C837" t="s" s="9">
        <v>63</v>
      </c>
      <c r="D837" t="s" s="9">
        <v>54</v>
      </c>
      <c r="E837" t="s" s="9">
        <v>33</v>
      </c>
      <c r="F837" s="10">
        <v>210</v>
      </c>
      <c r="G837" s="10">
        <v>3901529</v>
      </c>
      <c r="H837" s="11" cm="1">
        <f t="array" ref="H837">F837/G837*100000</f>
        <v>5.38250516656419</v>
      </c>
    </row>
    <row r="838" ht="13" customHeight="1">
      <c r="A838" s="8">
        <v>6</v>
      </c>
      <c r="B838" t="s" s="9">
        <v>39</v>
      </c>
      <c r="C838" t="s" s="9">
        <v>63</v>
      </c>
      <c r="D838" t="s" s="9">
        <v>54</v>
      </c>
      <c r="E838" t="s" s="9">
        <v>33</v>
      </c>
      <c r="F838" s="10">
        <v>210</v>
      </c>
      <c r="G838" s="10">
        <v>3901529</v>
      </c>
      <c r="H838" s="11" cm="1">
        <f t="array" ref="H838">F838/G838*100000</f>
        <v>5.38250516656419</v>
      </c>
    </row>
    <row r="839" ht="13" customHeight="1">
      <c r="A839" s="8">
        <v>7</v>
      </c>
      <c r="B839" t="s" s="9">
        <v>41</v>
      </c>
      <c r="C839" t="s" s="9">
        <v>63</v>
      </c>
      <c r="D839" t="s" s="9">
        <v>54</v>
      </c>
      <c r="E839" t="s" s="9">
        <v>33</v>
      </c>
      <c r="F839" s="10">
        <v>331</v>
      </c>
      <c r="G839" s="10">
        <v>3901529</v>
      </c>
      <c r="H839" s="11" cm="1">
        <f t="array" ref="H839">F839/G839*100000</f>
        <v>8.483853381584501</v>
      </c>
    </row>
    <row r="840" ht="13" customHeight="1">
      <c r="A840" s="8">
        <v>8</v>
      </c>
      <c r="B840" t="s" s="9">
        <v>30</v>
      </c>
      <c r="C840" t="s" s="9">
        <v>63</v>
      </c>
      <c r="D840" t="s" s="9">
        <v>54</v>
      </c>
      <c r="E840" t="s" s="9">
        <v>33</v>
      </c>
      <c r="F840" s="10">
        <v>299</v>
      </c>
      <c r="G840" s="10">
        <v>3901529</v>
      </c>
      <c r="H840" s="11" cm="1">
        <f t="array" ref="H840">F840/G840*100000</f>
        <v>7.66366211810805</v>
      </c>
    </row>
    <row r="841" ht="13" customHeight="1">
      <c r="A841" s="8">
        <v>9</v>
      </c>
      <c r="B841" t="s" s="9">
        <v>45</v>
      </c>
      <c r="C841" t="s" s="9">
        <v>63</v>
      </c>
      <c r="D841" t="s" s="9">
        <v>54</v>
      </c>
      <c r="E841" t="s" s="9">
        <v>33</v>
      </c>
      <c r="F841" s="10">
        <v>273</v>
      </c>
      <c r="G841" s="10">
        <v>3901529</v>
      </c>
      <c r="H841" s="11" cm="1">
        <f t="array" ref="H841">F841/G841*100000</f>
        <v>6.99725671653344</v>
      </c>
    </row>
    <row r="842" ht="13" customHeight="1">
      <c r="A842" s="8">
        <v>10</v>
      </c>
      <c r="B842" t="s" s="9">
        <v>45</v>
      </c>
      <c r="C842" t="s" s="9">
        <v>63</v>
      </c>
      <c r="D842" t="s" s="9">
        <v>54</v>
      </c>
      <c r="E842" t="s" s="9">
        <v>33</v>
      </c>
      <c r="F842" s="10">
        <v>271</v>
      </c>
      <c r="G842" s="10">
        <v>3901529</v>
      </c>
      <c r="H842" s="11" cm="1">
        <f t="array" ref="H842">F842/G842*100000</f>
        <v>6.94599476256616</v>
      </c>
    </row>
    <row r="843" ht="13" customHeight="1">
      <c r="A843" s="8">
        <v>1</v>
      </c>
      <c r="B843" t="s" s="9">
        <v>30</v>
      </c>
      <c r="C843" t="s" s="9">
        <v>63</v>
      </c>
      <c r="D843" t="s" s="9">
        <v>55</v>
      </c>
      <c r="E843" t="s" s="9">
        <v>33</v>
      </c>
      <c r="F843" s="10">
        <v>2680</v>
      </c>
      <c r="G843" s="10">
        <v>5273604</v>
      </c>
      <c r="H843" s="11" cm="1">
        <f t="array" ref="H843">F843/G843*100000</f>
        <v>50.8191362112134</v>
      </c>
    </row>
    <row r="844" ht="13" customHeight="1">
      <c r="A844" s="8">
        <v>2</v>
      </c>
      <c r="B844" t="s" s="9">
        <v>35</v>
      </c>
      <c r="C844" t="s" s="9">
        <v>63</v>
      </c>
      <c r="D844" t="s" s="9">
        <v>55</v>
      </c>
      <c r="E844" t="s" s="9">
        <v>33</v>
      </c>
      <c r="F844" s="10">
        <v>2025</v>
      </c>
      <c r="G844" s="10">
        <v>5273604</v>
      </c>
      <c r="H844" s="11" cm="1">
        <f t="array" ref="H844">F844/G844*100000</f>
        <v>38.3987876222788</v>
      </c>
    </row>
    <row r="845" ht="13" customHeight="1">
      <c r="A845" s="8">
        <v>3</v>
      </c>
      <c r="B845" t="s" s="9">
        <v>35</v>
      </c>
      <c r="C845" t="s" s="9">
        <v>63</v>
      </c>
      <c r="D845" t="s" s="9">
        <v>55</v>
      </c>
      <c r="E845" t="s" s="9">
        <v>33</v>
      </c>
      <c r="F845" s="10">
        <v>1554</v>
      </c>
      <c r="G845" s="10">
        <v>5273604</v>
      </c>
      <c r="H845" s="11" cm="1">
        <f t="array" ref="H845">F845/G845*100000</f>
        <v>29.4675140568006</v>
      </c>
    </row>
    <row r="846" ht="13" customHeight="1">
      <c r="A846" s="8">
        <v>4</v>
      </c>
      <c r="B846" t="s" s="9">
        <v>34</v>
      </c>
      <c r="C846" t="s" s="9">
        <v>63</v>
      </c>
      <c r="D846" t="s" s="9">
        <v>55</v>
      </c>
      <c r="E846" t="s" s="9">
        <v>33</v>
      </c>
      <c r="F846" s="10">
        <v>798</v>
      </c>
      <c r="G846" s="10">
        <v>5273604</v>
      </c>
      <c r="H846" s="11" cm="1">
        <f t="array" ref="H846">F846/G846*100000</f>
        <v>15.1319666778165</v>
      </c>
    </row>
    <row r="847" ht="13" customHeight="1">
      <c r="A847" s="8">
        <v>5</v>
      </c>
      <c r="B847" t="s" s="9">
        <v>30</v>
      </c>
      <c r="C847" t="s" s="9">
        <v>63</v>
      </c>
      <c r="D847" t="s" s="9">
        <v>55</v>
      </c>
      <c r="E847" t="s" s="9">
        <v>33</v>
      </c>
      <c r="F847" s="10">
        <v>800</v>
      </c>
      <c r="G847" s="10">
        <v>5273604</v>
      </c>
      <c r="H847" s="11" cm="1">
        <f t="array" ref="H847">F847/G847*100000</f>
        <v>15.1698914063324</v>
      </c>
    </row>
    <row r="848" ht="13" customHeight="1">
      <c r="A848" s="8">
        <v>6</v>
      </c>
      <c r="B848" t="s" s="9">
        <v>36</v>
      </c>
      <c r="C848" t="s" s="9">
        <v>63</v>
      </c>
      <c r="D848" t="s" s="9">
        <v>55</v>
      </c>
      <c r="E848" t="s" s="9">
        <v>33</v>
      </c>
      <c r="F848" s="10">
        <v>545</v>
      </c>
      <c r="G848" s="10">
        <v>5273604</v>
      </c>
      <c r="H848" s="11" cm="1">
        <f t="array" ref="H848">F848/G848*100000</f>
        <v>10.3344885205639</v>
      </c>
    </row>
    <row r="849" ht="13" customHeight="1">
      <c r="A849" s="8">
        <v>7</v>
      </c>
      <c r="B849" t="s" s="9">
        <v>39</v>
      </c>
      <c r="C849" t="s" s="9">
        <v>63</v>
      </c>
      <c r="D849" t="s" s="9">
        <v>55</v>
      </c>
      <c r="E849" t="s" s="9">
        <v>33</v>
      </c>
      <c r="F849" s="10">
        <v>302</v>
      </c>
      <c r="G849" s="10">
        <v>5273604</v>
      </c>
      <c r="H849" s="11" cm="1">
        <f t="array" ref="H849">F849/G849*100000</f>
        <v>5.72663400589047</v>
      </c>
    </row>
    <row r="850" ht="13" customHeight="1">
      <c r="A850" s="8">
        <v>8</v>
      </c>
      <c r="B850" t="s" s="9">
        <v>36</v>
      </c>
      <c r="C850" t="s" s="9">
        <v>63</v>
      </c>
      <c r="D850" t="s" s="9">
        <v>55</v>
      </c>
      <c r="E850" t="s" s="9">
        <v>33</v>
      </c>
      <c r="F850" s="10">
        <v>512</v>
      </c>
      <c r="G850" s="10">
        <v>5273604</v>
      </c>
      <c r="H850" s="11" cm="1">
        <f t="array" ref="H850">F850/G850*100000</f>
        <v>9.70873050005272</v>
      </c>
    </row>
    <row r="851" ht="13" customHeight="1">
      <c r="A851" s="8">
        <v>9</v>
      </c>
      <c r="B851" t="s" s="9">
        <v>45</v>
      </c>
      <c r="C851" t="s" s="9">
        <v>63</v>
      </c>
      <c r="D851" t="s" s="9">
        <v>55</v>
      </c>
      <c r="E851" t="s" s="9">
        <v>33</v>
      </c>
      <c r="F851" s="10">
        <v>298</v>
      </c>
      <c r="G851" s="10">
        <v>5273604</v>
      </c>
      <c r="H851" s="11" cm="1">
        <f t="array" ref="H851">F851/G851*100000</f>
        <v>5.65078454885881</v>
      </c>
    </row>
    <row r="852" ht="13" customHeight="1">
      <c r="A852" s="8">
        <v>10</v>
      </c>
      <c r="B852" t="s" s="9">
        <v>37</v>
      </c>
      <c r="C852" t="s" s="9">
        <v>63</v>
      </c>
      <c r="D852" t="s" s="9">
        <v>55</v>
      </c>
      <c r="E852" t="s" s="9">
        <v>33</v>
      </c>
      <c r="F852" s="10">
        <v>191</v>
      </c>
      <c r="G852" s="10">
        <v>5273604</v>
      </c>
      <c r="H852" s="11" cm="1">
        <f t="array" ref="H852">F852/G852*100000</f>
        <v>3.62181157326185</v>
      </c>
    </row>
    <row r="853" ht="13" customHeight="1">
      <c r="A853" s="8">
        <v>1</v>
      </c>
      <c r="B853" t="s" s="9">
        <v>34</v>
      </c>
      <c r="C853" t="s" s="9">
        <v>63</v>
      </c>
      <c r="D853" t="s" s="9">
        <v>56</v>
      </c>
      <c r="E853" t="s" s="9">
        <v>33</v>
      </c>
      <c r="F853" s="10">
        <v>2158</v>
      </c>
      <c r="G853" s="10">
        <v>5691183</v>
      </c>
      <c r="H853" s="11" cm="1">
        <f t="array" ref="H853">F853/G853*100000</f>
        <v>37.9183027500609</v>
      </c>
    </row>
    <row r="854" ht="13" customHeight="1">
      <c r="A854" s="8">
        <v>2</v>
      </c>
      <c r="B854" t="s" s="9">
        <v>35</v>
      </c>
      <c r="C854" t="s" s="9">
        <v>63</v>
      </c>
      <c r="D854" t="s" s="9">
        <v>56</v>
      </c>
      <c r="E854" t="s" s="9">
        <v>33</v>
      </c>
      <c r="F854" s="10">
        <v>1510</v>
      </c>
      <c r="G854" s="10">
        <v>5691183</v>
      </c>
      <c r="H854" s="11" cm="1">
        <f t="array" ref="H854">F854/G854*100000</f>
        <v>26.5322693014791</v>
      </c>
    </row>
    <row r="855" ht="13" customHeight="1">
      <c r="A855" s="8">
        <v>3</v>
      </c>
      <c r="B855" t="s" s="9">
        <v>30</v>
      </c>
      <c r="C855" t="s" s="9">
        <v>63</v>
      </c>
      <c r="D855" t="s" s="9">
        <v>56</v>
      </c>
      <c r="E855" t="s" s="9">
        <v>33</v>
      </c>
      <c r="F855" s="10">
        <v>1040</v>
      </c>
      <c r="G855" s="10">
        <v>5691183</v>
      </c>
      <c r="H855" s="11" cm="1">
        <f t="array" ref="H855">F855/G855*100000</f>
        <v>18.2738808434029</v>
      </c>
    </row>
    <row r="856" ht="13" customHeight="1">
      <c r="A856" s="8">
        <v>4</v>
      </c>
      <c r="B856" t="s" s="9">
        <v>37</v>
      </c>
      <c r="C856" t="s" s="9">
        <v>63</v>
      </c>
      <c r="D856" t="s" s="9">
        <v>56</v>
      </c>
      <c r="E856" t="s" s="9">
        <v>33</v>
      </c>
      <c r="F856" s="10">
        <v>429</v>
      </c>
      <c r="G856" s="10">
        <v>5691183</v>
      </c>
      <c r="H856" s="11" cm="1">
        <f t="array" ref="H856">F856/G856*100000</f>
        <v>7.53797584790368</v>
      </c>
    </row>
    <row r="857" ht="13" customHeight="1">
      <c r="A857" s="8">
        <v>5</v>
      </c>
      <c r="B857" t="s" s="9">
        <v>35</v>
      </c>
      <c r="C857" t="s" s="9">
        <v>63</v>
      </c>
      <c r="D857" t="s" s="9">
        <v>56</v>
      </c>
      <c r="E857" t="s" s="9">
        <v>33</v>
      </c>
      <c r="F857" s="10">
        <v>502</v>
      </c>
      <c r="G857" s="10">
        <v>5691183</v>
      </c>
      <c r="H857" s="11" cm="1">
        <f t="array" ref="H857">F857/G857*100000</f>
        <v>8.82066171479638</v>
      </c>
    </row>
    <row r="858" ht="13" customHeight="1">
      <c r="A858" s="8">
        <v>6</v>
      </c>
      <c r="B858" t="s" s="9">
        <v>30</v>
      </c>
      <c r="C858" t="s" s="9">
        <v>63</v>
      </c>
      <c r="D858" t="s" s="9">
        <v>56</v>
      </c>
      <c r="E858" t="s" s="9">
        <v>33</v>
      </c>
      <c r="F858" s="10">
        <v>374</v>
      </c>
      <c r="G858" s="10">
        <v>5691183</v>
      </c>
      <c r="H858" s="11" cm="1">
        <f t="array" ref="H858">F858/G858*100000</f>
        <v>6.57156868791603</v>
      </c>
    </row>
    <row r="859" ht="13" customHeight="1">
      <c r="A859" s="8">
        <v>7</v>
      </c>
      <c r="B859" t="s" s="9">
        <v>41</v>
      </c>
      <c r="C859" t="s" s="9">
        <v>63</v>
      </c>
      <c r="D859" t="s" s="9">
        <v>56</v>
      </c>
      <c r="E859" t="s" s="9">
        <v>33</v>
      </c>
      <c r="F859" s="10">
        <v>209</v>
      </c>
      <c r="G859" s="10">
        <v>5691183</v>
      </c>
      <c r="H859" s="11" cm="1">
        <f t="array" ref="H859">F859/G859*100000</f>
        <v>3.67234720795307</v>
      </c>
    </row>
    <row r="860" ht="13" customHeight="1">
      <c r="A860" s="8">
        <v>8</v>
      </c>
      <c r="B860" t="s" s="9">
        <v>36</v>
      </c>
      <c r="C860" t="s" s="9">
        <v>63</v>
      </c>
      <c r="D860" t="s" s="9">
        <v>56</v>
      </c>
      <c r="E860" t="s" s="9">
        <v>33</v>
      </c>
      <c r="F860" s="10">
        <v>238</v>
      </c>
      <c r="G860" s="10">
        <v>5691183</v>
      </c>
      <c r="H860" s="11" cm="1">
        <f t="array" ref="H860">F860/G860*100000</f>
        <v>4.18190734685565</v>
      </c>
    </row>
    <row r="861" ht="13" customHeight="1">
      <c r="A861" s="8">
        <v>9</v>
      </c>
      <c r="B861" t="s" s="9">
        <v>39</v>
      </c>
      <c r="C861" t="s" s="9">
        <v>63</v>
      </c>
      <c r="D861" t="s" s="9">
        <v>56</v>
      </c>
      <c r="E861" t="s" s="9">
        <v>33</v>
      </c>
      <c r="F861" s="10">
        <v>168</v>
      </c>
      <c r="G861" s="10">
        <v>5691183</v>
      </c>
      <c r="H861" s="11" cm="1">
        <f t="array" ref="H861">F861/G861*100000</f>
        <v>2.95193459778046</v>
      </c>
    </row>
    <row r="862" ht="13" customHeight="1">
      <c r="A862" s="8">
        <v>10</v>
      </c>
      <c r="B862" t="s" s="9">
        <v>30</v>
      </c>
      <c r="C862" t="s" s="9">
        <v>63</v>
      </c>
      <c r="D862" t="s" s="9">
        <v>56</v>
      </c>
      <c r="E862" t="s" s="9">
        <v>33</v>
      </c>
      <c r="F862" s="10">
        <v>193</v>
      </c>
      <c r="G862" s="10">
        <v>5691183</v>
      </c>
      <c r="H862" s="11" cm="1">
        <f t="array" ref="H862">F862/G862*100000</f>
        <v>3.39121057959303</v>
      </c>
    </row>
    <row r="863" ht="13" customHeight="1">
      <c r="A863" s="8">
        <v>1</v>
      </c>
      <c r="B863" t="s" s="9">
        <v>30</v>
      </c>
      <c r="C863" t="s" s="9">
        <v>63</v>
      </c>
      <c r="D863" t="s" s="9">
        <v>20</v>
      </c>
      <c r="E863" t="s" s="9">
        <v>33</v>
      </c>
      <c r="F863" s="10">
        <v>1693</v>
      </c>
      <c r="G863" s="10">
        <v>2889689</v>
      </c>
      <c r="H863" s="11" cm="1">
        <f t="array" ref="H863">F863/G863*100000</f>
        <v>58.5876196365768</v>
      </c>
    </row>
    <row r="864" ht="13" customHeight="1">
      <c r="A864" s="8">
        <v>2</v>
      </c>
      <c r="B864" t="s" s="9">
        <v>35</v>
      </c>
      <c r="C864" t="s" s="9">
        <v>63</v>
      </c>
      <c r="D864" t="s" s="9">
        <v>20</v>
      </c>
      <c r="E864" t="s" s="9">
        <v>33</v>
      </c>
      <c r="F864" s="10">
        <v>808</v>
      </c>
      <c r="G864" s="10">
        <v>2889689</v>
      </c>
      <c r="H864" s="11" cm="1">
        <f t="array" ref="H864">F864/G864*100000</f>
        <v>27.9614865129085</v>
      </c>
    </row>
    <row r="865" ht="13" customHeight="1">
      <c r="A865" s="8">
        <v>3</v>
      </c>
      <c r="B865" t="s" s="9">
        <v>39</v>
      </c>
      <c r="C865" t="s" s="9">
        <v>63</v>
      </c>
      <c r="D865" t="s" s="9">
        <v>20</v>
      </c>
      <c r="E865" t="s" s="9">
        <v>33</v>
      </c>
      <c r="F865" s="10">
        <v>509</v>
      </c>
      <c r="G865" s="10">
        <v>2889689</v>
      </c>
      <c r="H865" s="11" cm="1">
        <f t="array" ref="H865">F865/G865*100000</f>
        <v>17.6143522711268</v>
      </c>
    </row>
    <row r="866" ht="13" customHeight="1">
      <c r="A866" s="8">
        <v>4</v>
      </c>
      <c r="B866" t="s" s="9">
        <v>34</v>
      </c>
      <c r="C866" t="s" s="9">
        <v>63</v>
      </c>
      <c r="D866" t="s" s="9">
        <v>20</v>
      </c>
      <c r="E866" t="s" s="9">
        <v>33</v>
      </c>
      <c r="F866" s="10">
        <v>599</v>
      </c>
      <c r="G866" s="10">
        <v>2889689</v>
      </c>
      <c r="H866" s="11" cm="1">
        <f t="array" ref="H866">F866/G866*100000</f>
        <v>20.7288742837032</v>
      </c>
    </row>
    <row r="867" ht="13" customHeight="1">
      <c r="A867" s="8">
        <v>5</v>
      </c>
      <c r="B867" t="s" s="9">
        <v>35</v>
      </c>
      <c r="C867" t="s" s="9">
        <v>63</v>
      </c>
      <c r="D867" t="s" s="9">
        <v>20</v>
      </c>
      <c r="E867" t="s" s="9">
        <v>33</v>
      </c>
      <c r="F867" s="10">
        <v>647</v>
      </c>
      <c r="G867" s="10">
        <v>2889689</v>
      </c>
      <c r="H867" s="11" cm="1">
        <f t="array" ref="H867">F867/G867*100000</f>
        <v>22.3899526904106</v>
      </c>
    </row>
    <row r="868" ht="13" customHeight="1">
      <c r="A868" s="8">
        <v>6</v>
      </c>
      <c r="B868" t="s" s="9">
        <v>30</v>
      </c>
      <c r="C868" t="s" s="9">
        <v>63</v>
      </c>
      <c r="D868" t="s" s="9">
        <v>20</v>
      </c>
      <c r="E868" t="s" s="9">
        <v>33</v>
      </c>
      <c r="F868" s="10">
        <v>526</v>
      </c>
      <c r="G868" s="10">
        <v>2889689</v>
      </c>
      <c r="H868" s="11" cm="1">
        <f t="array" ref="H868">F868/G868*100000</f>
        <v>18.2026508735023</v>
      </c>
    </row>
    <row r="869" ht="13" customHeight="1">
      <c r="A869" s="8">
        <v>7</v>
      </c>
      <c r="B869" t="s" s="9">
        <v>36</v>
      </c>
      <c r="C869" t="s" s="9">
        <v>63</v>
      </c>
      <c r="D869" t="s" s="9">
        <v>20</v>
      </c>
      <c r="E869" t="s" s="9">
        <v>33</v>
      </c>
      <c r="F869" s="10">
        <v>282</v>
      </c>
      <c r="G869" s="10">
        <v>2889689</v>
      </c>
      <c r="H869" s="11" cm="1">
        <f t="array" ref="H869">F869/G869*100000</f>
        <v>9.758835639406181</v>
      </c>
    </row>
    <row r="870" ht="13" customHeight="1">
      <c r="A870" s="8">
        <v>8</v>
      </c>
      <c r="B870" t="s" s="9">
        <v>45</v>
      </c>
      <c r="C870" t="s" s="9">
        <v>63</v>
      </c>
      <c r="D870" t="s" s="9">
        <v>20</v>
      </c>
      <c r="E870" t="s" s="9">
        <v>33</v>
      </c>
      <c r="F870" s="10">
        <v>237</v>
      </c>
      <c r="G870" s="10">
        <v>2889689</v>
      </c>
      <c r="H870" s="11" cm="1">
        <f t="array" ref="H870">F870/G870*100000</f>
        <v>8.201574633117961</v>
      </c>
    </row>
    <row r="871" ht="13" customHeight="1">
      <c r="A871" s="8">
        <v>9</v>
      </c>
      <c r="B871" t="s" s="9">
        <v>37</v>
      </c>
      <c r="C871" t="s" s="9">
        <v>63</v>
      </c>
      <c r="D871" t="s" s="9">
        <v>20</v>
      </c>
      <c r="E871" t="s" s="9">
        <v>33</v>
      </c>
      <c r="F871" s="10">
        <v>229</v>
      </c>
      <c r="G871" s="10">
        <v>2889689</v>
      </c>
      <c r="H871" s="11" cm="1">
        <f t="array" ref="H871">F871/G871*100000</f>
        <v>7.92472823200005</v>
      </c>
    </row>
    <row r="872" ht="13" customHeight="1">
      <c r="A872" s="8">
        <v>10</v>
      </c>
      <c r="B872" t="s" s="9">
        <v>45</v>
      </c>
      <c r="C872" t="s" s="9">
        <v>63</v>
      </c>
      <c r="D872" t="s" s="9">
        <v>20</v>
      </c>
      <c r="E872" t="s" s="9">
        <v>33</v>
      </c>
      <c r="F872" s="10">
        <v>148</v>
      </c>
      <c r="G872" s="10">
        <v>2889689</v>
      </c>
      <c r="H872" s="11" cm="1">
        <f t="array" ref="H872">F872/G872*100000</f>
        <v>5.12165842068126</v>
      </c>
    </row>
    <row r="873" ht="13" customHeight="1">
      <c r="A873" s="8">
        <v>1</v>
      </c>
      <c r="B873" t="s" s="9">
        <v>30</v>
      </c>
      <c r="C873" t="s" s="9">
        <v>63</v>
      </c>
      <c r="D873" t="s" s="9">
        <v>21</v>
      </c>
      <c r="E873" t="s" s="9">
        <v>33</v>
      </c>
      <c r="F873" s="10">
        <v>868</v>
      </c>
      <c r="G873" s="10">
        <v>4635519</v>
      </c>
      <c r="H873" s="11" cm="1">
        <f t="array" ref="H873">F873/G873*100000</f>
        <v>18.724979878197</v>
      </c>
    </row>
    <row r="874" ht="13" customHeight="1">
      <c r="A874" s="8">
        <v>2</v>
      </c>
      <c r="B874" t="s" s="9">
        <v>36</v>
      </c>
      <c r="C874" t="s" s="9">
        <v>63</v>
      </c>
      <c r="D874" t="s" s="9">
        <v>21</v>
      </c>
      <c r="E874" t="s" s="9">
        <v>33</v>
      </c>
      <c r="F874" s="10">
        <v>505</v>
      </c>
      <c r="G874" s="10">
        <v>4635519</v>
      </c>
      <c r="H874" s="11" cm="1">
        <f t="array" ref="H874">F874/G874*100000</f>
        <v>10.8941415189971</v>
      </c>
    </row>
    <row r="875" ht="13" customHeight="1">
      <c r="A875" s="8">
        <v>3</v>
      </c>
      <c r="B875" t="s" s="9">
        <v>34</v>
      </c>
      <c r="C875" t="s" s="9">
        <v>63</v>
      </c>
      <c r="D875" t="s" s="9">
        <v>21</v>
      </c>
      <c r="E875" t="s" s="9">
        <v>33</v>
      </c>
      <c r="F875" s="10">
        <v>320</v>
      </c>
      <c r="G875" s="10">
        <v>4635519</v>
      </c>
      <c r="H875" s="11" cm="1">
        <f t="array" ref="H875">F875/G875*100000</f>
        <v>6.9032183882754</v>
      </c>
    </row>
    <row r="876" ht="13" customHeight="1">
      <c r="A876" s="8">
        <v>4</v>
      </c>
      <c r="B876" t="s" s="9">
        <v>45</v>
      </c>
      <c r="C876" t="s" s="9">
        <v>63</v>
      </c>
      <c r="D876" t="s" s="9">
        <v>21</v>
      </c>
      <c r="E876" t="s" s="9">
        <v>33</v>
      </c>
      <c r="F876" s="10">
        <v>301</v>
      </c>
      <c r="G876" s="10">
        <v>4635519</v>
      </c>
      <c r="H876" s="11" cm="1">
        <f t="array" ref="H876">F876/G876*100000</f>
        <v>6.49333979647155</v>
      </c>
    </row>
    <row r="877" ht="13" customHeight="1">
      <c r="A877" s="8">
        <v>5</v>
      </c>
      <c r="B877" t="s" s="9">
        <v>37</v>
      </c>
      <c r="C877" t="s" s="9">
        <v>63</v>
      </c>
      <c r="D877" t="s" s="9">
        <v>21</v>
      </c>
      <c r="E877" t="s" s="9">
        <v>33</v>
      </c>
      <c r="F877" s="10">
        <v>111</v>
      </c>
      <c r="G877" s="10">
        <v>4635519</v>
      </c>
      <c r="H877" s="11" cm="1">
        <f t="array" ref="H877">F877/G877*100000</f>
        <v>2.39455387843303</v>
      </c>
    </row>
    <row r="878" ht="13" customHeight="1">
      <c r="A878" s="8">
        <v>6</v>
      </c>
      <c r="B878" t="s" s="9">
        <v>30</v>
      </c>
      <c r="C878" t="s" s="9">
        <v>63</v>
      </c>
      <c r="D878" t="s" s="9">
        <v>21</v>
      </c>
      <c r="E878" t="s" s="9">
        <v>33</v>
      </c>
      <c r="F878" s="10">
        <v>131</v>
      </c>
      <c r="G878" s="10">
        <v>4635519</v>
      </c>
      <c r="H878" s="11" cm="1">
        <f t="array" ref="H878">F878/G878*100000</f>
        <v>2.82600502770024</v>
      </c>
    </row>
    <row r="879" ht="13" customHeight="1">
      <c r="A879" s="8">
        <v>7</v>
      </c>
      <c r="B879" t="s" s="9">
        <v>36</v>
      </c>
      <c r="C879" t="s" s="9">
        <v>63</v>
      </c>
      <c r="D879" t="s" s="9">
        <v>21</v>
      </c>
      <c r="E879" t="s" s="9">
        <v>33</v>
      </c>
      <c r="F879" s="10">
        <v>125</v>
      </c>
      <c r="G879" s="10">
        <v>4635519</v>
      </c>
      <c r="H879" s="11" cm="1">
        <f t="array" ref="H879">F879/G879*100000</f>
        <v>2.69656968292008</v>
      </c>
    </row>
    <row r="880" ht="13" customHeight="1">
      <c r="A880" s="8">
        <v>8</v>
      </c>
      <c r="B880" t="s" s="9">
        <v>30</v>
      </c>
      <c r="C880" t="s" s="9">
        <v>63</v>
      </c>
      <c r="D880" t="s" s="9">
        <v>21</v>
      </c>
      <c r="E880" t="s" s="9">
        <v>33</v>
      </c>
      <c r="F880" s="10">
        <v>142</v>
      </c>
      <c r="G880" s="10">
        <v>4635519</v>
      </c>
      <c r="H880" s="11" cm="1">
        <f t="array" ref="H880">F880/G880*100000</f>
        <v>3.06330315979721</v>
      </c>
    </row>
    <row r="881" ht="13" customHeight="1">
      <c r="A881" s="8">
        <v>9</v>
      </c>
      <c r="B881" t="s" s="9">
        <v>30</v>
      </c>
      <c r="C881" t="s" s="9">
        <v>63</v>
      </c>
      <c r="D881" t="s" s="9">
        <v>21</v>
      </c>
      <c r="E881" t="s" s="9">
        <v>33</v>
      </c>
      <c r="F881" s="10">
        <v>110</v>
      </c>
      <c r="G881" s="10">
        <v>4635519</v>
      </c>
      <c r="H881" s="11" cm="1">
        <f t="array" ref="H881">F881/G881*100000</f>
        <v>2.37298132096967</v>
      </c>
    </row>
    <row r="882" ht="13" customHeight="1">
      <c r="A882" s="8">
        <v>10</v>
      </c>
      <c r="B882" t="s" s="9">
        <v>37</v>
      </c>
      <c r="C882" t="s" s="9">
        <v>63</v>
      </c>
      <c r="D882" t="s" s="9">
        <v>21</v>
      </c>
      <c r="E882" t="s" s="9">
        <v>33</v>
      </c>
      <c r="F882" s="10">
        <v>97</v>
      </c>
      <c r="G882" s="10">
        <v>4635519</v>
      </c>
      <c r="H882" s="11" cm="1">
        <f t="array" ref="H882">F882/G882*100000</f>
        <v>2.09253807394598</v>
      </c>
    </row>
    <row r="883" ht="13.65" customHeight="1">
      <c r="A883" s="8">
        <v>1</v>
      </c>
      <c r="B883" t="s" s="9">
        <v>35</v>
      </c>
      <c r="C883" t="s" s="9">
        <v>63</v>
      </c>
      <c r="D883" t="s" s="9">
        <v>58</v>
      </c>
      <c r="E883" t="s" s="9">
        <v>33</v>
      </c>
      <c r="F883" s="10">
        <v>1772</v>
      </c>
      <c r="G883" s="12"/>
      <c r="H883" s="13"/>
    </row>
    <row r="884" ht="13.65" customHeight="1">
      <c r="A884" s="8">
        <v>2</v>
      </c>
      <c r="B884" t="s" s="9">
        <v>30</v>
      </c>
      <c r="C884" t="s" s="9">
        <v>63</v>
      </c>
      <c r="D884" t="s" s="9">
        <v>58</v>
      </c>
      <c r="E884" t="s" s="9">
        <v>33</v>
      </c>
      <c r="F884" s="10">
        <v>702</v>
      </c>
      <c r="G884" s="14"/>
      <c r="H884" s="15"/>
    </row>
    <row r="885" ht="13.65" customHeight="1">
      <c r="A885" s="8">
        <v>3</v>
      </c>
      <c r="B885" t="s" s="9">
        <v>30</v>
      </c>
      <c r="C885" t="s" s="9">
        <v>63</v>
      </c>
      <c r="D885" t="s" s="9">
        <v>58</v>
      </c>
      <c r="E885" t="s" s="9">
        <v>33</v>
      </c>
      <c r="F885" s="10">
        <v>565</v>
      </c>
      <c r="G885" s="14"/>
      <c r="H885" s="15"/>
    </row>
    <row r="886" ht="13.65" customHeight="1">
      <c r="A886" s="8">
        <v>4</v>
      </c>
      <c r="B886" t="s" s="9">
        <v>34</v>
      </c>
      <c r="C886" t="s" s="9">
        <v>63</v>
      </c>
      <c r="D886" t="s" s="9">
        <v>58</v>
      </c>
      <c r="E886" t="s" s="9">
        <v>33</v>
      </c>
      <c r="F886" s="10">
        <v>400</v>
      </c>
      <c r="G886" s="14"/>
      <c r="H886" s="15"/>
    </row>
    <row r="887" ht="13.65" customHeight="1">
      <c r="A887" s="8">
        <v>5</v>
      </c>
      <c r="B887" t="s" s="9">
        <v>36</v>
      </c>
      <c r="C887" t="s" s="9">
        <v>63</v>
      </c>
      <c r="D887" t="s" s="9">
        <v>58</v>
      </c>
      <c r="E887" t="s" s="9">
        <v>33</v>
      </c>
      <c r="F887" s="10">
        <v>393</v>
      </c>
      <c r="G887" s="14"/>
      <c r="H887" s="15"/>
    </row>
    <row r="888" ht="13.65" customHeight="1">
      <c r="A888" s="8">
        <v>6</v>
      </c>
      <c r="B888" t="s" s="9">
        <v>39</v>
      </c>
      <c r="C888" t="s" s="9">
        <v>63</v>
      </c>
      <c r="D888" t="s" s="9">
        <v>58</v>
      </c>
      <c r="E888" t="s" s="9">
        <v>33</v>
      </c>
      <c r="F888" s="10">
        <v>192</v>
      </c>
      <c r="G888" s="14"/>
      <c r="H888" s="15"/>
    </row>
    <row r="889" ht="13.65" customHeight="1">
      <c r="A889" s="8">
        <v>7</v>
      </c>
      <c r="B889" t="s" s="9">
        <v>35</v>
      </c>
      <c r="C889" t="s" s="9">
        <v>63</v>
      </c>
      <c r="D889" t="s" s="9">
        <v>58</v>
      </c>
      <c r="E889" t="s" s="9">
        <v>33</v>
      </c>
      <c r="F889" s="10">
        <v>356</v>
      </c>
      <c r="G889" s="14"/>
      <c r="H889" s="15"/>
    </row>
    <row r="890" ht="13.65" customHeight="1">
      <c r="A890" s="8">
        <v>8</v>
      </c>
      <c r="B890" t="s" s="9">
        <v>30</v>
      </c>
      <c r="C890" t="s" s="9">
        <v>63</v>
      </c>
      <c r="D890" t="s" s="9">
        <v>58</v>
      </c>
      <c r="E890" t="s" s="9">
        <v>33</v>
      </c>
      <c r="F890" s="10">
        <v>360</v>
      </c>
      <c r="G890" s="14"/>
      <c r="H890" s="15"/>
    </row>
    <row r="891" ht="13.65" customHeight="1">
      <c r="A891" s="8">
        <v>9</v>
      </c>
      <c r="B891" t="s" s="9">
        <v>30</v>
      </c>
      <c r="C891" t="s" s="9">
        <v>63</v>
      </c>
      <c r="D891" t="s" s="9">
        <v>58</v>
      </c>
      <c r="E891" t="s" s="9">
        <v>33</v>
      </c>
      <c r="F891" s="10">
        <v>215</v>
      </c>
      <c r="G891" s="14"/>
      <c r="H891" s="15"/>
    </row>
    <row r="892" ht="13.65" customHeight="1">
      <c r="A892" s="8">
        <v>10</v>
      </c>
      <c r="B892" t="s" s="9">
        <v>37</v>
      </c>
      <c r="C892" t="s" s="9">
        <v>63</v>
      </c>
      <c r="D892" t="s" s="9">
        <v>58</v>
      </c>
      <c r="E892" t="s" s="9">
        <v>33</v>
      </c>
      <c r="F892" s="10">
        <v>152</v>
      </c>
      <c r="G892" s="16"/>
      <c r="H892" s="17"/>
    </row>
    <row r="893" ht="13" customHeight="1">
      <c r="A893" s="8">
        <v>1</v>
      </c>
      <c r="B893" t="s" s="9">
        <v>34</v>
      </c>
      <c r="C893" t="s" s="9">
        <v>64</v>
      </c>
      <c r="D893" t="s" s="9">
        <v>32</v>
      </c>
      <c r="E893" t="s" s="9">
        <v>33</v>
      </c>
      <c r="F893" s="10">
        <v>11242</v>
      </c>
      <c r="G893" s="10">
        <v>14521657</v>
      </c>
      <c r="H893" s="11" cm="1">
        <f t="array" ref="H893">F893/G893*100000</f>
        <v>77.4154078973219</v>
      </c>
    </row>
    <row r="894" ht="13" customHeight="1">
      <c r="A894" s="8">
        <v>2</v>
      </c>
      <c r="B894" t="s" s="9">
        <v>35</v>
      </c>
      <c r="C894" t="s" s="9">
        <v>64</v>
      </c>
      <c r="D894" t="s" s="9">
        <v>32</v>
      </c>
      <c r="E894" t="s" s="9">
        <v>33</v>
      </c>
      <c r="F894" s="10">
        <v>9791</v>
      </c>
      <c r="G894" s="10">
        <v>14521657</v>
      </c>
      <c r="H894" s="11" cm="1">
        <f t="array" ref="H894">F894/G894*100000</f>
        <v>67.42343521817099</v>
      </c>
    </row>
    <row r="895" ht="13" customHeight="1">
      <c r="A895" s="8">
        <v>3</v>
      </c>
      <c r="B895" t="s" s="9">
        <v>30</v>
      </c>
      <c r="C895" t="s" s="9">
        <v>64</v>
      </c>
      <c r="D895" t="s" s="9">
        <v>32</v>
      </c>
      <c r="E895" t="s" s="9">
        <v>33</v>
      </c>
      <c r="F895" s="10">
        <v>9253</v>
      </c>
      <c r="G895" s="10">
        <v>14521657</v>
      </c>
      <c r="H895" s="11" cm="1">
        <f t="array" ref="H895">F895/G895*100000</f>
        <v>63.7186238457498</v>
      </c>
    </row>
    <row r="896" ht="13" customHeight="1">
      <c r="A896" s="8">
        <v>4</v>
      </c>
      <c r="B896" t="s" s="9">
        <v>37</v>
      </c>
      <c r="C896" t="s" s="9">
        <v>64</v>
      </c>
      <c r="D896" t="s" s="9">
        <v>32</v>
      </c>
      <c r="E896" t="s" s="9">
        <v>33</v>
      </c>
      <c r="F896" s="10">
        <v>4193</v>
      </c>
      <c r="G896" s="10">
        <v>14521657</v>
      </c>
      <c r="H896" s="11" cm="1">
        <f t="array" ref="H896">F896/G896*100000</f>
        <v>28.8741153988143</v>
      </c>
    </row>
    <row r="897" ht="13" customHeight="1">
      <c r="A897" s="8">
        <v>5</v>
      </c>
      <c r="B897" t="s" s="9">
        <v>37</v>
      </c>
      <c r="C897" t="s" s="9">
        <v>64</v>
      </c>
      <c r="D897" t="s" s="9">
        <v>32</v>
      </c>
      <c r="E897" t="s" s="9">
        <v>33</v>
      </c>
      <c r="F897" s="10">
        <v>1810</v>
      </c>
      <c r="G897" s="10">
        <v>14521657</v>
      </c>
      <c r="H897" s="11" cm="1">
        <f t="array" ref="H897">F897/G897*100000</f>
        <v>12.4641423495955</v>
      </c>
    </row>
    <row r="898" ht="13" customHeight="1">
      <c r="A898" s="8">
        <v>6</v>
      </c>
      <c r="B898" t="s" s="9">
        <v>39</v>
      </c>
      <c r="C898" t="s" s="9">
        <v>64</v>
      </c>
      <c r="D898" t="s" s="9">
        <v>32</v>
      </c>
      <c r="E898" t="s" s="9">
        <v>33</v>
      </c>
      <c r="F898" s="10">
        <v>1250</v>
      </c>
      <c r="G898" s="10">
        <v>14521657</v>
      </c>
      <c r="H898" s="11" cm="1">
        <f t="array" ref="H898">F898/G898*100000</f>
        <v>8.60783311436154</v>
      </c>
    </row>
    <row r="899" ht="13" customHeight="1">
      <c r="A899" s="8">
        <v>7</v>
      </c>
      <c r="B899" t="s" s="9">
        <v>30</v>
      </c>
      <c r="C899" t="s" s="9">
        <v>64</v>
      </c>
      <c r="D899" t="s" s="9">
        <v>32</v>
      </c>
      <c r="E899" t="s" s="9">
        <v>33</v>
      </c>
      <c r="F899" s="10">
        <v>1939</v>
      </c>
      <c r="G899" s="10">
        <v>14521657</v>
      </c>
      <c r="H899" s="11" cm="1">
        <f t="array" ref="H899">F899/G899*100000</f>
        <v>13.3524707269976</v>
      </c>
    </row>
    <row r="900" ht="13" customHeight="1">
      <c r="A900" s="8">
        <v>8</v>
      </c>
      <c r="B900" t="s" s="9">
        <v>36</v>
      </c>
      <c r="C900" t="s" s="9">
        <v>64</v>
      </c>
      <c r="D900" t="s" s="9">
        <v>32</v>
      </c>
      <c r="E900" t="s" s="9">
        <v>33</v>
      </c>
      <c r="F900" s="10">
        <v>1469</v>
      </c>
      <c r="G900" s="10">
        <v>14521657</v>
      </c>
      <c r="H900" s="11" cm="1">
        <f t="array" ref="H900">F900/G900*100000</f>
        <v>10.1159254759977</v>
      </c>
    </row>
    <row r="901" ht="13" customHeight="1">
      <c r="A901" s="8">
        <v>9</v>
      </c>
      <c r="B901" t="s" s="9">
        <v>37</v>
      </c>
      <c r="C901" t="s" s="9">
        <v>64</v>
      </c>
      <c r="D901" t="s" s="9">
        <v>32</v>
      </c>
      <c r="E901" t="s" s="9">
        <v>33</v>
      </c>
      <c r="F901" s="10">
        <v>1446</v>
      </c>
      <c r="G901" s="10">
        <v>14521657</v>
      </c>
      <c r="H901" s="11" cm="1">
        <f t="array" ref="H901">F901/G901*100000</f>
        <v>9.95754134669342</v>
      </c>
    </row>
    <row r="902" ht="13" customHeight="1">
      <c r="A902" s="8">
        <v>10</v>
      </c>
      <c r="B902" t="s" s="9">
        <v>36</v>
      </c>
      <c r="C902" t="s" s="9">
        <v>64</v>
      </c>
      <c r="D902" t="s" s="9">
        <v>32</v>
      </c>
      <c r="E902" t="s" s="9">
        <v>33</v>
      </c>
      <c r="F902" s="10">
        <v>1504</v>
      </c>
      <c r="G902" s="10">
        <v>14521657</v>
      </c>
      <c r="H902" s="11" cm="1">
        <f t="array" ref="H902">F902/G902*100000</f>
        <v>10.3569448031998</v>
      </c>
    </row>
    <row r="903" ht="13" customHeight="1">
      <c r="A903" s="8">
        <v>1</v>
      </c>
      <c r="B903" t="s" s="9">
        <v>30</v>
      </c>
      <c r="C903" t="s" s="9">
        <v>64</v>
      </c>
      <c r="D903" t="s" s="9">
        <v>38</v>
      </c>
      <c r="E903" t="s" s="9">
        <v>33</v>
      </c>
      <c r="F903" s="10">
        <v>5993</v>
      </c>
      <c r="G903" s="10">
        <v>1874281</v>
      </c>
      <c r="H903" s="11" cm="1">
        <f t="array" ref="H903">F903/G903*100000</f>
        <v>319.749279857183</v>
      </c>
    </row>
    <row r="904" ht="13" customHeight="1">
      <c r="A904" s="8">
        <v>2</v>
      </c>
      <c r="B904" t="s" s="9">
        <v>34</v>
      </c>
      <c r="C904" t="s" s="9">
        <v>64</v>
      </c>
      <c r="D904" t="s" s="9">
        <v>38</v>
      </c>
      <c r="E904" t="s" s="9">
        <v>33</v>
      </c>
      <c r="F904" s="10">
        <v>2548</v>
      </c>
      <c r="G904" s="10">
        <v>1874281</v>
      </c>
      <c r="H904" s="11" cm="1">
        <f t="array" ref="H904">F904/G904*100000</f>
        <v>135.945463887219</v>
      </c>
    </row>
    <row r="905" ht="13" customHeight="1">
      <c r="A905" s="8">
        <v>3</v>
      </c>
      <c r="B905" t="s" s="9">
        <v>35</v>
      </c>
      <c r="C905" t="s" s="9">
        <v>64</v>
      </c>
      <c r="D905" t="s" s="9">
        <v>38</v>
      </c>
      <c r="E905" t="s" s="9">
        <v>33</v>
      </c>
      <c r="F905" s="10">
        <v>1449</v>
      </c>
      <c r="G905" s="10">
        <v>1874281</v>
      </c>
      <c r="H905" s="11" cm="1">
        <f t="array" ref="H905">F905/G905*100000</f>
        <v>77.3096456721271</v>
      </c>
    </row>
    <row r="906" ht="13" customHeight="1">
      <c r="A906" s="8">
        <v>4</v>
      </c>
      <c r="B906" t="s" s="9">
        <v>37</v>
      </c>
      <c r="C906" t="s" s="9">
        <v>64</v>
      </c>
      <c r="D906" t="s" s="9">
        <v>38</v>
      </c>
      <c r="E906" t="s" s="9">
        <v>33</v>
      </c>
      <c r="F906" s="10">
        <v>719</v>
      </c>
      <c r="G906" s="10">
        <v>1874281</v>
      </c>
      <c r="H906" s="11" cm="1">
        <f t="array" ref="H906">F906/G906*100000</f>
        <v>38.3613769760244</v>
      </c>
    </row>
    <row r="907" ht="13" customHeight="1">
      <c r="A907" s="8">
        <v>5</v>
      </c>
      <c r="B907" t="s" s="9">
        <v>35</v>
      </c>
      <c r="C907" t="s" s="9">
        <v>64</v>
      </c>
      <c r="D907" t="s" s="9">
        <v>38</v>
      </c>
      <c r="E907" t="s" s="9">
        <v>33</v>
      </c>
      <c r="F907" s="10">
        <v>1005</v>
      </c>
      <c r="G907" s="10">
        <v>1874281</v>
      </c>
      <c r="H907" s="11" cm="1">
        <f t="array" ref="H907">F907/G907*100000</f>
        <v>53.6205616980591</v>
      </c>
    </row>
    <row r="908" ht="13" customHeight="1">
      <c r="A908" s="8">
        <v>6</v>
      </c>
      <c r="B908" t="s" s="9">
        <v>39</v>
      </c>
      <c r="C908" t="s" s="9">
        <v>64</v>
      </c>
      <c r="D908" t="s" s="9">
        <v>38</v>
      </c>
      <c r="E908" t="s" s="9">
        <v>33</v>
      </c>
      <c r="F908" s="10">
        <v>495</v>
      </c>
      <c r="G908" s="10">
        <v>1874281</v>
      </c>
      <c r="H908" s="11" cm="1">
        <f t="array" ref="H908">F908/G908*100000</f>
        <v>26.4101274035217</v>
      </c>
    </row>
    <row r="909" ht="13" customHeight="1">
      <c r="A909" s="8">
        <v>7</v>
      </c>
      <c r="B909" t="s" s="9">
        <v>30</v>
      </c>
      <c r="C909" t="s" s="9">
        <v>64</v>
      </c>
      <c r="D909" t="s" s="9">
        <v>38</v>
      </c>
      <c r="E909" t="s" s="9">
        <v>33</v>
      </c>
      <c r="F909" s="10">
        <v>717</v>
      </c>
      <c r="G909" s="10">
        <v>1874281</v>
      </c>
      <c r="H909" s="11" cm="1">
        <f t="array" ref="H909">F909/G909*100000</f>
        <v>38.2546693905556</v>
      </c>
    </row>
    <row r="910" ht="13" customHeight="1">
      <c r="A910" s="8">
        <v>8</v>
      </c>
      <c r="B910" t="s" s="9">
        <v>45</v>
      </c>
      <c r="C910" t="s" s="9">
        <v>64</v>
      </c>
      <c r="D910" t="s" s="9">
        <v>38</v>
      </c>
      <c r="E910" t="s" s="9">
        <v>33</v>
      </c>
      <c r="F910" s="10">
        <v>762</v>
      </c>
      <c r="G910" s="10">
        <v>1874281</v>
      </c>
      <c r="H910" s="11" cm="1">
        <f t="array" ref="H910">F910/G910*100000</f>
        <v>40.6555900636031</v>
      </c>
    </row>
    <row r="911" ht="13" customHeight="1">
      <c r="A911" s="8">
        <v>9</v>
      </c>
      <c r="B911" t="s" s="9">
        <v>39</v>
      </c>
      <c r="C911" t="s" s="9">
        <v>64</v>
      </c>
      <c r="D911" t="s" s="9">
        <v>38</v>
      </c>
      <c r="E911" t="s" s="9">
        <v>33</v>
      </c>
      <c r="F911" s="10">
        <v>498</v>
      </c>
      <c r="G911" s="10">
        <v>1874281</v>
      </c>
      <c r="H911" s="11" cm="1">
        <f t="array" ref="H911">F911/G911*100000</f>
        <v>26.5701887817248</v>
      </c>
    </row>
    <row r="912" ht="13" customHeight="1">
      <c r="A912" s="8">
        <v>10</v>
      </c>
      <c r="B912" t="s" s="9">
        <v>30</v>
      </c>
      <c r="C912" t="s" s="9">
        <v>64</v>
      </c>
      <c r="D912" t="s" s="9">
        <v>38</v>
      </c>
      <c r="E912" t="s" s="9">
        <v>33</v>
      </c>
      <c r="F912" s="10">
        <v>570</v>
      </c>
      <c r="G912" s="10">
        <v>1874281</v>
      </c>
      <c r="H912" s="11" cm="1">
        <f t="array" ref="H912">F912/G912*100000</f>
        <v>30.4116618586007</v>
      </c>
    </row>
    <row r="913" ht="13" customHeight="1">
      <c r="A913" s="8">
        <v>1</v>
      </c>
      <c r="B913" t="s" s="9">
        <v>34</v>
      </c>
      <c r="C913" t="s" s="9">
        <v>64</v>
      </c>
      <c r="D913" t="s" s="9">
        <v>42</v>
      </c>
      <c r="E913" t="s" s="9">
        <v>33</v>
      </c>
      <c r="F913" s="10">
        <v>2687</v>
      </c>
      <c r="G913" s="10">
        <v>5458063</v>
      </c>
      <c r="H913" s="11" cm="1">
        <f t="array" ref="H913">F913/G913*100000</f>
        <v>49.2299191123298</v>
      </c>
    </row>
    <row r="914" ht="13" customHeight="1">
      <c r="A914" s="8">
        <v>2</v>
      </c>
      <c r="B914" t="s" s="9">
        <v>30</v>
      </c>
      <c r="C914" t="s" s="9">
        <v>64</v>
      </c>
      <c r="D914" t="s" s="9">
        <v>42</v>
      </c>
      <c r="E914" t="s" s="9">
        <v>33</v>
      </c>
      <c r="F914" s="10">
        <v>2799</v>
      </c>
      <c r="G914" s="10">
        <v>5458063</v>
      </c>
      <c r="H914" s="11" cm="1">
        <f t="array" ref="H914">F914/G914*100000</f>
        <v>51.2819291385973</v>
      </c>
    </row>
    <row r="915" ht="13" customHeight="1">
      <c r="A915" s="8">
        <v>3</v>
      </c>
      <c r="B915" t="s" s="9">
        <v>35</v>
      </c>
      <c r="C915" t="s" s="9">
        <v>64</v>
      </c>
      <c r="D915" t="s" s="9">
        <v>42</v>
      </c>
      <c r="E915" t="s" s="9">
        <v>33</v>
      </c>
      <c r="F915" s="10">
        <v>2786</v>
      </c>
      <c r="G915" s="10">
        <v>5458063</v>
      </c>
      <c r="H915" s="11" cm="1">
        <f t="array" ref="H915">F915/G915*100000</f>
        <v>51.0437494034056</v>
      </c>
    </row>
    <row r="916" ht="13" customHeight="1">
      <c r="A916" s="8">
        <v>4</v>
      </c>
      <c r="B916" t="s" s="9">
        <v>37</v>
      </c>
      <c r="C916" t="s" s="9">
        <v>64</v>
      </c>
      <c r="D916" t="s" s="9">
        <v>42</v>
      </c>
      <c r="E916" t="s" s="9">
        <v>33</v>
      </c>
      <c r="F916" s="10">
        <v>845</v>
      </c>
      <c r="G916" s="10">
        <v>5458063</v>
      </c>
      <c r="H916" s="11" cm="1">
        <f t="array" ref="H916">F916/G916*100000</f>
        <v>15.4816827874651</v>
      </c>
    </row>
    <row r="917" ht="13" customHeight="1">
      <c r="A917" s="8">
        <v>5</v>
      </c>
      <c r="B917" t="s" s="9">
        <v>37</v>
      </c>
      <c r="C917" t="s" s="9">
        <v>64</v>
      </c>
      <c r="D917" t="s" s="9">
        <v>42</v>
      </c>
      <c r="E917" t="s" s="9">
        <v>33</v>
      </c>
      <c r="F917" s="10">
        <v>672</v>
      </c>
      <c r="G917" s="10">
        <v>5458063</v>
      </c>
      <c r="H917" s="11" cm="1">
        <f t="array" ref="H917">F917/G917*100000</f>
        <v>12.3120601576054</v>
      </c>
    </row>
    <row r="918" ht="13" customHeight="1">
      <c r="A918" s="8">
        <v>6</v>
      </c>
      <c r="B918" t="s" s="9">
        <v>35</v>
      </c>
      <c r="C918" t="s" s="9">
        <v>64</v>
      </c>
      <c r="D918" t="s" s="9">
        <v>42</v>
      </c>
      <c r="E918" t="s" s="9">
        <v>33</v>
      </c>
      <c r="F918" s="10">
        <v>1139</v>
      </c>
      <c r="G918" s="10">
        <v>5458063</v>
      </c>
      <c r="H918" s="11" cm="1">
        <f t="array" ref="H918">F918/G918*100000</f>
        <v>20.8682091064174</v>
      </c>
    </row>
    <row r="919" ht="13" customHeight="1">
      <c r="A919" s="8">
        <v>7</v>
      </c>
      <c r="B919" t="s" s="9">
        <v>39</v>
      </c>
      <c r="C919" t="s" s="9">
        <v>64</v>
      </c>
      <c r="D919" t="s" s="9">
        <v>42</v>
      </c>
      <c r="E919" t="s" s="9">
        <v>33</v>
      </c>
      <c r="F919" s="10">
        <v>469</v>
      </c>
      <c r="G919" s="10">
        <v>5458063</v>
      </c>
      <c r="H919" s="11" cm="1">
        <f t="array" ref="H919">F919/G919*100000</f>
        <v>8.59279198499541</v>
      </c>
    </row>
    <row r="920" ht="13" customHeight="1">
      <c r="A920" s="8">
        <v>8</v>
      </c>
      <c r="B920" t="s" s="9">
        <v>37</v>
      </c>
      <c r="C920" t="s" s="9">
        <v>64</v>
      </c>
      <c r="D920" t="s" s="9">
        <v>42</v>
      </c>
      <c r="E920" t="s" s="9">
        <v>33</v>
      </c>
      <c r="F920" s="10">
        <v>560</v>
      </c>
      <c r="G920" s="10">
        <v>5458063</v>
      </c>
      <c r="H920" s="11" cm="1">
        <f t="array" ref="H920">F920/G920*100000</f>
        <v>10.2600501313378</v>
      </c>
    </row>
    <row r="921" ht="13" customHeight="1">
      <c r="A921" s="8">
        <v>9</v>
      </c>
      <c r="B921" t="s" s="9">
        <v>41</v>
      </c>
      <c r="C921" t="s" s="9">
        <v>64</v>
      </c>
      <c r="D921" t="s" s="9">
        <v>42</v>
      </c>
      <c r="E921" t="s" s="9">
        <v>33</v>
      </c>
      <c r="F921" s="10">
        <v>448</v>
      </c>
      <c r="G921" s="10">
        <v>5458063</v>
      </c>
      <c r="H921" s="11" cm="1">
        <f t="array" ref="H921">F921/G921*100000</f>
        <v>8.208040105070239</v>
      </c>
    </row>
    <row r="922" ht="13" customHeight="1">
      <c r="A922" s="8">
        <v>10</v>
      </c>
      <c r="B922" t="s" s="9">
        <v>36</v>
      </c>
      <c r="C922" t="s" s="9">
        <v>64</v>
      </c>
      <c r="D922" t="s" s="9">
        <v>42</v>
      </c>
      <c r="E922" t="s" s="9">
        <v>33</v>
      </c>
      <c r="F922" s="10">
        <v>512</v>
      </c>
      <c r="G922" s="10">
        <v>5458063</v>
      </c>
      <c r="H922" s="11" cm="1">
        <f t="array" ref="H922">F922/G922*100000</f>
        <v>9.38061726293742</v>
      </c>
    </row>
    <row r="923" ht="13" customHeight="1">
      <c r="A923" s="8">
        <v>1</v>
      </c>
      <c r="B923" t="s" s="9">
        <v>30</v>
      </c>
      <c r="C923" t="s" s="9">
        <v>64</v>
      </c>
      <c r="D923" t="s" s="9">
        <v>43</v>
      </c>
      <c r="E923" t="s" s="9">
        <v>33</v>
      </c>
      <c r="F923" s="10">
        <v>3990</v>
      </c>
      <c r="G923" s="10">
        <v>3817144</v>
      </c>
      <c r="H923" s="11" cm="1">
        <f t="array" ref="H923">F923/G923*100000</f>
        <v>104.528411817841</v>
      </c>
    </row>
    <row r="924" ht="13" customHeight="1">
      <c r="A924" s="8">
        <v>2</v>
      </c>
      <c r="B924" t="s" s="9">
        <v>34</v>
      </c>
      <c r="C924" t="s" s="9">
        <v>64</v>
      </c>
      <c r="D924" t="s" s="9">
        <v>43</v>
      </c>
      <c r="E924" t="s" s="9">
        <v>33</v>
      </c>
      <c r="F924" s="10">
        <v>1455</v>
      </c>
      <c r="G924" s="10">
        <v>3817144</v>
      </c>
      <c r="H924" s="11" cm="1">
        <f t="array" ref="H924">F924/G924*100000</f>
        <v>38.1175035576337</v>
      </c>
    </row>
    <row r="925" ht="13" customHeight="1">
      <c r="A925" s="8">
        <v>3</v>
      </c>
      <c r="B925" t="s" s="9">
        <v>35</v>
      </c>
      <c r="C925" t="s" s="9">
        <v>64</v>
      </c>
      <c r="D925" t="s" s="9">
        <v>43</v>
      </c>
      <c r="E925" t="s" s="9">
        <v>33</v>
      </c>
      <c r="F925" s="10">
        <v>1035</v>
      </c>
      <c r="G925" s="10">
        <v>3817144</v>
      </c>
      <c r="H925" s="11" cm="1">
        <f t="array" ref="H925">F925/G925*100000</f>
        <v>27.1145128399662</v>
      </c>
    </row>
    <row r="926" ht="13" customHeight="1">
      <c r="A926" s="8">
        <v>4</v>
      </c>
      <c r="B926" t="s" s="9">
        <v>35</v>
      </c>
      <c r="C926" t="s" s="9">
        <v>64</v>
      </c>
      <c r="D926" t="s" s="9">
        <v>43</v>
      </c>
      <c r="E926" t="s" s="9">
        <v>33</v>
      </c>
      <c r="F926" s="10">
        <v>1062</v>
      </c>
      <c r="G926" s="10">
        <v>3817144</v>
      </c>
      <c r="H926" s="11" cm="1">
        <f t="array" ref="H926">F926/G926*100000</f>
        <v>27.8218479575306</v>
      </c>
    </row>
    <row r="927" ht="13" customHeight="1">
      <c r="A927" s="8">
        <v>5</v>
      </c>
      <c r="B927" t="s" s="9">
        <v>36</v>
      </c>
      <c r="C927" t="s" s="9">
        <v>64</v>
      </c>
      <c r="D927" t="s" s="9">
        <v>43</v>
      </c>
      <c r="E927" t="s" s="9">
        <v>33</v>
      </c>
      <c r="F927" s="10">
        <v>794</v>
      </c>
      <c r="G927" s="10">
        <v>3817144</v>
      </c>
      <c r="H927" s="11" cm="1">
        <f t="array" ref="H927">F927/G927*100000</f>
        <v>20.8008919757808</v>
      </c>
    </row>
    <row r="928" ht="13" customHeight="1">
      <c r="A928" s="8">
        <v>6</v>
      </c>
      <c r="B928" t="s" s="9">
        <v>39</v>
      </c>
      <c r="C928" t="s" s="9">
        <v>64</v>
      </c>
      <c r="D928" t="s" s="9">
        <v>43</v>
      </c>
      <c r="E928" t="s" s="9">
        <v>33</v>
      </c>
      <c r="F928" s="10">
        <v>539</v>
      </c>
      <c r="G928" s="10">
        <v>3817144</v>
      </c>
      <c r="H928" s="11" cm="1">
        <f t="array" ref="H928">F928/G928*100000</f>
        <v>14.1205047543399</v>
      </c>
    </row>
    <row r="929" ht="13" customHeight="1">
      <c r="A929" s="8">
        <v>7</v>
      </c>
      <c r="B929" t="s" s="9">
        <v>45</v>
      </c>
      <c r="C929" t="s" s="9">
        <v>64</v>
      </c>
      <c r="D929" t="s" s="9">
        <v>43</v>
      </c>
      <c r="E929" t="s" s="9">
        <v>33</v>
      </c>
      <c r="F929" s="10">
        <v>636</v>
      </c>
      <c r="G929" s="10">
        <v>3817144</v>
      </c>
      <c r="H929" s="11" cm="1">
        <f t="array" ref="H929">F929/G929*100000</f>
        <v>16.6616716581821</v>
      </c>
    </row>
    <row r="930" ht="13" customHeight="1">
      <c r="A930" s="8">
        <v>8</v>
      </c>
      <c r="B930" t="s" s="9">
        <v>37</v>
      </c>
      <c r="C930" t="s" s="9">
        <v>64</v>
      </c>
      <c r="D930" t="s" s="9">
        <v>43</v>
      </c>
      <c r="E930" t="s" s="9">
        <v>33</v>
      </c>
      <c r="F930" s="10">
        <v>382</v>
      </c>
      <c r="G930" s="10">
        <v>3817144</v>
      </c>
      <c r="H930" s="11" cm="1">
        <f t="array" ref="H930">F930/G930*100000</f>
        <v>10.007482033688</v>
      </c>
    </row>
    <row r="931" ht="13" customHeight="1">
      <c r="A931" s="8">
        <v>9</v>
      </c>
      <c r="B931" t="s" s="9">
        <v>36</v>
      </c>
      <c r="C931" t="s" s="9">
        <v>64</v>
      </c>
      <c r="D931" t="s" s="9">
        <v>43</v>
      </c>
      <c r="E931" t="s" s="9">
        <v>33</v>
      </c>
      <c r="F931" s="10">
        <v>524</v>
      </c>
      <c r="G931" s="10">
        <v>3817144</v>
      </c>
      <c r="H931" s="11" cm="1">
        <f t="array" ref="H931">F931/G931*100000</f>
        <v>13.7275408001375</v>
      </c>
    </row>
    <row r="932" ht="13" customHeight="1">
      <c r="A932" s="8">
        <v>10</v>
      </c>
      <c r="B932" t="s" s="9">
        <v>30</v>
      </c>
      <c r="C932" t="s" s="9">
        <v>64</v>
      </c>
      <c r="D932" t="s" s="9">
        <v>43</v>
      </c>
      <c r="E932" t="s" s="9">
        <v>33</v>
      </c>
      <c r="F932" s="10">
        <v>471</v>
      </c>
      <c r="G932" s="10">
        <v>3817144</v>
      </c>
      <c r="H932" s="11" cm="1">
        <f t="array" ref="H932">F932/G932*100000</f>
        <v>12.3390681619556</v>
      </c>
    </row>
    <row r="933" ht="13" customHeight="1">
      <c r="A933" s="8">
        <v>1</v>
      </c>
      <c r="B933" t="s" s="9">
        <v>30</v>
      </c>
      <c r="C933" t="s" s="9">
        <v>64</v>
      </c>
      <c r="D933" t="s" s="9">
        <v>44</v>
      </c>
      <c r="E933" t="s" s="9">
        <v>33</v>
      </c>
      <c r="F933" s="10">
        <v>11230</v>
      </c>
      <c r="G933" s="10">
        <v>13239670</v>
      </c>
      <c r="H933" s="11" cm="1">
        <f t="array" ref="H933">F933/G933*100000</f>
        <v>84.8208452325473</v>
      </c>
    </row>
    <row r="934" ht="13" customHeight="1">
      <c r="A934" s="8">
        <v>2</v>
      </c>
      <c r="B934" t="s" s="9">
        <v>34</v>
      </c>
      <c r="C934" t="s" s="9">
        <v>64</v>
      </c>
      <c r="D934" t="s" s="9">
        <v>44</v>
      </c>
      <c r="E934" t="s" s="9">
        <v>33</v>
      </c>
      <c r="F934" s="10">
        <v>9331</v>
      </c>
      <c r="G934" s="10">
        <v>13239670</v>
      </c>
      <c r="H934" s="11" cm="1">
        <f t="array" ref="H934">F934/G934*100000</f>
        <v>70.4775874323152</v>
      </c>
    </row>
    <row r="935" ht="13" customHeight="1">
      <c r="A935" s="8">
        <v>3</v>
      </c>
      <c r="B935" t="s" s="9">
        <v>35</v>
      </c>
      <c r="C935" t="s" s="9">
        <v>64</v>
      </c>
      <c r="D935" t="s" s="9">
        <v>44</v>
      </c>
      <c r="E935" t="s" s="9">
        <v>33</v>
      </c>
      <c r="F935" s="10">
        <v>6651</v>
      </c>
      <c r="G935" s="10">
        <v>13239670</v>
      </c>
      <c r="H935" s="11" cm="1">
        <f t="array" ref="H935">F935/G935*100000</f>
        <v>50.2353910633724</v>
      </c>
    </row>
    <row r="936" ht="13" customHeight="1">
      <c r="A936" s="8">
        <v>4</v>
      </c>
      <c r="B936" t="s" s="9">
        <v>37</v>
      </c>
      <c r="C936" t="s" s="9">
        <v>64</v>
      </c>
      <c r="D936" t="s" s="9">
        <v>44</v>
      </c>
      <c r="E936" t="s" s="9">
        <v>33</v>
      </c>
      <c r="F936" s="10">
        <v>2713</v>
      </c>
      <c r="G936" s="10">
        <v>13239670</v>
      </c>
      <c r="H936" s="11" cm="1">
        <f t="array" ref="H936">F936/G936*100000</f>
        <v>20.4914472943812</v>
      </c>
    </row>
    <row r="937" ht="13" customHeight="1">
      <c r="A937" s="8">
        <v>5</v>
      </c>
      <c r="B937" t="s" s="9">
        <v>39</v>
      </c>
      <c r="C937" t="s" s="9">
        <v>64</v>
      </c>
      <c r="D937" t="s" s="9">
        <v>44</v>
      </c>
      <c r="E937" t="s" s="9">
        <v>33</v>
      </c>
      <c r="F937" s="10">
        <v>1476</v>
      </c>
      <c r="G937" s="10">
        <v>13239670</v>
      </c>
      <c r="H937" s="11" cm="1">
        <f t="array" ref="H937">F937/G937*100000</f>
        <v>11.1483141196117</v>
      </c>
    </row>
    <row r="938" ht="13" customHeight="1">
      <c r="A938" s="8">
        <v>6</v>
      </c>
      <c r="B938" t="s" s="9">
        <v>30</v>
      </c>
      <c r="C938" t="s" s="9">
        <v>64</v>
      </c>
      <c r="D938" t="s" s="9">
        <v>44</v>
      </c>
      <c r="E938" t="s" s="9">
        <v>33</v>
      </c>
      <c r="F938" s="10">
        <v>1621</v>
      </c>
      <c r="G938" s="10">
        <v>13239670</v>
      </c>
      <c r="H938" s="11" cm="1">
        <f t="array" ref="H938">F938/G938*100000</f>
        <v>12.2435075798717</v>
      </c>
    </row>
    <row r="939" ht="13" customHeight="1">
      <c r="A939" s="8">
        <v>7</v>
      </c>
      <c r="B939" t="s" s="9">
        <v>37</v>
      </c>
      <c r="C939" t="s" s="9">
        <v>64</v>
      </c>
      <c r="D939" t="s" s="9">
        <v>44</v>
      </c>
      <c r="E939" t="s" s="9">
        <v>33</v>
      </c>
      <c r="F939" s="10">
        <v>1336</v>
      </c>
      <c r="G939" s="10">
        <v>13239670</v>
      </c>
      <c r="H939" s="11" cm="1">
        <f t="array" ref="H939">F939/G939*100000</f>
        <v>10.0908859510849</v>
      </c>
    </row>
    <row r="940" ht="13" customHeight="1">
      <c r="A940" s="8">
        <v>8</v>
      </c>
      <c r="B940" t="s" s="9">
        <v>36</v>
      </c>
      <c r="C940" t="s" s="9">
        <v>64</v>
      </c>
      <c r="D940" t="s" s="9">
        <v>44</v>
      </c>
      <c r="E940" t="s" s="9">
        <v>33</v>
      </c>
      <c r="F940" s="10">
        <v>1195</v>
      </c>
      <c r="G940" s="10">
        <v>13239670</v>
      </c>
      <c r="H940" s="11" cm="1">
        <f t="array" ref="H940">F940/G940*100000</f>
        <v>9.025904724211401</v>
      </c>
    </row>
    <row r="941" ht="13" customHeight="1">
      <c r="A941" s="8">
        <v>9</v>
      </c>
      <c r="B941" t="s" s="9">
        <v>45</v>
      </c>
      <c r="C941" t="s" s="9">
        <v>64</v>
      </c>
      <c r="D941" t="s" s="9">
        <v>44</v>
      </c>
      <c r="E941" t="s" s="9">
        <v>33</v>
      </c>
      <c r="F941" s="10">
        <v>1183</v>
      </c>
      <c r="G941" s="10">
        <v>13239670</v>
      </c>
      <c r="H941" s="11" cm="1">
        <f t="array" ref="H941">F941/G941*100000</f>
        <v>8.935268024051959</v>
      </c>
    </row>
    <row r="942" ht="13" customHeight="1">
      <c r="A942" s="8">
        <v>10</v>
      </c>
      <c r="B942" t="s" s="9">
        <v>30</v>
      </c>
      <c r="C942" t="s" s="9">
        <v>64</v>
      </c>
      <c r="D942" t="s" s="9">
        <v>44</v>
      </c>
      <c r="E942" t="s" s="9">
        <v>33</v>
      </c>
      <c r="F942" s="10">
        <v>1297</v>
      </c>
      <c r="G942" s="10">
        <v>13239670</v>
      </c>
      <c r="H942" s="11" cm="1">
        <f t="array" ref="H942">F942/G942*100000</f>
        <v>9.79631667556669</v>
      </c>
    </row>
    <row r="943" ht="13" customHeight="1">
      <c r="A943" s="8">
        <v>1</v>
      </c>
      <c r="B943" t="s" s="9">
        <v>30</v>
      </c>
      <c r="C943" t="s" s="9">
        <v>64</v>
      </c>
      <c r="D943" t="s" s="9">
        <v>46</v>
      </c>
      <c r="E943" t="s" s="9">
        <v>33</v>
      </c>
      <c r="F943" s="10">
        <v>10105</v>
      </c>
      <c r="G943" s="10">
        <v>17477569</v>
      </c>
      <c r="H943" s="11" cm="1">
        <f t="array" ref="H943">F943/G943*100000</f>
        <v>57.816965277036</v>
      </c>
    </row>
    <row r="944" ht="13" customHeight="1">
      <c r="A944" s="8">
        <v>2</v>
      </c>
      <c r="B944" t="s" s="9">
        <v>35</v>
      </c>
      <c r="C944" t="s" s="9">
        <v>64</v>
      </c>
      <c r="D944" t="s" s="9">
        <v>46</v>
      </c>
      <c r="E944" t="s" s="9">
        <v>33</v>
      </c>
      <c r="F944" s="10">
        <v>8268</v>
      </c>
      <c r="G944" s="10">
        <v>17477569</v>
      </c>
      <c r="H944" s="11" cm="1">
        <f t="array" ref="H944">F944/G944*100000</f>
        <v>47.3063502138083</v>
      </c>
    </row>
    <row r="945" ht="13" customHeight="1">
      <c r="A945" s="8">
        <v>3</v>
      </c>
      <c r="B945" t="s" s="9">
        <v>34</v>
      </c>
      <c r="C945" t="s" s="9">
        <v>64</v>
      </c>
      <c r="D945" t="s" s="9">
        <v>46</v>
      </c>
      <c r="E945" t="s" s="9">
        <v>33</v>
      </c>
      <c r="F945" s="10">
        <v>4348</v>
      </c>
      <c r="G945" s="10">
        <v>17477569</v>
      </c>
      <c r="H945" s="11" cm="1">
        <f t="array" ref="H945">F945/G945*100000</f>
        <v>24.8776016847652</v>
      </c>
    </row>
    <row r="946" ht="13" customHeight="1">
      <c r="A946" s="8">
        <v>4</v>
      </c>
      <c r="B946" t="s" s="9">
        <v>30</v>
      </c>
      <c r="C946" t="s" s="9">
        <v>64</v>
      </c>
      <c r="D946" t="s" s="9">
        <v>46</v>
      </c>
      <c r="E946" t="s" s="9">
        <v>33</v>
      </c>
      <c r="F946" s="10">
        <v>4483</v>
      </c>
      <c r="G946" s="10">
        <v>17477569</v>
      </c>
      <c r="H946" s="11" cm="1">
        <f t="array" ref="H946">F946/G946*100000</f>
        <v>25.6500203203317</v>
      </c>
    </row>
    <row r="947" ht="13" customHeight="1">
      <c r="A947" s="8">
        <v>5</v>
      </c>
      <c r="B947" t="s" s="9">
        <v>30</v>
      </c>
      <c r="C947" t="s" s="9">
        <v>64</v>
      </c>
      <c r="D947" t="s" s="9">
        <v>46</v>
      </c>
      <c r="E947" t="s" s="9">
        <v>33</v>
      </c>
      <c r="F947" s="10">
        <v>3498</v>
      </c>
      <c r="G947" s="10">
        <v>17477569</v>
      </c>
      <c r="H947" s="11" cm="1">
        <f t="array" ref="H947">F947/G947*100000</f>
        <v>20.0142250904574</v>
      </c>
    </row>
    <row r="948" ht="13" customHeight="1">
      <c r="A948" s="8">
        <v>6</v>
      </c>
      <c r="B948" t="s" s="9">
        <v>39</v>
      </c>
      <c r="C948" t="s" s="9">
        <v>64</v>
      </c>
      <c r="D948" t="s" s="9">
        <v>46</v>
      </c>
      <c r="E948" t="s" s="9">
        <v>33</v>
      </c>
      <c r="F948" s="10">
        <v>2340</v>
      </c>
      <c r="G948" s="10">
        <v>17477569</v>
      </c>
      <c r="H948" s="11" cm="1">
        <f t="array" ref="H948">F948/G948*100000</f>
        <v>13.3885896831533</v>
      </c>
    </row>
    <row r="949" ht="13" customHeight="1">
      <c r="A949" s="8">
        <v>7</v>
      </c>
      <c r="B949" t="s" s="9">
        <v>41</v>
      </c>
      <c r="C949" t="s" s="9">
        <v>64</v>
      </c>
      <c r="D949" t="s" s="9">
        <v>46</v>
      </c>
      <c r="E949" t="s" s="9">
        <v>33</v>
      </c>
      <c r="F949" s="10">
        <v>2356</v>
      </c>
      <c r="G949" s="10">
        <v>17477569</v>
      </c>
      <c r="H949" s="11" cm="1">
        <f t="array" ref="H949">F949/G949*100000</f>
        <v>13.4801355955167</v>
      </c>
    </row>
    <row r="950" ht="13" customHeight="1">
      <c r="A950" s="8">
        <v>8</v>
      </c>
      <c r="B950" t="s" s="9">
        <v>37</v>
      </c>
      <c r="C950" t="s" s="9">
        <v>64</v>
      </c>
      <c r="D950" t="s" s="9">
        <v>46</v>
      </c>
      <c r="E950" t="s" s="9">
        <v>33</v>
      </c>
      <c r="F950" s="10">
        <v>1415</v>
      </c>
      <c r="G950" s="10">
        <v>17477569</v>
      </c>
      <c r="H950" s="11" cm="1">
        <f t="array" ref="H950">F950/G950*100000</f>
        <v>8.096091624641851</v>
      </c>
    </row>
    <row r="951" ht="13" customHeight="1">
      <c r="A951" s="8">
        <v>9</v>
      </c>
      <c r="B951" t="s" s="9">
        <v>35</v>
      </c>
      <c r="C951" t="s" s="9">
        <v>64</v>
      </c>
      <c r="D951" t="s" s="9">
        <v>46</v>
      </c>
      <c r="E951" t="s" s="9">
        <v>33</v>
      </c>
      <c r="F951" s="10">
        <v>1381</v>
      </c>
      <c r="G951" s="10">
        <v>17477569</v>
      </c>
      <c r="H951" s="11" cm="1">
        <f t="array" ref="H951">F951/G951*100000</f>
        <v>7.90155656086954</v>
      </c>
    </row>
    <row r="952" ht="13" customHeight="1">
      <c r="A952" s="8">
        <v>10</v>
      </c>
      <c r="B952" t="s" s="9">
        <v>45</v>
      </c>
      <c r="C952" t="s" s="9">
        <v>64</v>
      </c>
      <c r="D952" t="s" s="9">
        <v>46</v>
      </c>
      <c r="E952" t="s" s="9">
        <v>33</v>
      </c>
      <c r="F952" s="10">
        <v>1049</v>
      </c>
      <c r="G952" s="10">
        <v>17477569</v>
      </c>
      <c r="H952" s="11" cm="1">
        <f t="array" ref="H952">F952/G952*100000</f>
        <v>6.00197887932813</v>
      </c>
    </row>
    <row r="953" ht="13" customHeight="1">
      <c r="A953" s="8">
        <v>1</v>
      </c>
      <c r="B953" t="s" s="9">
        <v>35</v>
      </c>
      <c r="C953" t="s" s="9">
        <v>64</v>
      </c>
      <c r="D953" t="s" s="9">
        <v>47</v>
      </c>
      <c r="E953" t="s" s="9">
        <v>33</v>
      </c>
      <c r="F953" s="10">
        <v>3411</v>
      </c>
      <c r="G953" s="10">
        <v>3342831</v>
      </c>
      <c r="H953" s="11" cm="1">
        <f t="array" ref="H953">F953/G953*100000</f>
        <v>102.039259537799</v>
      </c>
    </row>
    <row r="954" ht="13" customHeight="1">
      <c r="A954" s="8">
        <v>2</v>
      </c>
      <c r="B954" t="s" s="9">
        <v>30</v>
      </c>
      <c r="C954" t="s" s="9">
        <v>64</v>
      </c>
      <c r="D954" t="s" s="9">
        <v>47</v>
      </c>
      <c r="E954" t="s" s="9">
        <v>33</v>
      </c>
      <c r="F954" s="10">
        <v>2087</v>
      </c>
      <c r="G954" s="10">
        <v>3342831</v>
      </c>
      <c r="H954" s="11" cm="1">
        <f t="array" ref="H954">F954/G954*100000</f>
        <v>62.4321121827577</v>
      </c>
    </row>
    <row r="955" ht="13" customHeight="1">
      <c r="A955" s="8">
        <v>3</v>
      </c>
      <c r="B955" t="s" s="9">
        <v>34</v>
      </c>
      <c r="C955" t="s" s="9">
        <v>64</v>
      </c>
      <c r="D955" t="s" s="9">
        <v>47</v>
      </c>
      <c r="E955" t="s" s="9">
        <v>33</v>
      </c>
      <c r="F955" s="10">
        <v>541</v>
      </c>
      <c r="G955" s="10">
        <v>3342831</v>
      </c>
      <c r="H955" s="11" cm="1">
        <f t="array" ref="H955">F955/G955*100000</f>
        <v>16.1838872500584</v>
      </c>
    </row>
    <row r="956" ht="13" customHeight="1">
      <c r="A956" s="8">
        <v>4</v>
      </c>
      <c r="B956" t="s" s="9">
        <v>39</v>
      </c>
      <c r="C956" t="s" s="9">
        <v>64</v>
      </c>
      <c r="D956" t="s" s="9">
        <v>47</v>
      </c>
      <c r="E956" t="s" s="9">
        <v>33</v>
      </c>
      <c r="F956" s="10">
        <v>332</v>
      </c>
      <c r="G956" s="10">
        <v>3342831</v>
      </c>
      <c r="H956" s="11" cm="1">
        <f t="array" ref="H956">F956/G956*100000</f>
        <v>9.93170160262364</v>
      </c>
    </row>
    <row r="957" ht="13" customHeight="1">
      <c r="A957" s="8">
        <v>5</v>
      </c>
      <c r="B957" t="s" s="9">
        <v>35</v>
      </c>
      <c r="C957" t="s" s="9">
        <v>64</v>
      </c>
      <c r="D957" t="s" s="9">
        <v>47</v>
      </c>
      <c r="E957" t="s" s="9">
        <v>33</v>
      </c>
      <c r="F957" s="10">
        <v>535</v>
      </c>
      <c r="G957" s="10">
        <v>3342831</v>
      </c>
      <c r="H957" s="11" cm="1">
        <f t="array" ref="H957">F957/G957*100000</f>
        <v>16.0043986668785</v>
      </c>
    </row>
    <row r="958" ht="13" customHeight="1">
      <c r="A958" s="8">
        <v>6</v>
      </c>
      <c r="B958" t="s" s="9">
        <v>45</v>
      </c>
      <c r="C958" t="s" s="9">
        <v>64</v>
      </c>
      <c r="D958" t="s" s="9">
        <v>47</v>
      </c>
      <c r="E958" t="s" s="9">
        <v>33</v>
      </c>
      <c r="F958" s="10">
        <v>385</v>
      </c>
      <c r="G958" s="10">
        <v>3342831</v>
      </c>
      <c r="H958" s="11" cm="1">
        <f t="array" ref="H958">F958/G958*100000</f>
        <v>11.5171840873798</v>
      </c>
    </row>
    <row r="959" ht="13" customHeight="1">
      <c r="A959" s="8">
        <v>7</v>
      </c>
      <c r="B959" t="s" s="9">
        <v>30</v>
      </c>
      <c r="C959" t="s" s="9">
        <v>64</v>
      </c>
      <c r="D959" t="s" s="9">
        <v>47</v>
      </c>
      <c r="E959" t="s" s="9">
        <v>33</v>
      </c>
      <c r="F959" s="10">
        <v>306</v>
      </c>
      <c r="G959" s="10">
        <v>3342831</v>
      </c>
      <c r="H959" s="11" cm="1">
        <f t="array" ref="H959">F959/G959*100000</f>
        <v>9.15391774217721</v>
      </c>
    </row>
    <row r="960" ht="13" customHeight="1">
      <c r="A960" s="8">
        <v>8</v>
      </c>
      <c r="B960" t="s" s="9">
        <v>36</v>
      </c>
      <c r="C960" t="s" s="9">
        <v>64</v>
      </c>
      <c r="D960" t="s" s="9">
        <v>47</v>
      </c>
      <c r="E960" t="s" s="9">
        <v>33</v>
      </c>
      <c r="F960" s="10">
        <v>276</v>
      </c>
      <c r="G960" s="10">
        <v>3342831</v>
      </c>
      <c r="H960" s="11" cm="1">
        <f t="array" ref="H960">F960/G960*100000</f>
        <v>8.25647482627749</v>
      </c>
    </row>
    <row r="961" ht="13" customHeight="1">
      <c r="A961" s="8">
        <v>9</v>
      </c>
      <c r="B961" t="s" s="9">
        <v>36</v>
      </c>
      <c r="C961" t="s" s="9">
        <v>64</v>
      </c>
      <c r="D961" t="s" s="9">
        <v>47</v>
      </c>
      <c r="E961" t="s" s="9">
        <v>33</v>
      </c>
      <c r="F961" s="10">
        <v>202</v>
      </c>
      <c r="G961" s="10">
        <v>3342831</v>
      </c>
      <c r="H961" s="11" cm="1">
        <f t="array" ref="H961">F961/G961*100000</f>
        <v>6.04278230039149</v>
      </c>
    </row>
    <row r="962" ht="13" customHeight="1">
      <c r="A962" s="8">
        <v>10</v>
      </c>
      <c r="B962" t="s" s="9">
        <v>37</v>
      </c>
      <c r="C962" t="s" s="9">
        <v>64</v>
      </c>
      <c r="D962" t="s" s="9">
        <v>47</v>
      </c>
      <c r="E962" t="s" s="9">
        <v>33</v>
      </c>
      <c r="F962" s="10">
        <v>142</v>
      </c>
      <c r="G962" s="10">
        <v>3342831</v>
      </c>
      <c r="H962" s="11" cm="1">
        <f t="array" ref="H962">F962/G962*100000</f>
        <v>4.24789646859204</v>
      </c>
    </row>
    <row r="963" ht="13" customHeight="1">
      <c r="A963" s="8">
        <v>1</v>
      </c>
      <c r="B963" t="s" s="9">
        <v>30</v>
      </c>
      <c r="C963" t="s" s="9">
        <v>64</v>
      </c>
      <c r="D963" t="s" s="9">
        <v>49</v>
      </c>
      <c r="E963" t="s" s="9">
        <v>33</v>
      </c>
      <c r="F963" s="10">
        <v>5137</v>
      </c>
      <c r="G963" s="10">
        <v>6397690</v>
      </c>
      <c r="H963" s="11" cm="1">
        <f t="array" ref="H963">F963/G963*100000</f>
        <v>80.2946063344738</v>
      </c>
    </row>
    <row r="964" ht="13" customHeight="1">
      <c r="A964" s="8">
        <v>2</v>
      </c>
      <c r="B964" t="s" s="9">
        <v>35</v>
      </c>
      <c r="C964" t="s" s="9">
        <v>64</v>
      </c>
      <c r="D964" t="s" s="9">
        <v>49</v>
      </c>
      <c r="E964" t="s" s="9">
        <v>33</v>
      </c>
      <c r="F964" s="10">
        <v>3694</v>
      </c>
      <c r="G964" s="10">
        <v>6397690</v>
      </c>
      <c r="H964" s="11" cm="1">
        <f t="array" ref="H964">F964/G964*100000</f>
        <v>57.739590383404</v>
      </c>
    </row>
    <row r="965" ht="13" customHeight="1">
      <c r="A965" s="8">
        <v>3</v>
      </c>
      <c r="B965" t="s" s="9">
        <v>34</v>
      </c>
      <c r="C965" t="s" s="9">
        <v>64</v>
      </c>
      <c r="D965" t="s" s="9">
        <v>49</v>
      </c>
      <c r="E965" t="s" s="9">
        <v>33</v>
      </c>
      <c r="F965" s="10">
        <v>2871</v>
      </c>
      <c r="G965" s="10">
        <v>6397690</v>
      </c>
      <c r="H965" s="11" cm="1">
        <f t="array" ref="H965">F965/G965*100000</f>
        <v>44.8755722768687</v>
      </c>
    </row>
    <row r="966" ht="13" customHeight="1">
      <c r="A966" s="8">
        <v>4</v>
      </c>
      <c r="B966" t="s" s="9">
        <v>39</v>
      </c>
      <c r="C966" t="s" s="9">
        <v>64</v>
      </c>
      <c r="D966" t="s" s="9">
        <v>49</v>
      </c>
      <c r="E966" t="s" s="9">
        <v>33</v>
      </c>
      <c r="F966" s="10">
        <v>769</v>
      </c>
      <c r="G966" s="10">
        <v>6397690</v>
      </c>
      <c r="H966" s="11" cm="1">
        <f t="array" ref="H966">F966/G966*100000</f>
        <v>12.0199634555597</v>
      </c>
    </row>
    <row r="967" ht="13" customHeight="1">
      <c r="A967" s="8">
        <v>5</v>
      </c>
      <c r="B967" t="s" s="9">
        <v>36</v>
      </c>
      <c r="C967" t="s" s="9">
        <v>64</v>
      </c>
      <c r="D967" t="s" s="9">
        <v>49</v>
      </c>
      <c r="E967" t="s" s="9">
        <v>33</v>
      </c>
      <c r="F967" s="10">
        <v>1133</v>
      </c>
      <c r="G967" s="10">
        <v>6397690</v>
      </c>
      <c r="H967" s="11" cm="1">
        <f t="array" ref="H967">F967/G967*100000</f>
        <v>17.7095170288026</v>
      </c>
    </row>
    <row r="968" ht="13" customHeight="1">
      <c r="A968" s="8">
        <v>6</v>
      </c>
      <c r="B968" t="s" s="9">
        <v>30</v>
      </c>
      <c r="C968" t="s" s="9">
        <v>64</v>
      </c>
      <c r="D968" t="s" s="9">
        <v>49</v>
      </c>
      <c r="E968" t="s" s="9">
        <v>33</v>
      </c>
      <c r="F968" s="10">
        <v>1192</v>
      </c>
      <c r="G968" s="10">
        <v>6397690</v>
      </c>
      <c r="H968" s="11" cm="1">
        <f t="array" ref="H968">F968/G968*100000</f>
        <v>18.6317248882018</v>
      </c>
    </row>
    <row r="969" ht="13" customHeight="1">
      <c r="A969" s="8">
        <v>7</v>
      </c>
      <c r="B969" t="s" s="9">
        <v>35</v>
      </c>
      <c r="C969" t="s" s="9">
        <v>64</v>
      </c>
      <c r="D969" t="s" s="9">
        <v>49</v>
      </c>
      <c r="E969" t="s" s="9">
        <v>33</v>
      </c>
      <c r="F969" s="10">
        <v>1020</v>
      </c>
      <c r="G969" s="10">
        <v>6397690</v>
      </c>
      <c r="H969" s="11" cm="1">
        <f t="array" ref="H969">F969/G969*100000</f>
        <v>15.9432545184277</v>
      </c>
    </row>
    <row r="970" ht="13" customHeight="1">
      <c r="A970" s="8">
        <v>8</v>
      </c>
      <c r="B970" t="s" s="9">
        <v>30</v>
      </c>
      <c r="C970" t="s" s="9">
        <v>64</v>
      </c>
      <c r="D970" t="s" s="9">
        <v>49</v>
      </c>
      <c r="E970" t="s" s="9">
        <v>33</v>
      </c>
      <c r="F970" s="10">
        <v>855</v>
      </c>
      <c r="G970" s="10">
        <v>6397690</v>
      </c>
      <c r="H970" s="11" cm="1">
        <f t="array" ref="H970">F970/G970*100000</f>
        <v>13.3641986404468</v>
      </c>
    </row>
    <row r="971" ht="13" customHeight="1">
      <c r="A971" s="8">
        <v>9</v>
      </c>
      <c r="B971" t="s" s="9">
        <v>36</v>
      </c>
      <c r="C971" t="s" s="9">
        <v>64</v>
      </c>
      <c r="D971" t="s" s="9">
        <v>49</v>
      </c>
      <c r="E971" t="s" s="9">
        <v>33</v>
      </c>
      <c r="F971" s="10">
        <v>839</v>
      </c>
      <c r="G971" s="10">
        <v>6397690</v>
      </c>
      <c r="H971" s="11" cm="1">
        <f t="array" ref="H971">F971/G971*100000</f>
        <v>13.1141083734911</v>
      </c>
    </row>
    <row r="972" ht="13" customHeight="1">
      <c r="A972" s="8">
        <v>10</v>
      </c>
      <c r="B972" t="s" s="9">
        <v>37</v>
      </c>
      <c r="C972" t="s" s="9">
        <v>64</v>
      </c>
      <c r="D972" t="s" s="9">
        <v>49</v>
      </c>
      <c r="E972" t="s" s="9">
        <v>33</v>
      </c>
      <c r="F972" s="10">
        <v>584</v>
      </c>
      <c r="G972" s="10">
        <v>6397690</v>
      </c>
      <c r="H972" s="11" cm="1">
        <f t="array" ref="H972">F972/G972*100000</f>
        <v>9.128294743884121</v>
      </c>
    </row>
    <row r="973" ht="13.65" customHeight="1">
      <c r="A973" s="8">
        <v>1</v>
      </c>
      <c r="B973" t="s" s="9">
        <v>30</v>
      </c>
      <c r="C973" t="s" s="9">
        <v>64</v>
      </c>
      <c r="D973" t="s" s="9">
        <v>51</v>
      </c>
      <c r="E973" t="s" s="9">
        <v>33</v>
      </c>
      <c r="F973" s="10">
        <v>1409</v>
      </c>
      <c r="G973" s="12"/>
      <c r="H973" s="13"/>
    </row>
    <row r="974" ht="13.65" customHeight="1">
      <c r="A974" s="8">
        <v>2</v>
      </c>
      <c r="B974" t="s" s="9">
        <v>35</v>
      </c>
      <c r="C974" t="s" s="9">
        <v>64</v>
      </c>
      <c r="D974" t="s" s="9">
        <v>51</v>
      </c>
      <c r="E974" t="s" s="9">
        <v>33</v>
      </c>
      <c r="F974" s="10">
        <v>1440</v>
      </c>
      <c r="G974" s="14"/>
      <c r="H974" s="15"/>
    </row>
    <row r="975" ht="13.65" customHeight="1">
      <c r="A975" s="8">
        <v>3</v>
      </c>
      <c r="B975" t="s" s="9">
        <v>34</v>
      </c>
      <c r="C975" t="s" s="9">
        <v>64</v>
      </c>
      <c r="D975" t="s" s="9">
        <v>51</v>
      </c>
      <c r="E975" t="s" s="9">
        <v>33</v>
      </c>
      <c r="F975" s="10">
        <v>1025</v>
      </c>
      <c r="G975" s="14"/>
      <c r="H975" s="15"/>
    </row>
    <row r="976" ht="13.65" customHeight="1">
      <c r="A976" s="8">
        <v>4</v>
      </c>
      <c r="B976" t="s" s="9">
        <v>30</v>
      </c>
      <c r="C976" t="s" s="9">
        <v>64</v>
      </c>
      <c r="D976" t="s" s="9">
        <v>51</v>
      </c>
      <c r="E976" t="s" s="9">
        <v>33</v>
      </c>
      <c r="F976" s="10">
        <v>708</v>
      </c>
      <c r="G976" s="14"/>
      <c r="H976" s="15"/>
    </row>
    <row r="977" ht="13.65" customHeight="1">
      <c r="A977" s="8">
        <v>5</v>
      </c>
      <c r="B977" t="s" s="9">
        <v>39</v>
      </c>
      <c r="C977" t="s" s="9">
        <v>64</v>
      </c>
      <c r="D977" t="s" s="9">
        <v>51</v>
      </c>
      <c r="E977" t="s" s="9">
        <v>33</v>
      </c>
      <c r="F977" s="10">
        <v>297</v>
      </c>
      <c r="G977" s="14"/>
      <c r="H977" s="15"/>
    </row>
    <row r="978" ht="13.65" customHeight="1">
      <c r="A978" s="8">
        <v>6</v>
      </c>
      <c r="B978" t="s" s="9">
        <v>45</v>
      </c>
      <c r="C978" t="s" s="9">
        <v>64</v>
      </c>
      <c r="D978" t="s" s="9">
        <v>51</v>
      </c>
      <c r="E978" t="s" s="9">
        <v>33</v>
      </c>
      <c r="F978" s="10">
        <v>498</v>
      </c>
      <c r="G978" s="14"/>
      <c r="H978" s="15"/>
    </row>
    <row r="979" ht="13.65" customHeight="1">
      <c r="A979" s="8">
        <v>7</v>
      </c>
      <c r="B979" t="s" s="9">
        <v>35</v>
      </c>
      <c r="C979" t="s" s="9">
        <v>64</v>
      </c>
      <c r="D979" t="s" s="9">
        <v>51</v>
      </c>
      <c r="E979" t="s" s="9">
        <v>33</v>
      </c>
      <c r="F979" s="10">
        <v>589</v>
      </c>
      <c r="G979" s="14"/>
      <c r="H979" s="15"/>
    </row>
    <row r="980" ht="13.65" customHeight="1">
      <c r="A980" s="8">
        <v>8</v>
      </c>
      <c r="B980" t="s" s="9">
        <v>37</v>
      </c>
      <c r="C980" t="s" s="9">
        <v>64</v>
      </c>
      <c r="D980" t="s" s="9">
        <v>51</v>
      </c>
      <c r="E980" t="s" s="9">
        <v>33</v>
      </c>
      <c r="F980" s="10">
        <v>296</v>
      </c>
      <c r="G980" s="14"/>
      <c r="H980" s="15"/>
    </row>
    <row r="981" ht="13.65" customHeight="1">
      <c r="A981" s="8">
        <v>9</v>
      </c>
      <c r="B981" t="s" s="9">
        <v>41</v>
      </c>
      <c r="C981" t="s" s="9">
        <v>64</v>
      </c>
      <c r="D981" t="s" s="9">
        <v>51</v>
      </c>
      <c r="E981" t="s" s="9">
        <v>33</v>
      </c>
      <c r="F981" s="10">
        <v>267</v>
      </c>
      <c r="G981" s="14"/>
      <c r="H981" s="15"/>
    </row>
    <row r="982" ht="13.65" customHeight="1">
      <c r="A982" s="8">
        <v>10</v>
      </c>
      <c r="B982" t="s" s="9">
        <v>30</v>
      </c>
      <c r="C982" t="s" s="9">
        <v>64</v>
      </c>
      <c r="D982" t="s" s="9">
        <v>51</v>
      </c>
      <c r="E982" t="s" s="9">
        <v>33</v>
      </c>
      <c r="F982" s="10">
        <v>458</v>
      </c>
      <c r="G982" s="14"/>
      <c r="H982" s="15"/>
    </row>
    <row r="983" ht="13.65" customHeight="1">
      <c r="A983" s="8">
        <v>1</v>
      </c>
      <c r="B983" t="s" s="9">
        <v>35</v>
      </c>
      <c r="C983" t="s" s="9">
        <v>64</v>
      </c>
      <c r="D983" t="s" s="9">
        <v>52</v>
      </c>
      <c r="E983" t="s" s="9">
        <v>33</v>
      </c>
      <c r="F983" s="10">
        <v>10279</v>
      </c>
      <c r="G983" s="14"/>
      <c r="H983" s="15"/>
    </row>
    <row r="984" ht="13.65" customHeight="1">
      <c r="A984" s="8">
        <v>2</v>
      </c>
      <c r="B984" t="s" s="9">
        <v>30</v>
      </c>
      <c r="C984" t="s" s="9">
        <v>64</v>
      </c>
      <c r="D984" t="s" s="9">
        <v>52</v>
      </c>
      <c r="E984" t="s" s="9">
        <v>33</v>
      </c>
      <c r="F984" s="10">
        <v>2867</v>
      </c>
      <c r="G984" s="14"/>
      <c r="H984" s="15"/>
    </row>
    <row r="985" ht="13.65" customHeight="1">
      <c r="A985" s="8">
        <v>3</v>
      </c>
      <c r="B985" t="s" s="9">
        <v>34</v>
      </c>
      <c r="C985" t="s" s="9">
        <v>64</v>
      </c>
      <c r="D985" t="s" s="9">
        <v>52</v>
      </c>
      <c r="E985" t="s" s="9">
        <v>33</v>
      </c>
      <c r="F985" s="10">
        <v>2456</v>
      </c>
      <c r="G985" s="14"/>
      <c r="H985" s="15"/>
    </row>
    <row r="986" ht="13.65" customHeight="1">
      <c r="A986" s="8">
        <v>4</v>
      </c>
      <c r="B986" t="s" s="9">
        <v>30</v>
      </c>
      <c r="C986" t="s" s="9">
        <v>64</v>
      </c>
      <c r="D986" t="s" s="9">
        <v>52</v>
      </c>
      <c r="E986" t="s" s="9">
        <v>33</v>
      </c>
      <c r="F986" s="10">
        <v>1103</v>
      </c>
      <c r="G986" s="14"/>
      <c r="H986" s="15"/>
    </row>
    <row r="987" ht="13.65" customHeight="1">
      <c r="A987" s="8">
        <v>5</v>
      </c>
      <c r="B987" t="s" s="9">
        <v>39</v>
      </c>
      <c r="C987" t="s" s="9">
        <v>64</v>
      </c>
      <c r="D987" t="s" s="9">
        <v>52</v>
      </c>
      <c r="E987" t="s" s="9">
        <v>33</v>
      </c>
      <c r="F987" s="10">
        <v>525</v>
      </c>
      <c r="G987" s="14"/>
      <c r="H987" s="15"/>
    </row>
    <row r="988" ht="13.65" customHeight="1">
      <c r="A988" s="8">
        <v>6</v>
      </c>
      <c r="B988" t="s" s="9">
        <v>35</v>
      </c>
      <c r="C988" t="s" s="9">
        <v>64</v>
      </c>
      <c r="D988" t="s" s="9">
        <v>52</v>
      </c>
      <c r="E988" t="s" s="9">
        <v>33</v>
      </c>
      <c r="F988" s="10">
        <v>1278</v>
      </c>
      <c r="G988" s="14"/>
      <c r="H988" s="15"/>
    </row>
    <row r="989" ht="13.65" customHeight="1">
      <c r="A989" s="8">
        <v>7</v>
      </c>
      <c r="B989" t="s" s="9">
        <v>36</v>
      </c>
      <c r="C989" t="s" s="9">
        <v>64</v>
      </c>
      <c r="D989" t="s" s="9">
        <v>52</v>
      </c>
      <c r="E989" t="s" s="9">
        <v>33</v>
      </c>
      <c r="F989" s="10">
        <v>1070</v>
      </c>
      <c r="G989" s="14"/>
      <c r="H989" s="15"/>
    </row>
    <row r="990" ht="13.65" customHeight="1">
      <c r="A990" s="8">
        <v>8</v>
      </c>
      <c r="B990" t="s" s="9">
        <v>37</v>
      </c>
      <c r="C990" t="s" s="9">
        <v>64</v>
      </c>
      <c r="D990" t="s" s="9">
        <v>52</v>
      </c>
      <c r="E990" t="s" s="9">
        <v>33</v>
      </c>
      <c r="F990" s="10">
        <v>533</v>
      </c>
      <c r="G990" s="14"/>
      <c r="H990" s="15"/>
    </row>
    <row r="991" ht="13.65" customHeight="1">
      <c r="A991" s="8">
        <v>9</v>
      </c>
      <c r="B991" t="s" s="9">
        <v>36</v>
      </c>
      <c r="C991" t="s" s="9">
        <v>64</v>
      </c>
      <c r="D991" t="s" s="9">
        <v>52</v>
      </c>
      <c r="E991" t="s" s="9">
        <v>33</v>
      </c>
      <c r="F991" s="10">
        <v>430</v>
      </c>
      <c r="G991" s="14"/>
      <c r="H991" s="15"/>
    </row>
    <row r="992" ht="13.65" customHeight="1">
      <c r="A992" s="8">
        <v>10</v>
      </c>
      <c r="B992" t="s" s="9">
        <v>45</v>
      </c>
      <c r="C992" t="s" s="9">
        <v>64</v>
      </c>
      <c r="D992" t="s" s="9">
        <v>52</v>
      </c>
      <c r="E992" t="s" s="9">
        <v>33</v>
      </c>
      <c r="F992" s="10">
        <v>445</v>
      </c>
      <c r="G992" s="16"/>
      <c r="H992" s="17"/>
    </row>
    <row r="993" ht="13" customHeight="1">
      <c r="A993" s="8">
        <v>1</v>
      </c>
      <c r="B993" t="s" s="9">
        <v>30</v>
      </c>
      <c r="C993" t="s" s="9">
        <v>64</v>
      </c>
      <c r="D993" t="s" s="9">
        <v>53</v>
      </c>
      <c r="E993" t="s" s="9">
        <v>33</v>
      </c>
      <c r="F993" s="10">
        <v>2062</v>
      </c>
      <c r="G993" s="10">
        <v>5049226</v>
      </c>
      <c r="H993" s="11" cm="1">
        <f t="array" ref="H993">F993/G993*100000</f>
        <v>40.837942290561</v>
      </c>
    </row>
    <row r="994" ht="13" customHeight="1">
      <c r="A994" s="8">
        <v>2</v>
      </c>
      <c r="B994" t="s" s="9">
        <v>41</v>
      </c>
      <c r="C994" t="s" s="9">
        <v>64</v>
      </c>
      <c r="D994" t="s" s="9">
        <v>53</v>
      </c>
      <c r="E994" t="s" s="9">
        <v>33</v>
      </c>
      <c r="F994" s="10">
        <v>1210</v>
      </c>
      <c r="G994" s="10">
        <v>5049226</v>
      </c>
      <c r="H994" s="11" cm="1">
        <f t="array" ref="H994">F994/G994*100000</f>
        <v>23.9640689483893</v>
      </c>
    </row>
    <row r="995" ht="13" customHeight="1">
      <c r="A995" s="8">
        <v>3</v>
      </c>
      <c r="B995" t="s" s="9">
        <v>35</v>
      </c>
      <c r="C995" t="s" s="9">
        <v>64</v>
      </c>
      <c r="D995" t="s" s="9">
        <v>53</v>
      </c>
      <c r="E995" t="s" s="9">
        <v>33</v>
      </c>
      <c r="F995" s="10">
        <v>1293</v>
      </c>
      <c r="G995" s="10">
        <v>5049226</v>
      </c>
      <c r="H995" s="11" cm="1">
        <f t="array" ref="H995">F995/G995*100000</f>
        <v>25.6078852481549</v>
      </c>
    </row>
    <row r="996" ht="13" customHeight="1">
      <c r="A996" s="8">
        <v>4</v>
      </c>
      <c r="B996" t="s" s="9">
        <v>34</v>
      </c>
      <c r="C996" t="s" s="9">
        <v>64</v>
      </c>
      <c r="D996" t="s" s="9">
        <v>53</v>
      </c>
      <c r="E996" t="s" s="9">
        <v>33</v>
      </c>
      <c r="F996" s="10">
        <v>917</v>
      </c>
      <c r="G996" s="10">
        <v>5049226</v>
      </c>
      <c r="H996" s="11" cm="1">
        <f t="array" ref="H996">F996/G996*100000</f>
        <v>18.1611993600603</v>
      </c>
    </row>
    <row r="997" ht="13" customHeight="1">
      <c r="A997" s="8">
        <v>5</v>
      </c>
      <c r="B997" t="s" s="9">
        <v>30</v>
      </c>
      <c r="C997" t="s" s="9">
        <v>64</v>
      </c>
      <c r="D997" t="s" s="9">
        <v>53</v>
      </c>
      <c r="E997" t="s" s="9">
        <v>33</v>
      </c>
      <c r="F997" s="10">
        <v>967</v>
      </c>
      <c r="G997" s="10">
        <v>5049226</v>
      </c>
      <c r="H997" s="11" cm="1">
        <f t="array" ref="H997">F997/G997*100000</f>
        <v>19.1514501430516</v>
      </c>
    </row>
    <row r="998" ht="13" customHeight="1">
      <c r="A998" s="8">
        <v>6</v>
      </c>
      <c r="B998" t="s" s="9">
        <v>39</v>
      </c>
      <c r="C998" t="s" s="9">
        <v>64</v>
      </c>
      <c r="D998" t="s" s="9">
        <v>53</v>
      </c>
      <c r="E998" t="s" s="9">
        <v>33</v>
      </c>
      <c r="F998" s="10">
        <v>437</v>
      </c>
      <c r="G998" s="10">
        <v>5049226</v>
      </c>
      <c r="H998" s="11" cm="1">
        <f t="array" ref="H998">F998/G998*100000</f>
        <v>8.65479184334391</v>
      </c>
    </row>
    <row r="999" ht="13" customHeight="1">
      <c r="A999" s="8">
        <v>7</v>
      </c>
      <c r="B999" t="s" s="9">
        <v>35</v>
      </c>
      <c r="C999" t="s" s="9">
        <v>64</v>
      </c>
      <c r="D999" t="s" s="9">
        <v>53</v>
      </c>
      <c r="E999" t="s" s="9">
        <v>33</v>
      </c>
      <c r="F999" s="10">
        <v>732</v>
      </c>
      <c r="G999" s="10">
        <v>5049226</v>
      </c>
      <c r="H999" s="11" cm="1">
        <f t="array" ref="H999">F999/G999*100000</f>
        <v>14.4972714629925</v>
      </c>
    </row>
    <row r="1000" ht="13" customHeight="1">
      <c r="A1000" s="8">
        <v>8</v>
      </c>
      <c r="B1000" t="s" s="9">
        <v>30</v>
      </c>
      <c r="C1000" t="s" s="9">
        <v>64</v>
      </c>
      <c r="D1000" t="s" s="9">
        <v>53</v>
      </c>
      <c r="E1000" t="s" s="9">
        <v>33</v>
      </c>
      <c r="F1000" s="10">
        <v>466</v>
      </c>
      <c r="G1000" s="10">
        <v>5049226</v>
      </c>
      <c r="H1000" s="11" cm="1">
        <f t="array" ref="H1000">F1000/G1000*100000</f>
        <v>9.229137297478861</v>
      </c>
    </row>
    <row r="1001" ht="13" customHeight="1">
      <c r="A1001" s="8">
        <v>9</v>
      </c>
      <c r="B1001" t="s" s="9">
        <v>37</v>
      </c>
      <c r="C1001" t="s" s="9">
        <v>64</v>
      </c>
      <c r="D1001" t="s" s="9">
        <v>53</v>
      </c>
      <c r="E1001" t="s" s="9">
        <v>33</v>
      </c>
      <c r="F1001" s="10">
        <v>297</v>
      </c>
      <c r="G1001" s="10">
        <v>5049226</v>
      </c>
      <c r="H1001" s="11" cm="1">
        <f t="array" ref="H1001">F1001/G1001*100000</f>
        <v>5.88208965096829</v>
      </c>
    </row>
    <row r="1002" ht="13" customHeight="1">
      <c r="A1002" s="8">
        <v>10</v>
      </c>
      <c r="B1002" t="s" s="9">
        <v>36</v>
      </c>
      <c r="C1002" t="s" s="9">
        <v>64</v>
      </c>
      <c r="D1002" t="s" s="9">
        <v>53</v>
      </c>
      <c r="E1002" t="s" s="9">
        <v>33</v>
      </c>
      <c r="F1002" s="10">
        <v>300</v>
      </c>
      <c r="G1002" s="10">
        <v>5049226</v>
      </c>
      <c r="H1002" s="11" cm="1">
        <f t="array" ref="H1002">F1002/G1002*100000</f>
        <v>5.94150469794776</v>
      </c>
    </row>
    <row r="1003" ht="13" customHeight="1">
      <c r="A1003" s="8">
        <v>1</v>
      </c>
      <c r="B1003" t="s" s="9">
        <v>30</v>
      </c>
      <c r="C1003" t="s" s="9">
        <v>64</v>
      </c>
      <c r="D1003" t="s" s="9">
        <v>54</v>
      </c>
      <c r="E1003" t="s" s="9">
        <v>33</v>
      </c>
      <c r="F1003" s="10">
        <v>1589</v>
      </c>
      <c r="G1003" s="10">
        <v>3901529</v>
      </c>
      <c r="H1003" s="11" cm="1">
        <f t="array" ref="H1003">F1003/G1003*100000</f>
        <v>40.7276224270023</v>
      </c>
    </row>
    <row r="1004" ht="13" customHeight="1">
      <c r="A1004" s="8">
        <v>2</v>
      </c>
      <c r="B1004" t="s" s="9">
        <v>35</v>
      </c>
      <c r="C1004" t="s" s="9">
        <v>64</v>
      </c>
      <c r="D1004" t="s" s="9">
        <v>54</v>
      </c>
      <c r="E1004" t="s" s="9">
        <v>33</v>
      </c>
      <c r="F1004" s="10">
        <v>1094</v>
      </c>
      <c r="G1004" s="10">
        <v>3901529</v>
      </c>
      <c r="H1004" s="11" cm="1">
        <f t="array" ref="H1004">F1004/G1004*100000</f>
        <v>28.040288820101</v>
      </c>
    </row>
    <row r="1005" ht="13" customHeight="1">
      <c r="A1005" s="8">
        <v>3</v>
      </c>
      <c r="B1005" t="s" s="9">
        <v>34</v>
      </c>
      <c r="C1005" t="s" s="9">
        <v>64</v>
      </c>
      <c r="D1005" t="s" s="9">
        <v>54</v>
      </c>
      <c r="E1005" t="s" s="9">
        <v>33</v>
      </c>
      <c r="F1005" s="10">
        <v>619</v>
      </c>
      <c r="G1005" s="10">
        <v>3901529</v>
      </c>
      <c r="H1005" s="11" cm="1">
        <f t="array" ref="H1005">F1005/G1005*100000</f>
        <v>15.8655747528725</v>
      </c>
    </row>
    <row r="1006" ht="13" customHeight="1">
      <c r="A1006" s="8">
        <v>4</v>
      </c>
      <c r="B1006" t="s" s="9">
        <v>41</v>
      </c>
      <c r="C1006" t="s" s="9">
        <v>64</v>
      </c>
      <c r="D1006" t="s" s="9">
        <v>54</v>
      </c>
      <c r="E1006" t="s" s="9">
        <v>33</v>
      </c>
      <c r="F1006" s="10">
        <v>466</v>
      </c>
      <c r="G1006" s="10">
        <v>3901529</v>
      </c>
      <c r="H1006" s="11" cm="1">
        <f t="array" ref="H1006">F1006/G1006*100000</f>
        <v>11.9440352743758</v>
      </c>
    </row>
    <row r="1007" ht="13" customHeight="1">
      <c r="A1007" s="8">
        <v>5</v>
      </c>
      <c r="B1007" t="s" s="9">
        <v>39</v>
      </c>
      <c r="C1007" t="s" s="9">
        <v>64</v>
      </c>
      <c r="D1007" t="s" s="9">
        <v>54</v>
      </c>
      <c r="E1007" t="s" s="9">
        <v>33</v>
      </c>
      <c r="F1007" s="10">
        <v>230</v>
      </c>
      <c r="G1007" s="10">
        <v>3901529</v>
      </c>
      <c r="H1007" s="11" cm="1">
        <f t="array" ref="H1007">F1007/G1007*100000</f>
        <v>5.89512470623697</v>
      </c>
    </row>
    <row r="1008" ht="13" customHeight="1">
      <c r="A1008" s="8">
        <v>6</v>
      </c>
      <c r="B1008" t="s" s="9">
        <v>39</v>
      </c>
      <c r="C1008" t="s" s="9">
        <v>64</v>
      </c>
      <c r="D1008" t="s" s="9">
        <v>54</v>
      </c>
      <c r="E1008" t="s" s="9">
        <v>33</v>
      </c>
      <c r="F1008" s="10">
        <v>230</v>
      </c>
      <c r="G1008" s="10">
        <v>3901529</v>
      </c>
      <c r="H1008" s="11" cm="1">
        <f t="array" ref="H1008">F1008/G1008*100000</f>
        <v>5.89512470623697</v>
      </c>
    </row>
    <row r="1009" ht="13" customHeight="1">
      <c r="A1009" s="8">
        <v>7</v>
      </c>
      <c r="B1009" t="s" s="9">
        <v>30</v>
      </c>
      <c r="C1009" t="s" s="9">
        <v>64</v>
      </c>
      <c r="D1009" t="s" s="9">
        <v>54</v>
      </c>
      <c r="E1009" t="s" s="9">
        <v>33</v>
      </c>
      <c r="F1009" s="10">
        <v>367</v>
      </c>
      <c r="G1009" s="10">
        <v>3901529</v>
      </c>
      <c r="H1009" s="11" cm="1">
        <f t="array" ref="H1009">F1009/G1009*100000</f>
        <v>9.406568552995511</v>
      </c>
    </row>
    <row r="1010" ht="13" customHeight="1">
      <c r="A1010" s="8">
        <v>8</v>
      </c>
      <c r="B1010" t="s" s="9">
        <v>41</v>
      </c>
      <c r="C1010" t="s" s="9">
        <v>64</v>
      </c>
      <c r="D1010" t="s" s="9">
        <v>54</v>
      </c>
      <c r="E1010" t="s" s="9">
        <v>33</v>
      </c>
      <c r="F1010" s="10">
        <v>263</v>
      </c>
      <c r="G1010" s="10">
        <v>3901529</v>
      </c>
      <c r="H1010" s="11" cm="1">
        <f t="array" ref="H1010">F1010/G1010*100000</f>
        <v>6.74094694669705</v>
      </c>
    </row>
    <row r="1011" ht="13" customHeight="1">
      <c r="A1011" s="8">
        <v>9</v>
      </c>
      <c r="B1011" t="s" s="9">
        <v>45</v>
      </c>
      <c r="C1011" t="s" s="9">
        <v>64</v>
      </c>
      <c r="D1011" t="s" s="9">
        <v>54</v>
      </c>
      <c r="E1011" t="s" s="9">
        <v>33</v>
      </c>
      <c r="F1011" s="10">
        <v>218</v>
      </c>
      <c r="G1011" s="10">
        <v>3901529</v>
      </c>
      <c r="H1011" s="11" cm="1">
        <f t="array" ref="H1011">F1011/G1011*100000</f>
        <v>5.5875529824333</v>
      </c>
    </row>
    <row r="1012" ht="13" customHeight="1">
      <c r="A1012" s="8">
        <v>10</v>
      </c>
      <c r="B1012" t="s" s="9">
        <v>45</v>
      </c>
      <c r="C1012" t="s" s="9">
        <v>64</v>
      </c>
      <c r="D1012" t="s" s="9">
        <v>54</v>
      </c>
      <c r="E1012" t="s" s="9">
        <v>33</v>
      </c>
      <c r="F1012" s="10">
        <v>217</v>
      </c>
      <c r="G1012" s="10">
        <v>3901529</v>
      </c>
      <c r="H1012" s="11" cm="1">
        <f t="array" ref="H1012">F1012/G1012*100000</f>
        <v>5.56192200544966</v>
      </c>
    </row>
    <row r="1013" ht="13" customHeight="1">
      <c r="A1013" s="8">
        <v>1</v>
      </c>
      <c r="B1013" t="s" s="9">
        <v>30</v>
      </c>
      <c r="C1013" t="s" s="9">
        <v>64</v>
      </c>
      <c r="D1013" t="s" s="9">
        <v>55</v>
      </c>
      <c r="E1013" t="s" s="9">
        <v>33</v>
      </c>
      <c r="F1013" s="10">
        <v>3271</v>
      </c>
      <c r="G1013" s="10">
        <v>5273604</v>
      </c>
      <c r="H1013" s="11" cm="1">
        <f t="array" ref="H1013">F1013/G1013*100000</f>
        <v>62.0258934876415</v>
      </c>
    </row>
    <row r="1014" ht="13" customHeight="1">
      <c r="A1014" s="8">
        <v>2</v>
      </c>
      <c r="B1014" t="s" s="9">
        <v>35</v>
      </c>
      <c r="C1014" t="s" s="9">
        <v>64</v>
      </c>
      <c r="D1014" t="s" s="9">
        <v>55</v>
      </c>
      <c r="E1014" t="s" s="9">
        <v>33</v>
      </c>
      <c r="F1014" s="10">
        <v>3010</v>
      </c>
      <c r="G1014" s="10">
        <v>5273604</v>
      </c>
      <c r="H1014" s="11" cm="1">
        <f t="array" ref="H1014">F1014/G1014*100000</f>
        <v>57.0767164163255</v>
      </c>
    </row>
    <row r="1015" ht="13" customHeight="1">
      <c r="A1015" s="8">
        <v>3</v>
      </c>
      <c r="B1015" t="s" s="9">
        <v>35</v>
      </c>
      <c r="C1015" t="s" s="9">
        <v>64</v>
      </c>
      <c r="D1015" t="s" s="9">
        <v>55</v>
      </c>
      <c r="E1015" t="s" s="9">
        <v>33</v>
      </c>
      <c r="F1015" s="10">
        <v>2835</v>
      </c>
      <c r="G1015" s="10">
        <v>5273604</v>
      </c>
      <c r="H1015" s="11" cm="1">
        <f t="array" ref="H1015">F1015/G1015*100000</f>
        <v>53.7583026711903</v>
      </c>
    </row>
    <row r="1016" ht="13" customHeight="1">
      <c r="A1016" s="8">
        <v>4</v>
      </c>
      <c r="B1016" t="s" s="9">
        <v>34</v>
      </c>
      <c r="C1016" t="s" s="9">
        <v>64</v>
      </c>
      <c r="D1016" t="s" s="9">
        <v>55</v>
      </c>
      <c r="E1016" t="s" s="9">
        <v>33</v>
      </c>
      <c r="F1016" s="10">
        <v>1218</v>
      </c>
      <c r="G1016" s="10">
        <v>5273604</v>
      </c>
      <c r="H1016" s="11" cm="1">
        <f t="array" ref="H1016">F1016/G1016*100000</f>
        <v>23.096159666141</v>
      </c>
    </row>
    <row r="1017" ht="13" customHeight="1">
      <c r="A1017" s="8">
        <v>5</v>
      </c>
      <c r="B1017" t="s" s="9">
        <v>30</v>
      </c>
      <c r="C1017" t="s" s="9">
        <v>64</v>
      </c>
      <c r="D1017" t="s" s="9">
        <v>55</v>
      </c>
      <c r="E1017" t="s" s="9">
        <v>33</v>
      </c>
      <c r="F1017" s="10">
        <v>1056</v>
      </c>
      <c r="G1017" s="10">
        <v>5273604</v>
      </c>
      <c r="H1017" s="11" cm="1">
        <f t="array" ref="H1017">F1017/G1017*100000</f>
        <v>20.0242566563587</v>
      </c>
    </row>
    <row r="1018" ht="13" customHeight="1">
      <c r="A1018" s="8">
        <v>6</v>
      </c>
      <c r="B1018" t="s" s="9">
        <v>41</v>
      </c>
      <c r="C1018" t="s" s="9">
        <v>64</v>
      </c>
      <c r="D1018" t="s" s="9">
        <v>55</v>
      </c>
      <c r="E1018" t="s" s="9">
        <v>33</v>
      </c>
      <c r="F1018" s="10">
        <v>1091</v>
      </c>
      <c r="G1018" s="10">
        <v>5273604</v>
      </c>
      <c r="H1018" s="11" cm="1">
        <f t="array" ref="H1018">F1018/G1018*100000</f>
        <v>20.6879394053858</v>
      </c>
    </row>
    <row r="1019" ht="13" customHeight="1">
      <c r="A1019" s="8">
        <v>7</v>
      </c>
      <c r="B1019" t="s" s="9">
        <v>39</v>
      </c>
      <c r="C1019" t="s" s="9">
        <v>64</v>
      </c>
      <c r="D1019" t="s" s="9">
        <v>55</v>
      </c>
      <c r="E1019" t="s" s="9">
        <v>33</v>
      </c>
      <c r="F1019" s="10">
        <v>438</v>
      </c>
      <c r="G1019" s="10">
        <v>5273604</v>
      </c>
      <c r="H1019" s="11" cm="1">
        <f t="array" ref="H1019">F1019/G1019*100000</f>
        <v>8.305515544966971</v>
      </c>
    </row>
    <row r="1020" ht="13" customHeight="1">
      <c r="A1020" s="8">
        <v>8</v>
      </c>
      <c r="B1020" t="s" s="9">
        <v>36</v>
      </c>
      <c r="C1020" t="s" s="9">
        <v>64</v>
      </c>
      <c r="D1020" t="s" s="9">
        <v>55</v>
      </c>
      <c r="E1020" t="s" s="9">
        <v>33</v>
      </c>
      <c r="F1020" s="10">
        <v>625</v>
      </c>
      <c r="G1020" s="10">
        <v>5273604</v>
      </c>
      <c r="H1020" s="11" cm="1">
        <f t="array" ref="H1020">F1020/G1020*100000</f>
        <v>11.8514776611972</v>
      </c>
    </row>
    <row r="1021" ht="13" customHeight="1">
      <c r="A1021" s="8">
        <v>9</v>
      </c>
      <c r="B1021" t="s" s="9">
        <v>36</v>
      </c>
      <c r="C1021" t="s" s="9">
        <v>64</v>
      </c>
      <c r="D1021" t="s" s="9">
        <v>55</v>
      </c>
      <c r="E1021" t="s" s="9">
        <v>33</v>
      </c>
      <c r="F1021" s="10">
        <v>654</v>
      </c>
      <c r="G1021" s="10">
        <v>5273604</v>
      </c>
      <c r="H1021" s="11" cm="1">
        <f t="array" ref="H1021">F1021/G1021*100000</f>
        <v>12.4013862246767</v>
      </c>
    </row>
    <row r="1022" ht="13" customHeight="1">
      <c r="A1022" s="8">
        <v>10</v>
      </c>
      <c r="B1022" t="s" s="9">
        <v>45</v>
      </c>
      <c r="C1022" t="s" s="9">
        <v>64</v>
      </c>
      <c r="D1022" t="s" s="9">
        <v>55</v>
      </c>
      <c r="E1022" t="s" s="9">
        <v>33</v>
      </c>
      <c r="F1022" s="10">
        <v>479</v>
      </c>
      <c r="G1022" s="10">
        <v>5273604</v>
      </c>
      <c r="H1022" s="11" cm="1">
        <f t="array" ref="H1022">F1022/G1022*100000</f>
        <v>9.08297247954151</v>
      </c>
    </row>
    <row r="1023" ht="13" customHeight="1">
      <c r="A1023" s="8">
        <v>1</v>
      </c>
      <c r="B1023" t="s" s="9">
        <v>35</v>
      </c>
      <c r="C1023" t="s" s="9">
        <v>64</v>
      </c>
      <c r="D1023" t="s" s="9">
        <v>56</v>
      </c>
      <c r="E1023" t="s" s="9">
        <v>33</v>
      </c>
      <c r="F1023" s="10">
        <v>2901</v>
      </c>
      <c r="G1023" s="10">
        <v>5691183</v>
      </c>
      <c r="H1023" s="11" cm="1">
        <f t="array" ref="H1023">F1023/G1023*100000</f>
        <v>50.9735849295305</v>
      </c>
    </row>
    <row r="1024" ht="13" customHeight="1">
      <c r="A1024" s="8">
        <v>2</v>
      </c>
      <c r="B1024" t="s" s="9">
        <v>34</v>
      </c>
      <c r="C1024" t="s" s="9">
        <v>64</v>
      </c>
      <c r="D1024" t="s" s="9">
        <v>56</v>
      </c>
      <c r="E1024" t="s" s="9">
        <v>33</v>
      </c>
      <c r="F1024" s="10">
        <v>2245</v>
      </c>
      <c r="G1024" s="10">
        <v>5691183</v>
      </c>
      <c r="H1024" s="11" cm="1">
        <f t="array" ref="H1024">F1024/G1024*100000</f>
        <v>39.4469831667687</v>
      </c>
    </row>
    <row r="1025" ht="13" customHeight="1">
      <c r="A1025" s="8">
        <v>3</v>
      </c>
      <c r="B1025" t="s" s="9">
        <v>30</v>
      </c>
      <c r="C1025" t="s" s="9">
        <v>64</v>
      </c>
      <c r="D1025" t="s" s="9">
        <v>56</v>
      </c>
      <c r="E1025" t="s" s="9">
        <v>33</v>
      </c>
      <c r="F1025" s="10">
        <v>1225</v>
      </c>
      <c r="G1025" s="10">
        <v>5691183</v>
      </c>
      <c r="H1025" s="11" cm="1">
        <f t="array" ref="H1025">F1025/G1025*100000</f>
        <v>21.5245231088159</v>
      </c>
    </row>
    <row r="1026" ht="13" customHeight="1">
      <c r="A1026" s="8">
        <v>4</v>
      </c>
      <c r="B1026" t="s" s="9">
        <v>37</v>
      </c>
      <c r="C1026" t="s" s="9">
        <v>64</v>
      </c>
      <c r="D1026" t="s" s="9">
        <v>56</v>
      </c>
      <c r="E1026" t="s" s="9">
        <v>33</v>
      </c>
      <c r="F1026" s="10">
        <v>510</v>
      </c>
      <c r="G1026" s="10">
        <v>5691183</v>
      </c>
      <c r="H1026" s="11" cm="1">
        <f t="array" ref="H1026">F1026/G1026*100000</f>
        <v>8.9612300289764</v>
      </c>
    </row>
    <row r="1027" ht="13" customHeight="1">
      <c r="A1027" s="8">
        <v>5</v>
      </c>
      <c r="B1027" t="s" s="9">
        <v>35</v>
      </c>
      <c r="C1027" t="s" s="9">
        <v>64</v>
      </c>
      <c r="D1027" t="s" s="9">
        <v>56</v>
      </c>
      <c r="E1027" t="s" s="9">
        <v>33</v>
      </c>
      <c r="F1027" s="10">
        <v>714</v>
      </c>
      <c r="G1027" s="10">
        <v>5691183</v>
      </c>
      <c r="H1027" s="11" cm="1">
        <f t="array" ref="H1027">F1027/G1027*100000</f>
        <v>12.545722040567</v>
      </c>
    </row>
    <row r="1028" ht="13" customHeight="1">
      <c r="A1028" s="8">
        <v>6</v>
      </c>
      <c r="B1028" t="s" s="9">
        <v>30</v>
      </c>
      <c r="C1028" t="s" s="9">
        <v>64</v>
      </c>
      <c r="D1028" t="s" s="9">
        <v>56</v>
      </c>
      <c r="E1028" t="s" s="9">
        <v>33</v>
      </c>
      <c r="F1028" s="10">
        <v>453</v>
      </c>
      <c r="G1028" s="10">
        <v>5691183</v>
      </c>
      <c r="H1028" s="11" cm="1">
        <f t="array" ref="H1028">F1028/G1028*100000</f>
        <v>7.95968079044374</v>
      </c>
    </row>
    <row r="1029" ht="13" customHeight="1">
      <c r="A1029" s="8">
        <v>7</v>
      </c>
      <c r="B1029" t="s" s="9">
        <v>30</v>
      </c>
      <c r="C1029" t="s" s="9">
        <v>64</v>
      </c>
      <c r="D1029" t="s" s="9">
        <v>56</v>
      </c>
      <c r="E1029" t="s" s="9">
        <v>33</v>
      </c>
      <c r="F1029" s="10">
        <v>327</v>
      </c>
      <c r="G1029" s="10">
        <v>5691183</v>
      </c>
      <c r="H1029" s="11" cm="1">
        <f t="array" ref="H1029">F1029/G1029*100000</f>
        <v>5.7457298421084</v>
      </c>
    </row>
    <row r="1030" ht="13" customHeight="1">
      <c r="A1030" s="8">
        <v>8</v>
      </c>
      <c r="B1030" t="s" s="9">
        <v>39</v>
      </c>
      <c r="C1030" t="s" s="9">
        <v>64</v>
      </c>
      <c r="D1030" t="s" s="9">
        <v>56</v>
      </c>
      <c r="E1030" t="s" s="9">
        <v>33</v>
      </c>
      <c r="F1030" s="10">
        <v>182</v>
      </c>
      <c r="G1030" s="10">
        <v>5691183</v>
      </c>
      <c r="H1030" s="11" cm="1">
        <f t="array" ref="H1030">F1030/G1030*100000</f>
        <v>3.1979291475955</v>
      </c>
    </row>
    <row r="1031" ht="13" customHeight="1">
      <c r="A1031" s="8">
        <v>9</v>
      </c>
      <c r="B1031" t="s" s="9">
        <v>36</v>
      </c>
      <c r="C1031" t="s" s="9">
        <v>64</v>
      </c>
      <c r="D1031" t="s" s="9">
        <v>56</v>
      </c>
      <c r="E1031" t="s" s="9">
        <v>33</v>
      </c>
      <c r="F1031" s="10">
        <v>273</v>
      </c>
      <c r="G1031" s="10">
        <v>5691183</v>
      </c>
      <c r="H1031" s="11" cm="1">
        <f t="array" ref="H1031">F1031/G1031*100000</f>
        <v>4.79689372139325</v>
      </c>
    </row>
    <row r="1032" ht="13" customHeight="1">
      <c r="A1032" s="8">
        <v>10</v>
      </c>
      <c r="B1032" t="s" s="9">
        <v>30</v>
      </c>
      <c r="C1032" t="s" s="9">
        <v>64</v>
      </c>
      <c r="D1032" t="s" s="9">
        <v>56</v>
      </c>
      <c r="E1032" t="s" s="9">
        <v>33</v>
      </c>
      <c r="F1032" s="10">
        <v>359</v>
      </c>
      <c r="G1032" s="10">
        <v>5691183</v>
      </c>
      <c r="H1032" s="11" cm="1">
        <f t="array" ref="H1032">F1032/G1032*100000</f>
        <v>6.30800309882849</v>
      </c>
    </row>
    <row r="1033" ht="13" customHeight="1">
      <c r="A1033" s="8">
        <v>1</v>
      </c>
      <c r="B1033" t="s" s="9">
        <v>35</v>
      </c>
      <c r="C1033" t="s" s="9">
        <v>64</v>
      </c>
      <c r="D1033" t="s" s="9">
        <v>57</v>
      </c>
      <c r="E1033" t="s" s="9">
        <v>33</v>
      </c>
      <c r="F1033" s="10">
        <v>3941</v>
      </c>
      <c r="G1033" s="10">
        <v>5214931</v>
      </c>
      <c r="H1033" s="11" cm="1">
        <f t="array" ref="H1033">F1033/G1033*100000</f>
        <v>75.5714696896277</v>
      </c>
    </row>
    <row r="1034" ht="13" customHeight="1">
      <c r="A1034" s="8">
        <v>2</v>
      </c>
      <c r="B1034" t="s" s="9">
        <v>30</v>
      </c>
      <c r="C1034" t="s" s="9">
        <v>64</v>
      </c>
      <c r="D1034" t="s" s="9">
        <v>57</v>
      </c>
      <c r="E1034" t="s" s="9">
        <v>33</v>
      </c>
      <c r="F1034" s="10">
        <v>585</v>
      </c>
      <c r="G1034" s="10">
        <v>5214931</v>
      </c>
      <c r="H1034" s="11" cm="1">
        <f t="array" ref="H1034">F1034/G1034*100000</f>
        <v>11.2177898422817</v>
      </c>
    </row>
    <row r="1035" ht="13" customHeight="1">
      <c r="A1035" s="8">
        <v>3</v>
      </c>
      <c r="B1035" t="s" s="9">
        <v>34</v>
      </c>
      <c r="C1035" t="s" s="9">
        <v>64</v>
      </c>
      <c r="D1035" t="s" s="9">
        <v>57</v>
      </c>
      <c r="E1035" t="s" s="9">
        <v>33</v>
      </c>
      <c r="F1035" s="10">
        <v>104</v>
      </c>
      <c r="G1035" s="10">
        <v>5214931</v>
      </c>
      <c r="H1035" s="11" cm="1">
        <f t="array" ref="H1035">F1035/G1035*100000</f>
        <v>1.99427374973897</v>
      </c>
    </row>
    <row r="1036" ht="13" customHeight="1">
      <c r="A1036" s="8">
        <v>4</v>
      </c>
      <c r="B1036" t="s" s="9">
        <v>30</v>
      </c>
      <c r="C1036" t="s" s="9">
        <v>64</v>
      </c>
      <c r="D1036" t="s" s="9">
        <v>57</v>
      </c>
      <c r="E1036" t="s" s="9">
        <v>33</v>
      </c>
      <c r="F1036" s="10">
        <v>66</v>
      </c>
      <c r="G1036" s="10">
        <v>5214931</v>
      </c>
      <c r="H1036" s="11" cm="1">
        <f t="array" ref="H1036">F1036/G1036*100000</f>
        <v>1.26559680271896</v>
      </c>
    </row>
    <row r="1037" ht="13" customHeight="1">
      <c r="A1037" s="8">
        <v>5</v>
      </c>
      <c r="B1037" t="s" s="9">
        <v>41</v>
      </c>
      <c r="C1037" t="s" s="9">
        <v>64</v>
      </c>
      <c r="D1037" t="s" s="9">
        <v>57</v>
      </c>
      <c r="E1037" t="s" s="9">
        <v>33</v>
      </c>
      <c r="F1037" s="10">
        <v>72</v>
      </c>
      <c r="G1037" s="10">
        <v>5214931</v>
      </c>
      <c r="H1037" s="11" cm="1">
        <f t="array" ref="H1037">F1037/G1037*100000</f>
        <v>1.3806510575116</v>
      </c>
    </row>
    <row r="1038" ht="13" customHeight="1">
      <c r="A1038" s="8">
        <v>6</v>
      </c>
      <c r="B1038" t="s" s="9">
        <v>30</v>
      </c>
      <c r="C1038" t="s" s="9">
        <v>64</v>
      </c>
      <c r="D1038" t="s" s="9">
        <v>57</v>
      </c>
      <c r="E1038" t="s" s="9">
        <v>33</v>
      </c>
      <c r="F1038" s="10">
        <v>64</v>
      </c>
      <c r="G1038" s="10">
        <v>5214931</v>
      </c>
      <c r="H1038" s="11" cm="1">
        <f t="array" ref="H1038">F1038/G1038*100000</f>
        <v>1.22724538445475</v>
      </c>
    </row>
    <row r="1039" ht="13" customHeight="1">
      <c r="A1039" s="8">
        <v>7</v>
      </c>
      <c r="B1039" t="s" s="9">
        <v>45</v>
      </c>
      <c r="C1039" t="s" s="9">
        <v>64</v>
      </c>
      <c r="D1039" t="s" s="9">
        <v>57</v>
      </c>
      <c r="E1039" t="s" s="9">
        <v>33</v>
      </c>
      <c r="F1039" s="10">
        <v>59</v>
      </c>
      <c r="G1039" s="10">
        <v>5214931</v>
      </c>
      <c r="H1039" s="11" cm="1">
        <f t="array" ref="H1039">F1039/G1039*100000</f>
        <v>1.13136683879422</v>
      </c>
    </row>
    <row r="1040" ht="13" customHeight="1">
      <c r="A1040" s="8">
        <v>8</v>
      </c>
      <c r="B1040" t="s" s="9">
        <v>45</v>
      </c>
      <c r="C1040" t="s" s="9">
        <v>64</v>
      </c>
      <c r="D1040" t="s" s="9">
        <v>57</v>
      </c>
      <c r="E1040" t="s" s="9">
        <v>33</v>
      </c>
      <c r="F1040" s="10">
        <v>45</v>
      </c>
      <c r="G1040" s="10">
        <v>5214931</v>
      </c>
      <c r="H1040" s="11" cm="1">
        <f t="array" ref="H1040">F1040/G1040*100000</f>
        <v>0.862906910944747</v>
      </c>
    </row>
    <row r="1041" ht="13" customHeight="1">
      <c r="A1041" s="8">
        <v>9</v>
      </c>
      <c r="B1041" t="s" s="9">
        <v>30</v>
      </c>
      <c r="C1041" t="s" s="9">
        <v>64</v>
      </c>
      <c r="D1041" t="s" s="9">
        <v>57</v>
      </c>
      <c r="E1041" t="s" s="9">
        <v>33</v>
      </c>
      <c r="F1041" s="10">
        <v>36</v>
      </c>
      <c r="G1041" s="10">
        <v>5214931</v>
      </c>
      <c r="H1041" s="11" cm="1">
        <f t="array" ref="H1041">F1041/G1041*100000</f>
        <v>0.690325528755798</v>
      </c>
    </row>
    <row r="1042" ht="13" customHeight="1">
      <c r="A1042" s="8">
        <v>10</v>
      </c>
      <c r="B1042" t="s" s="9">
        <v>39</v>
      </c>
      <c r="C1042" t="s" s="9">
        <v>64</v>
      </c>
      <c r="D1042" t="s" s="9">
        <v>57</v>
      </c>
      <c r="E1042" t="s" s="9">
        <v>33</v>
      </c>
      <c r="F1042" s="10">
        <v>16</v>
      </c>
      <c r="G1042" s="10">
        <v>5214931</v>
      </c>
      <c r="H1042" s="11" cm="1">
        <f t="array" ref="H1042">F1042/G1042*100000</f>
        <v>0.306811346113688</v>
      </c>
    </row>
    <row r="1043" ht="13" customHeight="1">
      <c r="A1043" s="8">
        <v>1</v>
      </c>
      <c r="B1043" t="s" s="9">
        <v>30</v>
      </c>
      <c r="C1043" t="s" s="9">
        <v>64</v>
      </c>
      <c r="D1043" t="s" s="9">
        <v>20</v>
      </c>
      <c r="E1043" t="s" s="9">
        <v>33</v>
      </c>
      <c r="F1043" s="10">
        <v>1915</v>
      </c>
      <c r="G1043" s="10">
        <v>2889689</v>
      </c>
      <c r="H1043" s="11" cm="1">
        <f t="array" ref="H1043">F1043/G1043*100000</f>
        <v>66.2701072675987</v>
      </c>
    </row>
    <row r="1044" ht="13" customHeight="1">
      <c r="A1044" s="8">
        <v>2</v>
      </c>
      <c r="B1044" t="s" s="9">
        <v>35</v>
      </c>
      <c r="C1044" t="s" s="9">
        <v>64</v>
      </c>
      <c r="D1044" t="s" s="9">
        <v>20</v>
      </c>
      <c r="E1044" t="s" s="9">
        <v>33</v>
      </c>
      <c r="F1044" s="10">
        <v>1698</v>
      </c>
      <c r="G1044" s="10">
        <v>2889689</v>
      </c>
      <c r="H1044" s="11" cm="1">
        <f t="array" ref="H1044">F1044/G1044*100000</f>
        <v>58.7606486372755</v>
      </c>
    </row>
    <row r="1045" ht="13" customHeight="1">
      <c r="A1045" s="8">
        <v>3</v>
      </c>
      <c r="B1045" t="s" s="9">
        <v>34</v>
      </c>
      <c r="C1045" t="s" s="9">
        <v>64</v>
      </c>
      <c r="D1045" t="s" s="9">
        <v>20</v>
      </c>
      <c r="E1045" t="s" s="9">
        <v>33</v>
      </c>
      <c r="F1045" s="10">
        <v>944</v>
      </c>
      <c r="G1045" s="10">
        <v>2889689</v>
      </c>
      <c r="H1045" s="11" cm="1">
        <f t="array" ref="H1045">F1045/G1045*100000</f>
        <v>32.6678753319129</v>
      </c>
    </row>
    <row r="1046" ht="13" customHeight="1">
      <c r="A1046" s="8">
        <v>4</v>
      </c>
      <c r="B1046" t="s" s="9">
        <v>35</v>
      </c>
      <c r="C1046" t="s" s="9">
        <v>64</v>
      </c>
      <c r="D1046" t="s" s="9">
        <v>20</v>
      </c>
      <c r="E1046" t="s" s="9">
        <v>33</v>
      </c>
      <c r="F1046" s="10">
        <v>1010</v>
      </c>
      <c r="G1046" s="10">
        <v>2889689</v>
      </c>
      <c r="H1046" s="11" cm="1">
        <f t="array" ref="H1046">F1046/G1046*100000</f>
        <v>34.9518581411356</v>
      </c>
    </row>
    <row r="1047" ht="13" customHeight="1">
      <c r="A1047" s="8">
        <v>5</v>
      </c>
      <c r="B1047" t="s" s="9">
        <v>30</v>
      </c>
      <c r="C1047" t="s" s="9">
        <v>64</v>
      </c>
      <c r="D1047" t="s" s="9">
        <v>20</v>
      </c>
      <c r="E1047" t="s" s="9">
        <v>33</v>
      </c>
      <c r="F1047" s="10">
        <v>561</v>
      </c>
      <c r="G1047" s="10">
        <v>2889689</v>
      </c>
      <c r="H1047" s="11" cm="1">
        <f t="array" ref="H1047">F1047/G1047*100000</f>
        <v>19.4138538783931</v>
      </c>
    </row>
    <row r="1048" ht="13" customHeight="1">
      <c r="A1048" s="8">
        <v>6</v>
      </c>
      <c r="B1048" t="s" s="9">
        <v>39</v>
      </c>
      <c r="C1048" t="s" s="9">
        <v>64</v>
      </c>
      <c r="D1048" t="s" s="9">
        <v>20</v>
      </c>
      <c r="E1048" t="s" s="9">
        <v>33</v>
      </c>
      <c r="F1048" s="10">
        <v>407</v>
      </c>
      <c r="G1048" s="10">
        <v>2889689</v>
      </c>
      <c r="H1048" s="11" cm="1">
        <f t="array" ref="H1048">F1048/G1048*100000</f>
        <v>14.0845606568735</v>
      </c>
    </row>
    <row r="1049" ht="13" customHeight="1">
      <c r="A1049" s="8">
        <v>7</v>
      </c>
      <c r="B1049" t="s" s="9">
        <v>36</v>
      </c>
      <c r="C1049" t="s" s="9">
        <v>64</v>
      </c>
      <c r="D1049" t="s" s="9">
        <v>20</v>
      </c>
      <c r="E1049" t="s" s="9">
        <v>33</v>
      </c>
      <c r="F1049" s="10">
        <v>355</v>
      </c>
      <c r="G1049" s="10">
        <v>2889689</v>
      </c>
      <c r="H1049" s="11" cm="1">
        <f t="array" ref="H1049">F1049/G1049*100000</f>
        <v>12.2850590496071</v>
      </c>
    </row>
    <row r="1050" ht="13" customHeight="1">
      <c r="A1050" s="8">
        <v>8</v>
      </c>
      <c r="B1050" t="s" s="9">
        <v>37</v>
      </c>
      <c r="C1050" t="s" s="9">
        <v>64</v>
      </c>
      <c r="D1050" t="s" s="9">
        <v>20</v>
      </c>
      <c r="E1050" t="s" s="9">
        <v>33</v>
      </c>
      <c r="F1050" s="10">
        <v>311</v>
      </c>
      <c r="G1050" s="10">
        <v>2889689</v>
      </c>
      <c r="H1050" s="11" cm="1">
        <f t="array" ref="H1050">F1050/G1050*100000</f>
        <v>10.7624038434586</v>
      </c>
    </row>
    <row r="1051" ht="13" customHeight="1">
      <c r="A1051" s="8">
        <v>9</v>
      </c>
      <c r="B1051" t="s" s="9">
        <v>37</v>
      </c>
      <c r="C1051" t="s" s="9">
        <v>64</v>
      </c>
      <c r="D1051" t="s" s="9">
        <v>20</v>
      </c>
      <c r="E1051" t="s" s="9">
        <v>33</v>
      </c>
      <c r="F1051" s="10">
        <v>201</v>
      </c>
      <c r="G1051" s="10">
        <v>2889689</v>
      </c>
      <c r="H1051" s="11" cm="1">
        <f t="array" ref="H1051">F1051/G1051*100000</f>
        <v>6.95576582808738</v>
      </c>
    </row>
    <row r="1052" ht="13" customHeight="1">
      <c r="A1052" s="8">
        <v>10</v>
      </c>
      <c r="B1052" t="s" s="9">
        <v>39</v>
      </c>
      <c r="C1052" t="s" s="9">
        <v>64</v>
      </c>
      <c r="D1052" t="s" s="9">
        <v>20</v>
      </c>
      <c r="E1052" t="s" s="9">
        <v>33</v>
      </c>
      <c r="F1052" s="10">
        <v>185</v>
      </c>
      <c r="G1052" s="10">
        <v>2889689</v>
      </c>
      <c r="H1052" s="11" cm="1">
        <f t="array" ref="H1052">F1052/G1052*100000</f>
        <v>6.40207302585157</v>
      </c>
    </row>
    <row r="1053" ht="13" customHeight="1">
      <c r="A1053" s="8">
        <v>1</v>
      </c>
      <c r="B1053" t="s" s="9">
        <v>30</v>
      </c>
      <c r="C1053" t="s" s="9">
        <v>64</v>
      </c>
      <c r="D1053" t="s" s="9">
        <v>21</v>
      </c>
      <c r="E1053" t="s" s="9">
        <v>33</v>
      </c>
      <c r="F1053" s="10">
        <v>2328</v>
      </c>
      <c r="G1053" s="10">
        <v>4635519</v>
      </c>
      <c r="H1053" s="11" cm="1">
        <f t="array" ref="H1053">F1053/G1053*100000</f>
        <v>50.2209137747035</v>
      </c>
    </row>
    <row r="1054" ht="13" customHeight="1">
      <c r="A1054" s="8">
        <v>2</v>
      </c>
      <c r="B1054" t="s" s="9">
        <v>34</v>
      </c>
      <c r="C1054" t="s" s="9">
        <v>64</v>
      </c>
      <c r="D1054" t="s" s="9">
        <v>21</v>
      </c>
      <c r="E1054" t="s" s="9">
        <v>33</v>
      </c>
      <c r="F1054" s="10">
        <v>1168</v>
      </c>
      <c r="G1054" s="10">
        <v>4635519</v>
      </c>
      <c r="H1054" s="11" cm="1">
        <f t="array" ref="H1054">F1054/G1054*100000</f>
        <v>25.1967471172052</v>
      </c>
    </row>
    <row r="1055" ht="13" customHeight="1">
      <c r="A1055" s="8">
        <v>3</v>
      </c>
      <c r="B1055" t="s" s="9">
        <v>36</v>
      </c>
      <c r="C1055" t="s" s="9">
        <v>64</v>
      </c>
      <c r="D1055" t="s" s="9">
        <v>21</v>
      </c>
      <c r="E1055" t="s" s="9">
        <v>33</v>
      </c>
      <c r="F1055" s="10">
        <v>836</v>
      </c>
      <c r="G1055" s="10">
        <v>4635519</v>
      </c>
      <c r="H1055" s="11" cm="1">
        <f t="array" ref="H1055">F1055/G1055*100000</f>
        <v>18.0346580393695</v>
      </c>
    </row>
    <row r="1056" ht="13" customHeight="1">
      <c r="A1056" s="8">
        <v>4</v>
      </c>
      <c r="B1056" t="s" s="9">
        <v>35</v>
      </c>
      <c r="C1056" t="s" s="9">
        <v>64</v>
      </c>
      <c r="D1056" t="s" s="9">
        <v>21</v>
      </c>
      <c r="E1056" t="s" s="9">
        <v>33</v>
      </c>
      <c r="F1056" s="10">
        <v>682</v>
      </c>
      <c r="G1056" s="10">
        <v>4635519</v>
      </c>
      <c r="H1056" s="11" cm="1">
        <f t="array" ref="H1056">F1056/G1056*100000</f>
        <v>14.7124841900119</v>
      </c>
    </row>
    <row r="1057" ht="13" customHeight="1">
      <c r="A1057" s="8">
        <v>5</v>
      </c>
      <c r="B1057" t="s" s="9">
        <v>36</v>
      </c>
      <c r="C1057" t="s" s="9">
        <v>64</v>
      </c>
      <c r="D1057" t="s" s="9">
        <v>21</v>
      </c>
      <c r="E1057" t="s" s="9">
        <v>33</v>
      </c>
      <c r="F1057" s="10">
        <v>448</v>
      </c>
      <c r="G1057" s="10">
        <v>4635519</v>
      </c>
      <c r="H1057" s="11" cm="1">
        <f t="array" ref="H1057">F1057/G1057*100000</f>
        <v>9.664505743585559</v>
      </c>
    </row>
    <row r="1058" ht="13" customHeight="1">
      <c r="A1058" s="8">
        <v>6</v>
      </c>
      <c r="B1058" t="s" s="9">
        <v>30</v>
      </c>
      <c r="C1058" t="s" s="9">
        <v>64</v>
      </c>
      <c r="D1058" t="s" s="9">
        <v>21</v>
      </c>
      <c r="E1058" t="s" s="9">
        <v>33</v>
      </c>
      <c r="F1058" s="10">
        <v>431</v>
      </c>
      <c r="G1058" s="10">
        <v>4635519</v>
      </c>
      <c r="H1058" s="11" cm="1">
        <f t="array" ref="H1058">F1058/G1058*100000</f>
        <v>9.29777226670843</v>
      </c>
    </row>
    <row r="1059" ht="13" customHeight="1">
      <c r="A1059" s="8">
        <v>7</v>
      </c>
      <c r="B1059" t="s" s="9">
        <v>45</v>
      </c>
      <c r="C1059" t="s" s="9">
        <v>64</v>
      </c>
      <c r="D1059" t="s" s="9">
        <v>21</v>
      </c>
      <c r="E1059" t="s" s="9">
        <v>33</v>
      </c>
      <c r="F1059" s="10">
        <v>358</v>
      </c>
      <c r="G1059" s="10">
        <v>4635519</v>
      </c>
      <c r="H1059" s="11" cm="1">
        <f t="array" ref="H1059">F1059/G1059*100000</f>
        <v>7.72297557188311</v>
      </c>
    </row>
    <row r="1060" ht="13" customHeight="1">
      <c r="A1060" s="8">
        <v>8</v>
      </c>
      <c r="B1060" t="s" s="9">
        <v>45</v>
      </c>
      <c r="C1060" t="s" s="9">
        <v>64</v>
      </c>
      <c r="D1060" t="s" s="9">
        <v>21</v>
      </c>
      <c r="E1060" t="s" s="9">
        <v>33</v>
      </c>
      <c r="F1060" s="10">
        <v>343</v>
      </c>
      <c r="G1060" s="10">
        <v>4635519</v>
      </c>
      <c r="H1060" s="11" cm="1">
        <f t="array" ref="H1060">F1060/G1060*100000</f>
        <v>7.3993872099327</v>
      </c>
    </row>
    <row r="1061" ht="13" customHeight="1">
      <c r="A1061" s="8">
        <v>9</v>
      </c>
      <c r="B1061" t="s" s="9">
        <v>34</v>
      </c>
      <c r="C1061" t="s" s="9">
        <v>64</v>
      </c>
      <c r="D1061" t="s" s="9">
        <v>21</v>
      </c>
      <c r="E1061" t="s" s="9">
        <v>33</v>
      </c>
      <c r="F1061" s="10">
        <v>316</v>
      </c>
      <c r="G1061" s="10">
        <v>4635519</v>
      </c>
      <c r="H1061" s="11" cm="1">
        <f t="array" ref="H1061">F1061/G1061*100000</f>
        <v>6.81692815842196</v>
      </c>
    </row>
    <row r="1062" ht="13" customHeight="1">
      <c r="A1062" s="8">
        <v>10</v>
      </c>
      <c r="B1062" t="s" s="9">
        <v>30</v>
      </c>
      <c r="C1062" t="s" s="9">
        <v>64</v>
      </c>
      <c r="D1062" t="s" s="9">
        <v>21</v>
      </c>
      <c r="E1062" t="s" s="9">
        <v>33</v>
      </c>
      <c r="F1062" s="10">
        <v>266</v>
      </c>
      <c r="G1062" s="10">
        <v>4635519</v>
      </c>
      <c r="H1062" s="11" cm="1">
        <f t="array" ref="H1062">F1062/G1062*100000</f>
        <v>5.73830028525393</v>
      </c>
    </row>
    <row r="1063" ht="13.65" customHeight="1">
      <c r="A1063" s="8">
        <v>1</v>
      </c>
      <c r="B1063" t="s" s="9">
        <v>30</v>
      </c>
      <c r="C1063" t="s" s="9">
        <v>64</v>
      </c>
      <c r="D1063" t="s" s="9">
        <v>58</v>
      </c>
      <c r="E1063" t="s" s="9">
        <v>33</v>
      </c>
      <c r="F1063" s="10">
        <v>3576</v>
      </c>
      <c r="G1063" s="12"/>
      <c r="H1063" s="13"/>
    </row>
    <row r="1064" ht="13.65" customHeight="1">
      <c r="A1064" s="8">
        <v>2</v>
      </c>
      <c r="B1064" t="s" s="9">
        <v>35</v>
      </c>
      <c r="C1064" t="s" s="9">
        <v>64</v>
      </c>
      <c r="D1064" t="s" s="9">
        <v>58</v>
      </c>
      <c r="E1064" t="s" s="9">
        <v>33</v>
      </c>
      <c r="F1064" s="10">
        <v>3404</v>
      </c>
      <c r="G1064" s="14"/>
      <c r="H1064" s="15"/>
    </row>
    <row r="1065" ht="13.65" customHeight="1">
      <c r="A1065" s="8">
        <v>3</v>
      </c>
      <c r="B1065" t="s" s="9">
        <v>35</v>
      </c>
      <c r="C1065" t="s" s="9">
        <v>64</v>
      </c>
      <c r="D1065" t="s" s="9">
        <v>58</v>
      </c>
      <c r="E1065" t="s" s="9">
        <v>33</v>
      </c>
      <c r="F1065" s="10">
        <v>1676</v>
      </c>
      <c r="G1065" s="14"/>
      <c r="H1065" s="15"/>
    </row>
    <row r="1066" ht="13.65" customHeight="1">
      <c r="A1066" s="8">
        <v>4</v>
      </c>
      <c r="B1066" t="s" s="9">
        <v>30</v>
      </c>
      <c r="C1066" t="s" s="9">
        <v>64</v>
      </c>
      <c r="D1066" t="s" s="9">
        <v>58</v>
      </c>
      <c r="E1066" t="s" s="9">
        <v>33</v>
      </c>
      <c r="F1066" s="10">
        <v>646</v>
      </c>
      <c r="G1066" s="14"/>
      <c r="H1066" s="15"/>
    </row>
    <row r="1067" ht="13.65" customHeight="1">
      <c r="A1067" s="8">
        <v>5</v>
      </c>
      <c r="B1067" t="s" s="9">
        <v>34</v>
      </c>
      <c r="C1067" t="s" s="9">
        <v>64</v>
      </c>
      <c r="D1067" t="s" s="9">
        <v>58</v>
      </c>
      <c r="E1067" t="s" s="9">
        <v>33</v>
      </c>
      <c r="F1067" s="10">
        <v>410</v>
      </c>
      <c r="G1067" s="14"/>
      <c r="H1067" s="15"/>
    </row>
    <row r="1068" ht="13.65" customHeight="1">
      <c r="A1068" s="8">
        <v>6</v>
      </c>
      <c r="B1068" t="s" s="9">
        <v>30</v>
      </c>
      <c r="C1068" t="s" s="9">
        <v>64</v>
      </c>
      <c r="D1068" t="s" s="9">
        <v>58</v>
      </c>
      <c r="E1068" t="s" s="9">
        <v>33</v>
      </c>
      <c r="F1068" s="10">
        <v>806</v>
      </c>
      <c r="G1068" s="14"/>
      <c r="H1068" s="15"/>
    </row>
    <row r="1069" ht="13.65" customHeight="1">
      <c r="A1069" s="8">
        <v>7</v>
      </c>
      <c r="B1069" t="s" s="9">
        <v>36</v>
      </c>
      <c r="C1069" t="s" s="9">
        <v>64</v>
      </c>
      <c r="D1069" t="s" s="9">
        <v>58</v>
      </c>
      <c r="E1069" t="s" s="9">
        <v>33</v>
      </c>
      <c r="F1069" s="10">
        <v>402</v>
      </c>
      <c r="G1069" s="14"/>
      <c r="H1069" s="15"/>
    </row>
    <row r="1070" ht="13.65" customHeight="1">
      <c r="A1070" s="8">
        <v>8</v>
      </c>
      <c r="B1070" t="s" s="9">
        <v>36</v>
      </c>
      <c r="C1070" t="s" s="9">
        <v>64</v>
      </c>
      <c r="D1070" t="s" s="9">
        <v>58</v>
      </c>
      <c r="E1070" t="s" s="9">
        <v>33</v>
      </c>
      <c r="F1070" s="10">
        <v>317</v>
      </c>
      <c r="G1070" s="14"/>
      <c r="H1070" s="15"/>
    </row>
    <row r="1071" ht="13.65" customHeight="1">
      <c r="A1071" s="8">
        <v>9</v>
      </c>
      <c r="B1071" t="s" s="9">
        <v>30</v>
      </c>
      <c r="C1071" t="s" s="9">
        <v>64</v>
      </c>
      <c r="D1071" t="s" s="9">
        <v>58</v>
      </c>
      <c r="E1071" t="s" s="9">
        <v>33</v>
      </c>
      <c r="F1071" s="10">
        <v>341</v>
      </c>
      <c r="G1071" s="14"/>
      <c r="H1071" s="15"/>
    </row>
    <row r="1072" ht="13.65" customHeight="1">
      <c r="A1072" s="8">
        <v>10</v>
      </c>
      <c r="B1072" t="s" s="9">
        <v>39</v>
      </c>
      <c r="C1072" t="s" s="9">
        <v>64</v>
      </c>
      <c r="D1072" t="s" s="9">
        <v>58</v>
      </c>
      <c r="E1072" t="s" s="9">
        <v>33</v>
      </c>
      <c r="F1072" s="10">
        <v>248</v>
      </c>
      <c r="G1072" s="16"/>
      <c r="H1072" s="17"/>
    </row>
    <row r="1073" ht="13" customHeight="1">
      <c r="A1073" s="8">
        <v>1</v>
      </c>
      <c r="B1073" t="s" s="9">
        <v>34</v>
      </c>
      <c r="C1073" t="s" s="9">
        <v>65</v>
      </c>
      <c r="D1073" t="s" s="9">
        <v>32</v>
      </c>
      <c r="E1073" t="s" s="9">
        <v>33</v>
      </c>
      <c r="F1073" s="10">
        <v>10754</v>
      </c>
      <c r="G1073" s="10">
        <v>14521657</v>
      </c>
      <c r="H1073" s="11" cm="1">
        <f t="array" ref="H1073">F1073/G1073*100000</f>
        <v>74.05490984947519</v>
      </c>
    </row>
    <row r="1074" ht="13" customHeight="1">
      <c r="A1074" s="8">
        <v>2</v>
      </c>
      <c r="B1074" t="s" s="9">
        <v>30</v>
      </c>
      <c r="C1074" t="s" s="9">
        <v>65</v>
      </c>
      <c r="D1074" t="s" s="9">
        <v>32</v>
      </c>
      <c r="E1074" t="s" s="9">
        <v>33</v>
      </c>
      <c r="F1074" s="10">
        <v>12315</v>
      </c>
      <c r="G1074" s="10">
        <v>14521657</v>
      </c>
      <c r="H1074" s="11" cm="1">
        <f t="array" ref="H1074">F1074/G1074*100000</f>
        <v>84.8043718426899</v>
      </c>
    </row>
    <row r="1075" ht="13" customHeight="1">
      <c r="A1075" s="8">
        <v>3</v>
      </c>
      <c r="B1075" t="s" s="9">
        <v>35</v>
      </c>
      <c r="C1075" t="s" s="9">
        <v>65</v>
      </c>
      <c r="D1075" t="s" s="9">
        <v>32</v>
      </c>
      <c r="E1075" t="s" s="9">
        <v>33</v>
      </c>
      <c r="F1075" s="10">
        <v>6731</v>
      </c>
      <c r="G1075" s="10">
        <v>14521657</v>
      </c>
      <c r="H1075" s="11" cm="1">
        <f t="array" ref="H1075">F1075/G1075*100000</f>
        <v>46.351459754214</v>
      </c>
    </row>
    <row r="1076" ht="13" customHeight="1">
      <c r="A1076" s="8">
        <v>4</v>
      </c>
      <c r="B1076" t="s" s="9">
        <v>37</v>
      </c>
      <c r="C1076" t="s" s="9">
        <v>65</v>
      </c>
      <c r="D1076" t="s" s="9">
        <v>32</v>
      </c>
      <c r="E1076" t="s" s="9">
        <v>33</v>
      </c>
      <c r="F1076" s="10">
        <v>3572</v>
      </c>
      <c r="G1076" s="10">
        <v>14521657</v>
      </c>
      <c r="H1076" s="11" cm="1">
        <f t="array" ref="H1076">F1076/G1076*100000</f>
        <v>24.5977439075995</v>
      </c>
    </row>
    <row r="1077" ht="13" customHeight="1">
      <c r="A1077" s="8">
        <v>5</v>
      </c>
      <c r="B1077" t="s" s="9">
        <v>37</v>
      </c>
      <c r="C1077" t="s" s="9">
        <v>65</v>
      </c>
      <c r="D1077" t="s" s="9">
        <v>32</v>
      </c>
      <c r="E1077" t="s" s="9">
        <v>33</v>
      </c>
      <c r="F1077" s="10">
        <v>2217</v>
      </c>
      <c r="G1077" s="10">
        <v>14521657</v>
      </c>
      <c r="H1077" s="11" cm="1">
        <f t="array" ref="H1077">F1077/G1077*100000</f>
        <v>15.2668528116316</v>
      </c>
    </row>
    <row r="1078" ht="13" customHeight="1">
      <c r="A1078" s="8">
        <v>6</v>
      </c>
      <c r="B1078" t="s" s="9">
        <v>39</v>
      </c>
      <c r="C1078" t="s" s="9">
        <v>65</v>
      </c>
      <c r="D1078" t="s" s="9">
        <v>32</v>
      </c>
      <c r="E1078" t="s" s="9">
        <v>33</v>
      </c>
      <c r="F1078" s="10">
        <v>1613</v>
      </c>
      <c r="G1078" s="10">
        <v>14521657</v>
      </c>
      <c r="H1078" s="11" cm="1">
        <f t="array" ref="H1078">F1078/G1078*100000</f>
        <v>11.1075478507721</v>
      </c>
    </row>
    <row r="1079" ht="13" customHeight="1">
      <c r="A1079" s="8">
        <v>7</v>
      </c>
      <c r="B1079" t="s" s="9">
        <v>36</v>
      </c>
      <c r="C1079" t="s" s="9">
        <v>65</v>
      </c>
      <c r="D1079" t="s" s="9">
        <v>32</v>
      </c>
      <c r="E1079" t="s" s="9">
        <v>33</v>
      </c>
      <c r="F1079" s="10">
        <v>2206</v>
      </c>
      <c r="G1079" s="10">
        <v>14521657</v>
      </c>
      <c r="H1079" s="11" cm="1">
        <f t="array" ref="H1079">F1079/G1079*100000</f>
        <v>15.1911038802252</v>
      </c>
    </row>
    <row r="1080" ht="13" customHeight="1">
      <c r="A1080" s="8">
        <v>8</v>
      </c>
      <c r="B1080" t="s" s="9">
        <v>35</v>
      </c>
      <c r="C1080" t="s" s="9">
        <v>65</v>
      </c>
      <c r="D1080" t="s" s="9">
        <v>32</v>
      </c>
      <c r="E1080" t="s" s="9">
        <v>33</v>
      </c>
      <c r="F1080" s="10">
        <v>2106</v>
      </c>
      <c r="G1080" s="10">
        <v>14521657</v>
      </c>
      <c r="H1080" s="11" cm="1">
        <f t="array" ref="H1080">F1080/G1080*100000</f>
        <v>14.5024772310763</v>
      </c>
    </row>
    <row r="1081" ht="13" customHeight="1">
      <c r="A1081" s="8">
        <v>9</v>
      </c>
      <c r="B1081" t="s" s="9">
        <v>30</v>
      </c>
      <c r="C1081" t="s" s="9">
        <v>65</v>
      </c>
      <c r="D1081" t="s" s="9">
        <v>32</v>
      </c>
      <c r="E1081" t="s" s="9">
        <v>33</v>
      </c>
      <c r="F1081" s="10">
        <v>2251</v>
      </c>
      <c r="G1081" s="10">
        <v>14521657</v>
      </c>
      <c r="H1081" s="11" cm="1">
        <f t="array" ref="H1081">F1081/G1081*100000</f>
        <v>15.5009858723423</v>
      </c>
    </row>
    <row r="1082" ht="13" customHeight="1">
      <c r="A1082" s="8">
        <v>10</v>
      </c>
      <c r="B1082" t="s" s="9">
        <v>30</v>
      </c>
      <c r="C1082" t="s" s="9">
        <v>65</v>
      </c>
      <c r="D1082" t="s" s="9">
        <v>32</v>
      </c>
      <c r="E1082" t="s" s="9">
        <v>33</v>
      </c>
      <c r="F1082" s="10">
        <v>1677</v>
      </c>
      <c r="G1082" s="10">
        <v>14521657</v>
      </c>
      <c r="H1082" s="11" cm="1">
        <f t="array" ref="H1082">F1082/G1082*100000</f>
        <v>11.5482689062274</v>
      </c>
    </row>
    <row r="1083" ht="13" customHeight="1">
      <c r="A1083" s="8">
        <v>1</v>
      </c>
      <c r="B1083" t="s" s="9">
        <v>30</v>
      </c>
      <c r="C1083" t="s" s="9">
        <v>65</v>
      </c>
      <c r="D1083" t="s" s="9">
        <v>38</v>
      </c>
      <c r="E1083" t="s" s="9">
        <v>33</v>
      </c>
      <c r="F1083" s="10">
        <v>5399</v>
      </c>
      <c r="G1083" s="10">
        <v>1874281</v>
      </c>
      <c r="H1083" s="11" cm="1">
        <f t="array" ref="H1083">F1083/G1083*100000</f>
        <v>288.057126972957</v>
      </c>
    </row>
    <row r="1084" ht="13" customHeight="1">
      <c r="A1084" s="8">
        <v>2</v>
      </c>
      <c r="B1084" t="s" s="9">
        <v>34</v>
      </c>
      <c r="C1084" t="s" s="9">
        <v>65</v>
      </c>
      <c r="D1084" t="s" s="9">
        <v>38</v>
      </c>
      <c r="E1084" t="s" s="9">
        <v>33</v>
      </c>
      <c r="F1084" s="10">
        <v>2796</v>
      </c>
      <c r="G1084" s="10">
        <v>1874281</v>
      </c>
      <c r="H1084" s="11" cm="1">
        <f t="array" ref="H1084">F1084/G1084*100000</f>
        <v>149.177204485347</v>
      </c>
    </row>
    <row r="1085" ht="13" customHeight="1">
      <c r="A1085" s="8">
        <v>3</v>
      </c>
      <c r="B1085" t="s" s="9">
        <v>35</v>
      </c>
      <c r="C1085" t="s" s="9">
        <v>65</v>
      </c>
      <c r="D1085" t="s" s="9">
        <v>38</v>
      </c>
      <c r="E1085" t="s" s="9">
        <v>33</v>
      </c>
      <c r="F1085" s="10">
        <v>1445</v>
      </c>
      <c r="G1085" s="10">
        <v>1874281</v>
      </c>
      <c r="H1085" s="11" cm="1">
        <f t="array" ref="H1085">F1085/G1085*100000</f>
        <v>77.0962305011895</v>
      </c>
    </row>
    <row r="1086" ht="13" customHeight="1">
      <c r="A1086" s="8">
        <v>4</v>
      </c>
      <c r="B1086" t="s" s="9">
        <v>37</v>
      </c>
      <c r="C1086" t="s" s="9">
        <v>65</v>
      </c>
      <c r="D1086" t="s" s="9">
        <v>38</v>
      </c>
      <c r="E1086" t="s" s="9">
        <v>33</v>
      </c>
      <c r="F1086" s="10">
        <v>876</v>
      </c>
      <c r="G1086" s="10">
        <v>1874281</v>
      </c>
      <c r="H1086" s="11" cm="1">
        <f t="array" ref="H1086">F1086/G1086*100000</f>
        <v>46.7379224353232</v>
      </c>
    </row>
    <row r="1087" ht="13" customHeight="1">
      <c r="A1087" s="8">
        <v>5</v>
      </c>
      <c r="B1087" t="s" s="9">
        <v>41</v>
      </c>
      <c r="C1087" t="s" s="9">
        <v>65</v>
      </c>
      <c r="D1087" t="s" s="9">
        <v>38</v>
      </c>
      <c r="E1087" t="s" s="9">
        <v>33</v>
      </c>
      <c r="F1087" s="10">
        <v>706</v>
      </c>
      <c r="G1087" s="10">
        <v>1874281</v>
      </c>
      <c r="H1087" s="11" cm="1">
        <f t="array" ref="H1087">F1087/G1087*100000</f>
        <v>37.6677776704774</v>
      </c>
    </row>
    <row r="1088" ht="13" customHeight="1">
      <c r="A1088" s="8">
        <v>6</v>
      </c>
      <c r="B1088" t="s" s="9">
        <v>35</v>
      </c>
      <c r="C1088" t="s" s="9">
        <v>65</v>
      </c>
      <c r="D1088" t="s" s="9">
        <v>38</v>
      </c>
      <c r="E1088" t="s" s="9">
        <v>33</v>
      </c>
      <c r="F1088" s="10">
        <v>933</v>
      </c>
      <c r="G1088" s="10">
        <v>1874281</v>
      </c>
      <c r="H1088" s="11" cm="1">
        <f t="array" ref="H1088">F1088/G1088*100000</f>
        <v>49.7790886211833</v>
      </c>
    </row>
    <row r="1089" ht="13" customHeight="1">
      <c r="A1089" s="8">
        <v>7</v>
      </c>
      <c r="B1089" t="s" s="9">
        <v>39</v>
      </c>
      <c r="C1089" t="s" s="9">
        <v>65</v>
      </c>
      <c r="D1089" t="s" s="9">
        <v>38</v>
      </c>
      <c r="E1089" t="s" s="9">
        <v>33</v>
      </c>
      <c r="F1089" s="10">
        <v>468</v>
      </c>
      <c r="G1089" s="10">
        <v>1874281</v>
      </c>
      <c r="H1089" s="11" cm="1">
        <f t="array" ref="H1089">F1089/G1089*100000</f>
        <v>24.9695749996932</v>
      </c>
    </row>
    <row r="1090" ht="13" customHeight="1">
      <c r="A1090" s="8">
        <v>8</v>
      </c>
      <c r="B1090" t="s" s="9">
        <v>30</v>
      </c>
      <c r="C1090" t="s" s="9">
        <v>65</v>
      </c>
      <c r="D1090" t="s" s="9">
        <v>38</v>
      </c>
      <c r="E1090" t="s" s="9">
        <v>33</v>
      </c>
      <c r="F1090" s="10">
        <v>650</v>
      </c>
      <c r="G1090" s="10">
        <v>1874281</v>
      </c>
      <c r="H1090" s="11" cm="1">
        <f t="array" ref="H1090">F1090/G1090*100000</f>
        <v>34.6799652773517</v>
      </c>
    </row>
    <row r="1091" ht="13" customHeight="1">
      <c r="A1091" s="8">
        <v>9</v>
      </c>
      <c r="B1091" t="s" s="9">
        <v>39</v>
      </c>
      <c r="C1091" t="s" s="9">
        <v>65</v>
      </c>
      <c r="D1091" t="s" s="9">
        <v>38</v>
      </c>
      <c r="E1091" t="s" s="9">
        <v>33</v>
      </c>
      <c r="F1091" s="10">
        <v>441</v>
      </c>
      <c r="G1091" s="10">
        <v>1874281</v>
      </c>
      <c r="H1091" s="11" cm="1">
        <f t="array" ref="H1091">F1091/G1091*100000</f>
        <v>23.5290225958648</v>
      </c>
    </row>
    <row r="1092" ht="13" customHeight="1">
      <c r="A1092" s="8">
        <v>10</v>
      </c>
      <c r="B1092" t="s" s="9">
        <v>37</v>
      </c>
      <c r="C1092" t="s" s="9">
        <v>65</v>
      </c>
      <c r="D1092" t="s" s="9">
        <v>38</v>
      </c>
      <c r="E1092" t="s" s="9">
        <v>33</v>
      </c>
      <c r="F1092" s="10">
        <v>494</v>
      </c>
      <c r="G1092" s="10">
        <v>1874281</v>
      </c>
      <c r="H1092" s="11" cm="1">
        <f t="array" ref="H1092">F1092/G1092*100000</f>
        <v>26.3567736107873</v>
      </c>
    </row>
    <row r="1093" ht="13" customHeight="1">
      <c r="A1093" s="8">
        <v>1</v>
      </c>
      <c r="B1093" t="s" s="9">
        <v>30</v>
      </c>
      <c r="C1093" t="s" s="9">
        <v>65</v>
      </c>
      <c r="D1093" t="s" s="9">
        <v>42</v>
      </c>
      <c r="E1093" t="s" s="9">
        <v>33</v>
      </c>
      <c r="F1093" s="10">
        <v>2687</v>
      </c>
      <c r="G1093" s="10">
        <v>5458063</v>
      </c>
      <c r="H1093" s="11" cm="1">
        <f t="array" ref="H1093">F1093/G1093*100000</f>
        <v>49.2299191123298</v>
      </c>
    </row>
    <row r="1094" ht="13" customHeight="1">
      <c r="A1094" s="8">
        <v>2</v>
      </c>
      <c r="B1094" t="s" s="9">
        <v>35</v>
      </c>
      <c r="C1094" t="s" s="9">
        <v>65</v>
      </c>
      <c r="D1094" t="s" s="9">
        <v>42</v>
      </c>
      <c r="E1094" t="s" s="9">
        <v>33</v>
      </c>
      <c r="F1094" s="10">
        <v>2110</v>
      </c>
      <c r="G1094" s="10">
        <v>5458063</v>
      </c>
      <c r="H1094" s="11" cm="1">
        <f t="array" ref="H1094">F1094/G1094*100000</f>
        <v>38.6584031734335</v>
      </c>
    </row>
    <row r="1095" ht="13" customHeight="1">
      <c r="A1095" s="8">
        <v>3</v>
      </c>
      <c r="B1095" t="s" s="9">
        <v>34</v>
      </c>
      <c r="C1095" t="s" s="9">
        <v>65</v>
      </c>
      <c r="D1095" t="s" s="9">
        <v>42</v>
      </c>
      <c r="E1095" t="s" s="9">
        <v>33</v>
      </c>
      <c r="F1095" s="10">
        <v>1513</v>
      </c>
      <c r="G1095" s="10">
        <v>5458063</v>
      </c>
      <c r="H1095" s="11" cm="1">
        <f t="array" ref="H1095">F1095/G1095*100000</f>
        <v>27.7204568727037</v>
      </c>
    </row>
    <row r="1096" ht="13" customHeight="1">
      <c r="A1096" s="8">
        <v>4</v>
      </c>
      <c r="B1096" t="s" s="9">
        <v>39</v>
      </c>
      <c r="C1096" t="s" s="9">
        <v>65</v>
      </c>
      <c r="D1096" t="s" s="9">
        <v>42</v>
      </c>
      <c r="E1096" t="s" s="9">
        <v>33</v>
      </c>
      <c r="F1096" s="10">
        <v>406</v>
      </c>
      <c r="G1096" s="10">
        <v>5458063</v>
      </c>
      <c r="H1096" s="11" cm="1">
        <f t="array" ref="H1096">F1096/G1096*100000</f>
        <v>7.43853634521991</v>
      </c>
    </row>
    <row r="1097" ht="13" customHeight="1">
      <c r="A1097" s="8">
        <v>5</v>
      </c>
      <c r="B1097" t="s" s="9">
        <v>30</v>
      </c>
      <c r="C1097" t="s" s="9">
        <v>65</v>
      </c>
      <c r="D1097" t="s" s="9">
        <v>42</v>
      </c>
      <c r="E1097" t="s" s="9">
        <v>33</v>
      </c>
      <c r="F1097" s="10">
        <v>638</v>
      </c>
      <c r="G1097" s="10">
        <v>5458063</v>
      </c>
      <c r="H1097" s="11" cm="1">
        <f t="array" ref="H1097">F1097/G1097*100000</f>
        <v>11.6891285424884</v>
      </c>
    </row>
    <row r="1098" ht="13" customHeight="1">
      <c r="A1098" s="8">
        <v>6</v>
      </c>
      <c r="B1098" t="s" s="9">
        <v>37</v>
      </c>
      <c r="C1098" t="s" s="9">
        <v>65</v>
      </c>
      <c r="D1098" t="s" s="9">
        <v>42</v>
      </c>
      <c r="E1098" t="s" s="9">
        <v>33</v>
      </c>
      <c r="F1098" s="10">
        <v>461</v>
      </c>
      <c r="G1098" s="10">
        <v>5458063</v>
      </c>
      <c r="H1098" s="11" cm="1">
        <f t="array" ref="H1098">F1098/G1098*100000</f>
        <v>8.44621984026201</v>
      </c>
    </row>
    <row r="1099" ht="13" customHeight="1">
      <c r="A1099" s="8">
        <v>7</v>
      </c>
      <c r="B1099" t="s" s="9">
        <v>36</v>
      </c>
      <c r="C1099" t="s" s="9">
        <v>65</v>
      </c>
      <c r="D1099" t="s" s="9">
        <v>42</v>
      </c>
      <c r="E1099" t="s" s="9">
        <v>33</v>
      </c>
      <c r="F1099" s="10">
        <v>469</v>
      </c>
      <c r="G1099" s="10">
        <v>5458063</v>
      </c>
      <c r="H1099" s="11" cm="1">
        <f t="array" ref="H1099">F1099/G1099*100000</f>
        <v>8.59279198499541</v>
      </c>
    </row>
    <row r="1100" ht="13" customHeight="1">
      <c r="A1100" s="8">
        <v>8</v>
      </c>
      <c r="B1100" t="s" s="9">
        <v>36</v>
      </c>
      <c r="C1100" t="s" s="9">
        <v>65</v>
      </c>
      <c r="D1100" t="s" s="9">
        <v>42</v>
      </c>
      <c r="E1100" t="s" s="9">
        <v>33</v>
      </c>
      <c r="F1100" s="10">
        <v>353</v>
      </c>
      <c r="G1100" s="10">
        <v>5458063</v>
      </c>
      <c r="H1100" s="11" cm="1">
        <f t="array" ref="H1100">F1100/G1100*100000</f>
        <v>6.46749588636115</v>
      </c>
    </row>
    <row r="1101" ht="13" customHeight="1">
      <c r="A1101" s="8">
        <v>9</v>
      </c>
      <c r="B1101" t="s" s="9">
        <v>35</v>
      </c>
      <c r="C1101" t="s" s="9">
        <v>65</v>
      </c>
      <c r="D1101" t="s" s="9">
        <v>42</v>
      </c>
      <c r="E1101" t="s" s="9">
        <v>33</v>
      </c>
      <c r="F1101" s="10">
        <v>517</v>
      </c>
      <c r="G1101" s="10">
        <v>5458063</v>
      </c>
      <c r="H1101" s="11" cm="1">
        <f t="array" ref="H1101">F1101/G1101*100000</f>
        <v>9.47222485339579</v>
      </c>
    </row>
    <row r="1102" ht="13" customHeight="1">
      <c r="A1102" s="8">
        <v>10</v>
      </c>
      <c r="B1102" t="s" s="9">
        <v>30</v>
      </c>
      <c r="C1102" t="s" s="9">
        <v>65</v>
      </c>
      <c r="D1102" t="s" s="9">
        <v>42</v>
      </c>
      <c r="E1102" t="s" s="9">
        <v>33</v>
      </c>
      <c r="F1102" s="10">
        <v>286</v>
      </c>
      <c r="G1102" s="10">
        <v>5458063</v>
      </c>
      <c r="H1102" s="11" cm="1">
        <f t="array" ref="H1102">F1102/G1102*100000</f>
        <v>5.23995417421895</v>
      </c>
    </row>
    <row r="1103" ht="13" customHeight="1">
      <c r="A1103" s="8">
        <v>1</v>
      </c>
      <c r="B1103" t="s" s="9">
        <v>30</v>
      </c>
      <c r="C1103" t="s" s="9">
        <v>65</v>
      </c>
      <c r="D1103" t="s" s="9">
        <v>43</v>
      </c>
      <c r="E1103" t="s" s="9">
        <v>33</v>
      </c>
      <c r="F1103" s="10">
        <v>2925</v>
      </c>
      <c r="G1103" s="10">
        <v>3817144</v>
      </c>
      <c r="H1103" s="11" cm="1">
        <f t="array" ref="H1103">F1103/G1103*100000</f>
        <v>76.62797106946969</v>
      </c>
    </row>
    <row r="1104" ht="13" customHeight="1">
      <c r="A1104" s="8">
        <v>2</v>
      </c>
      <c r="B1104" t="s" s="9">
        <v>34</v>
      </c>
      <c r="C1104" t="s" s="9">
        <v>65</v>
      </c>
      <c r="D1104" t="s" s="9">
        <v>43</v>
      </c>
      <c r="E1104" t="s" s="9">
        <v>33</v>
      </c>
      <c r="F1104" s="10">
        <v>993</v>
      </c>
      <c r="G1104" s="10">
        <v>3817144</v>
      </c>
      <c r="H1104" s="11" cm="1">
        <f t="array" ref="H1104">F1104/G1104*100000</f>
        <v>26.0142137681995</v>
      </c>
    </row>
    <row r="1105" ht="13" customHeight="1">
      <c r="A1105" s="8">
        <v>3</v>
      </c>
      <c r="B1105" t="s" s="9">
        <v>39</v>
      </c>
      <c r="C1105" t="s" s="9">
        <v>65</v>
      </c>
      <c r="D1105" t="s" s="9">
        <v>43</v>
      </c>
      <c r="E1105" t="s" s="9">
        <v>33</v>
      </c>
      <c r="F1105" s="10">
        <v>395</v>
      </c>
      <c r="G1105" s="10">
        <v>3817144</v>
      </c>
      <c r="H1105" s="11" cm="1">
        <f t="array" ref="H1105">F1105/G1105*100000</f>
        <v>10.3480507939968</v>
      </c>
    </row>
    <row r="1106" ht="13" customHeight="1">
      <c r="A1106" s="8">
        <v>4</v>
      </c>
      <c r="B1106" t="s" s="9">
        <v>36</v>
      </c>
      <c r="C1106" t="s" s="9">
        <v>65</v>
      </c>
      <c r="D1106" t="s" s="9">
        <v>43</v>
      </c>
      <c r="E1106" t="s" s="9">
        <v>33</v>
      </c>
      <c r="F1106" s="10">
        <v>537</v>
      </c>
      <c r="G1106" s="10">
        <v>3817144</v>
      </c>
      <c r="H1106" s="11" cm="1">
        <f t="array" ref="H1106">F1106/G1106*100000</f>
        <v>14.0681095604462</v>
      </c>
    </row>
    <row r="1107" ht="13" customHeight="1">
      <c r="A1107" s="8">
        <v>5</v>
      </c>
      <c r="B1107" t="s" s="9">
        <v>30</v>
      </c>
      <c r="C1107" t="s" s="9">
        <v>65</v>
      </c>
      <c r="D1107" t="s" s="9">
        <v>43</v>
      </c>
      <c r="E1107" t="s" s="9">
        <v>33</v>
      </c>
      <c r="F1107" s="10">
        <v>462</v>
      </c>
      <c r="G1107" s="10">
        <v>3817144</v>
      </c>
      <c r="H1107" s="11" cm="1">
        <f t="array" ref="H1107">F1107/G1107*100000</f>
        <v>12.1032897894342</v>
      </c>
    </row>
    <row r="1108" ht="13" customHeight="1">
      <c r="A1108" s="8">
        <v>6</v>
      </c>
      <c r="B1108" t="s" s="9">
        <v>35</v>
      </c>
      <c r="C1108" t="s" s="9">
        <v>65</v>
      </c>
      <c r="D1108" t="s" s="9">
        <v>43</v>
      </c>
      <c r="E1108" t="s" s="9">
        <v>33</v>
      </c>
      <c r="F1108" s="10">
        <v>577</v>
      </c>
      <c r="G1108" s="10">
        <v>3817144</v>
      </c>
      <c r="H1108" s="11" cm="1">
        <f t="array" ref="H1108">F1108/G1108*100000</f>
        <v>15.1160134383193</v>
      </c>
    </row>
    <row r="1109" ht="13" customHeight="1">
      <c r="A1109" s="8">
        <v>7</v>
      </c>
      <c r="B1109" t="s" s="9">
        <v>37</v>
      </c>
      <c r="C1109" t="s" s="9">
        <v>65</v>
      </c>
      <c r="D1109" t="s" s="9">
        <v>43</v>
      </c>
      <c r="E1109" t="s" s="9">
        <v>33</v>
      </c>
      <c r="F1109" s="10">
        <v>331</v>
      </c>
      <c r="G1109" s="10">
        <v>3817144</v>
      </c>
      <c r="H1109" s="11" cm="1">
        <f t="array" ref="H1109">F1109/G1109*100000</f>
        <v>8.67140458939982</v>
      </c>
    </row>
    <row r="1110" ht="13" customHeight="1">
      <c r="A1110" s="8">
        <v>8</v>
      </c>
      <c r="B1110" t="s" s="9">
        <v>45</v>
      </c>
      <c r="C1110" t="s" s="9">
        <v>65</v>
      </c>
      <c r="D1110" t="s" s="9">
        <v>43</v>
      </c>
      <c r="E1110" t="s" s="9">
        <v>33</v>
      </c>
      <c r="F1110" s="10">
        <v>409</v>
      </c>
      <c r="G1110" s="10">
        <v>3817144</v>
      </c>
      <c r="H1110" s="11" cm="1">
        <f t="array" ref="H1110">F1110/G1110*100000</f>
        <v>10.7148171512523</v>
      </c>
    </row>
    <row r="1111" ht="13" customHeight="1">
      <c r="A1111" s="8">
        <v>9</v>
      </c>
      <c r="B1111" t="s" s="9">
        <v>30</v>
      </c>
      <c r="C1111" t="s" s="9">
        <v>65</v>
      </c>
      <c r="D1111" t="s" s="9">
        <v>43</v>
      </c>
      <c r="E1111" t="s" s="9">
        <v>33</v>
      </c>
      <c r="F1111" s="10">
        <v>358</v>
      </c>
      <c r="G1111" s="10">
        <v>3817144</v>
      </c>
      <c r="H1111" s="11" cm="1">
        <f t="array" ref="H1111">F1111/G1111*100000</f>
        <v>9.37873970696416</v>
      </c>
    </row>
    <row r="1112" ht="13" customHeight="1">
      <c r="A1112" s="8">
        <v>10</v>
      </c>
      <c r="B1112" t="s" s="9">
        <v>30</v>
      </c>
      <c r="C1112" t="s" s="9">
        <v>65</v>
      </c>
      <c r="D1112" t="s" s="9">
        <v>43</v>
      </c>
      <c r="E1112" t="s" s="9">
        <v>33</v>
      </c>
      <c r="F1112" s="10">
        <v>361</v>
      </c>
      <c r="G1112" s="10">
        <v>3817144</v>
      </c>
      <c r="H1112" s="11" cm="1">
        <f t="array" ref="H1112">F1112/G1112*100000</f>
        <v>9.457332497804639</v>
      </c>
    </row>
    <row r="1113" ht="13" customHeight="1">
      <c r="A1113" s="8">
        <v>1</v>
      </c>
      <c r="B1113" t="s" s="9">
        <v>30</v>
      </c>
      <c r="C1113" t="s" s="9">
        <v>65</v>
      </c>
      <c r="D1113" t="s" s="9">
        <v>44</v>
      </c>
      <c r="E1113" t="s" s="9">
        <v>33</v>
      </c>
      <c r="F1113" s="10">
        <v>11629</v>
      </c>
      <c r="G1113" s="10">
        <v>13239670</v>
      </c>
      <c r="H1113" s="11" cm="1">
        <f t="array" ref="H1113">F1113/G1113*100000</f>
        <v>87.8345155128489</v>
      </c>
    </row>
    <row r="1114" ht="13" customHeight="1">
      <c r="A1114" s="8">
        <v>2</v>
      </c>
      <c r="B1114" t="s" s="9">
        <v>34</v>
      </c>
      <c r="C1114" t="s" s="9">
        <v>65</v>
      </c>
      <c r="D1114" t="s" s="9">
        <v>44</v>
      </c>
      <c r="E1114" t="s" s="9">
        <v>33</v>
      </c>
      <c r="F1114" s="10">
        <v>6153</v>
      </c>
      <c r="G1114" s="10">
        <v>13239670</v>
      </c>
      <c r="H1114" s="11" cm="1">
        <f t="array" ref="H1114">F1114/G1114*100000</f>
        <v>46.4739680067555</v>
      </c>
    </row>
    <row r="1115" ht="13" customHeight="1">
      <c r="A1115" s="8">
        <v>3</v>
      </c>
      <c r="B1115" t="s" s="9">
        <v>35</v>
      </c>
      <c r="C1115" t="s" s="9">
        <v>65</v>
      </c>
      <c r="D1115" t="s" s="9">
        <v>44</v>
      </c>
      <c r="E1115" t="s" s="9">
        <v>33</v>
      </c>
      <c r="F1115" s="10">
        <v>3753</v>
      </c>
      <c r="G1115" s="10">
        <v>13239670</v>
      </c>
      <c r="H1115" s="11" cm="1">
        <f t="array" ref="H1115">F1115/G1115*100000</f>
        <v>28.3466279748664</v>
      </c>
    </row>
    <row r="1116" ht="13" customHeight="1">
      <c r="A1116" s="8">
        <v>4</v>
      </c>
      <c r="B1116" t="s" s="9">
        <v>37</v>
      </c>
      <c r="C1116" t="s" s="9">
        <v>65</v>
      </c>
      <c r="D1116" t="s" s="9">
        <v>44</v>
      </c>
      <c r="E1116" t="s" s="9">
        <v>33</v>
      </c>
      <c r="F1116" s="10">
        <v>2070</v>
      </c>
      <c r="G1116" s="10">
        <v>13239670</v>
      </c>
      <c r="H1116" s="11" cm="1">
        <f t="array" ref="H1116">F1116/G1116*100000</f>
        <v>15.6348307775043</v>
      </c>
    </row>
    <row r="1117" ht="13" customHeight="1">
      <c r="A1117" s="8">
        <v>5</v>
      </c>
      <c r="B1117" t="s" s="9">
        <v>39</v>
      </c>
      <c r="C1117" t="s" s="9">
        <v>65</v>
      </c>
      <c r="D1117" t="s" s="9">
        <v>44</v>
      </c>
      <c r="E1117" t="s" s="9">
        <v>33</v>
      </c>
      <c r="F1117" s="10">
        <v>1281</v>
      </c>
      <c r="G1117" s="10">
        <v>13239670</v>
      </c>
      <c r="H1117" s="11" cm="1">
        <f t="array" ref="H1117">F1117/G1117*100000</f>
        <v>9.675467742020761</v>
      </c>
    </row>
    <row r="1118" ht="13" customHeight="1">
      <c r="A1118" s="8">
        <v>6</v>
      </c>
      <c r="B1118" t="s" s="9">
        <v>30</v>
      </c>
      <c r="C1118" t="s" s="9">
        <v>65</v>
      </c>
      <c r="D1118" t="s" s="9">
        <v>44</v>
      </c>
      <c r="E1118" t="s" s="9">
        <v>33</v>
      </c>
      <c r="F1118" s="10">
        <v>1427</v>
      </c>
      <c r="G1118" s="10">
        <v>13239670</v>
      </c>
      <c r="H1118" s="11" cm="1">
        <f t="array" ref="H1118">F1118/G1118*100000</f>
        <v>10.7782142606273</v>
      </c>
    </row>
    <row r="1119" ht="13" customHeight="1">
      <c r="A1119" s="8">
        <v>7</v>
      </c>
      <c r="B1119" t="s" s="9">
        <v>36</v>
      </c>
      <c r="C1119" t="s" s="9">
        <v>65</v>
      </c>
      <c r="D1119" t="s" s="9">
        <v>44</v>
      </c>
      <c r="E1119" t="s" s="9">
        <v>33</v>
      </c>
      <c r="F1119" s="10">
        <v>1221</v>
      </c>
      <c r="G1119" s="10">
        <v>13239670</v>
      </c>
      <c r="H1119" s="11" cm="1">
        <f t="array" ref="H1119">F1119/G1119*100000</f>
        <v>9.222284241223541</v>
      </c>
    </row>
    <row r="1120" ht="13" customHeight="1">
      <c r="A1120" s="8">
        <v>8</v>
      </c>
      <c r="B1120" t="s" s="9">
        <v>37</v>
      </c>
      <c r="C1120" t="s" s="9">
        <v>65</v>
      </c>
      <c r="D1120" t="s" s="9">
        <v>44</v>
      </c>
      <c r="E1120" t="s" s="9">
        <v>33</v>
      </c>
      <c r="F1120" s="10">
        <v>1077</v>
      </c>
      <c r="G1120" s="10">
        <v>13239670</v>
      </c>
      <c r="H1120" s="11" cm="1">
        <f t="array" ref="H1120">F1120/G1120*100000</f>
        <v>8.13464383931019</v>
      </c>
    </row>
    <row r="1121" ht="13" customHeight="1">
      <c r="A1121" s="8">
        <v>9</v>
      </c>
      <c r="B1121" t="s" s="9">
        <v>45</v>
      </c>
      <c r="C1121" t="s" s="9">
        <v>65</v>
      </c>
      <c r="D1121" t="s" s="9">
        <v>44</v>
      </c>
      <c r="E1121" t="s" s="9">
        <v>33</v>
      </c>
      <c r="F1121" s="10">
        <v>1178</v>
      </c>
      <c r="G1121" s="10">
        <v>13239670</v>
      </c>
      <c r="H1121" s="11" cm="1">
        <f t="array" ref="H1121">F1121/G1121*100000</f>
        <v>8.897502732318859</v>
      </c>
    </row>
    <row r="1122" ht="13" customHeight="1">
      <c r="A1122" s="8">
        <v>10</v>
      </c>
      <c r="B1122" t="s" s="9">
        <v>30</v>
      </c>
      <c r="C1122" t="s" s="9">
        <v>65</v>
      </c>
      <c r="D1122" t="s" s="9">
        <v>44</v>
      </c>
      <c r="E1122" t="s" s="9">
        <v>33</v>
      </c>
      <c r="F1122" s="10">
        <v>1055</v>
      </c>
      <c r="G1122" s="10">
        <v>13239670</v>
      </c>
      <c r="H1122" s="11" cm="1">
        <f t="array" ref="H1122">F1122/G1122*100000</f>
        <v>7.96847655568455</v>
      </c>
    </row>
    <row r="1123" ht="13" customHeight="1">
      <c r="A1123" s="8">
        <v>1</v>
      </c>
      <c r="B1123" t="s" s="9">
        <v>30</v>
      </c>
      <c r="C1123" t="s" s="9">
        <v>65</v>
      </c>
      <c r="D1123" t="s" s="9">
        <v>46</v>
      </c>
      <c r="E1123" t="s" s="9">
        <v>33</v>
      </c>
      <c r="F1123" s="10">
        <v>11213</v>
      </c>
      <c r="G1123" s="10">
        <v>17477569</v>
      </c>
      <c r="H1123" s="11" cm="1">
        <f t="array" ref="H1123">F1123/G1123*100000</f>
        <v>64.1565197082043</v>
      </c>
    </row>
    <row r="1124" ht="13" customHeight="1">
      <c r="A1124" s="8">
        <v>2</v>
      </c>
      <c r="B1124" t="s" s="9">
        <v>35</v>
      </c>
      <c r="C1124" t="s" s="9">
        <v>65</v>
      </c>
      <c r="D1124" t="s" s="9">
        <v>46</v>
      </c>
      <c r="E1124" t="s" s="9">
        <v>33</v>
      </c>
      <c r="F1124" s="10">
        <v>5577</v>
      </c>
      <c r="G1124" s="10">
        <v>17477569</v>
      </c>
      <c r="H1124" s="11" cm="1">
        <f t="array" ref="H1124">F1124/G1124*100000</f>
        <v>31.909472078182</v>
      </c>
    </row>
    <row r="1125" ht="13" customHeight="1">
      <c r="A1125" s="8">
        <v>3</v>
      </c>
      <c r="B1125" t="s" s="9">
        <v>30</v>
      </c>
      <c r="C1125" t="s" s="9">
        <v>65</v>
      </c>
      <c r="D1125" t="s" s="9">
        <v>46</v>
      </c>
      <c r="E1125" t="s" s="9">
        <v>33</v>
      </c>
      <c r="F1125" s="10">
        <v>5022</v>
      </c>
      <c r="G1125" s="10">
        <v>17477569</v>
      </c>
      <c r="H1125" s="11" cm="1">
        <f t="array" ref="H1125">F1125/G1125*100000</f>
        <v>28.7339732430752</v>
      </c>
    </row>
    <row r="1126" ht="13" customHeight="1">
      <c r="A1126" s="8">
        <v>4</v>
      </c>
      <c r="B1126" t="s" s="9">
        <v>34</v>
      </c>
      <c r="C1126" t="s" s="9">
        <v>65</v>
      </c>
      <c r="D1126" t="s" s="9">
        <v>46</v>
      </c>
      <c r="E1126" t="s" s="9">
        <v>33</v>
      </c>
      <c r="F1126" s="10">
        <v>3489</v>
      </c>
      <c r="G1126" s="10">
        <v>17477569</v>
      </c>
      <c r="H1126" s="11" cm="1">
        <f t="array" ref="H1126">F1126/G1126*100000</f>
        <v>19.9627305147529</v>
      </c>
    </row>
    <row r="1127" ht="13" customHeight="1">
      <c r="A1127" s="8">
        <v>5</v>
      </c>
      <c r="B1127" t="s" s="9">
        <v>30</v>
      </c>
      <c r="C1127" t="s" s="9">
        <v>65</v>
      </c>
      <c r="D1127" t="s" s="9">
        <v>46</v>
      </c>
      <c r="E1127" t="s" s="9">
        <v>33</v>
      </c>
      <c r="F1127" s="10">
        <v>3701</v>
      </c>
      <c r="G1127" s="10">
        <v>17477569</v>
      </c>
      <c r="H1127" s="11" cm="1">
        <f t="array" ref="H1127">F1127/G1127*100000</f>
        <v>21.1757138535685</v>
      </c>
    </row>
    <row r="1128" ht="13" customHeight="1">
      <c r="A1128" s="8">
        <v>6</v>
      </c>
      <c r="B1128" t="s" s="9">
        <v>39</v>
      </c>
      <c r="C1128" t="s" s="9">
        <v>65</v>
      </c>
      <c r="D1128" t="s" s="9">
        <v>46</v>
      </c>
      <c r="E1128" t="s" s="9">
        <v>33</v>
      </c>
      <c r="F1128" s="10">
        <v>2131</v>
      </c>
      <c r="G1128" s="10">
        <v>17477569</v>
      </c>
      <c r="H1128" s="11" cm="1">
        <f t="array" ref="H1128">F1128/G1128*100000</f>
        <v>12.1927712029059</v>
      </c>
    </row>
    <row r="1129" ht="13" customHeight="1">
      <c r="A1129" s="8">
        <v>7</v>
      </c>
      <c r="B1129" t="s" s="9">
        <v>41</v>
      </c>
      <c r="C1129" t="s" s="9">
        <v>65</v>
      </c>
      <c r="D1129" t="s" s="9">
        <v>46</v>
      </c>
      <c r="E1129" t="s" s="9">
        <v>33</v>
      </c>
      <c r="F1129" s="10">
        <v>2426</v>
      </c>
      <c r="G1129" s="10">
        <v>17477569</v>
      </c>
      <c r="H1129" s="11" cm="1">
        <f t="array" ref="H1129">F1129/G1129*100000</f>
        <v>13.8806489621068</v>
      </c>
    </row>
    <row r="1130" ht="13" customHeight="1">
      <c r="A1130" s="8">
        <v>8</v>
      </c>
      <c r="B1130" t="s" s="9">
        <v>37</v>
      </c>
      <c r="C1130" t="s" s="9">
        <v>65</v>
      </c>
      <c r="D1130" t="s" s="9">
        <v>46</v>
      </c>
      <c r="E1130" t="s" s="9">
        <v>33</v>
      </c>
      <c r="F1130" s="10">
        <v>1165</v>
      </c>
      <c r="G1130" s="10">
        <v>17477569</v>
      </c>
      <c r="H1130" s="11" cm="1">
        <f t="array" ref="H1130">F1130/G1130*100000</f>
        <v>6.66568674396308</v>
      </c>
    </row>
    <row r="1131" ht="13" customHeight="1">
      <c r="A1131" s="8">
        <v>9</v>
      </c>
      <c r="B1131" t="s" s="9">
        <v>35</v>
      </c>
      <c r="C1131" t="s" s="9">
        <v>65</v>
      </c>
      <c r="D1131" t="s" s="9">
        <v>46</v>
      </c>
      <c r="E1131" t="s" s="9">
        <v>33</v>
      </c>
      <c r="F1131" s="10">
        <v>1541</v>
      </c>
      <c r="G1131" s="10">
        <v>17477569</v>
      </c>
      <c r="H1131" s="11" cm="1">
        <f t="array" ref="H1131">F1131/G1131*100000</f>
        <v>8.81701568450395</v>
      </c>
    </row>
    <row r="1132" ht="13" customHeight="1">
      <c r="A1132" s="8">
        <v>10</v>
      </c>
      <c r="B1132" t="s" s="9">
        <v>45</v>
      </c>
      <c r="C1132" t="s" s="9">
        <v>65</v>
      </c>
      <c r="D1132" t="s" s="9">
        <v>46</v>
      </c>
      <c r="E1132" t="s" s="9">
        <v>33</v>
      </c>
      <c r="F1132" s="10">
        <v>1280</v>
      </c>
      <c r="G1132" s="10">
        <v>17477569</v>
      </c>
      <c r="H1132" s="11" cm="1">
        <f t="array" ref="H1132">F1132/G1132*100000</f>
        <v>7.32367298907531</v>
      </c>
    </row>
    <row r="1133" ht="13" customHeight="1">
      <c r="A1133" s="8">
        <v>1</v>
      </c>
      <c r="B1133" t="s" s="9">
        <v>35</v>
      </c>
      <c r="C1133" t="s" s="9">
        <v>65</v>
      </c>
      <c r="D1133" t="s" s="9">
        <v>47</v>
      </c>
      <c r="E1133" t="s" s="9">
        <v>33</v>
      </c>
      <c r="F1133" s="10">
        <v>2489</v>
      </c>
      <c r="G1133" s="10">
        <v>3342831</v>
      </c>
      <c r="H1133" s="11" cm="1">
        <f t="array" ref="H1133">F1133/G1133*100000</f>
        <v>74.457847255814</v>
      </c>
    </row>
    <row r="1134" ht="13" customHeight="1">
      <c r="A1134" s="8">
        <v>2</v>
      </c>
      <c r="B1134" t="s" s="9">
        <v>30</v>
      </c>
      <c r="C1134" t="s" s="9">
        <v>65</v>
      </c>
      <c r="D1134" t="s" s="9">
        <v>47</v>
      </c>
      <c r="E1134" t="s" s="9">
        <v>33</v>
      </c>
      <c r="F1134" s="10">
        <v>2394</v>
      </c>
      <c r="G1134" s="10">
        <v>3342831</v>
      </c>
      <c r="H1134" s="11" cm="1">
        <f t="array" ref="H1134">F1134/G1134*100000</f>
        <v>71.61594468879819</v>
      </c>
    </row>
    <row r="1135" ht="13" customHeight="1">
      <c r="A1135" s="8">
        <v>3</v>
      </c>
      <c r="B1135" t="s" s="9">
        <v>34</v>
      </c>
      <c r="C1135" t="s" s="9">
        <v>65</v>
      </c>
      <c r="D1135" t="s" s="9">
        <v>47</v>
      </c>
      <c r="E1135" t="s" s="9">
        <v>33</v>
      </c>
      <c r="F1135" s="10">
        <v>535</v>
      </c>
      <c r="G1135" s="10">
        <v>3342831</v>
      </c>
      <c r="H1135" s="11" cm="1">
        <f t="array" ref="H1135">F1135/G1135*100000</f>
        <v>16.0043986668785</v>
      </c>
    </row>
    <row r="1136" ht="13" customHeight="1">
      <c r="A1136" s="8">
        <v>4</v>
      </c>
      <c r="B1136" t="s" s="9">
        <v>45</v>
      </c>
      <c r="C1136" t="s" s="9">
        <v>65</v>
      </c>
      <c r="D1136" t="s" s="9">
        <v>47</v>
      </c>
      <c r="E1136" t="s" s="9">
        <v>33</v>
      </c>
      <c r="F1136" s="10">
        <v>606</v>
      </c>
      <c r="G1136" s="10">
        <v>3342831</v>
      </c>
      <c r="H1136" s="11" cm="1">
        <f t="array" ref="H1136">F1136/G1136*100000</f>
        <v>18.1283469011745</v>
      </c>
    </row>
    <row r="1137" ht="13" customHeight="1">
      <c r="A1137" s="8">
        <v>5</v>
      </c>
      <c r="B1137" t="s" s="9">
        <v>39</v>
      </c>
      <c r="C1137" t="s" s="9">
        <v>65</v>
      </c>
      <c r="D1137" t="s" s="9">
        <v>47</v>
      </c>
      <c r="E1137" t="s" s="9">
        <v>33</v>
      </c>
      <c r="F1137" s="10">
        <v>340</v>
      </c>
      <c r="G1137" s="10">
        <v>3342831</v>
      </c>
      <c r="H1137" s="11" cm="1">
        <f t="array" ref="H1137">F1137/G1137*100000</f>
        <v>10.1710197135302</v>
      </c>
    </row>
    <row r="1138" ht="13" customHeight="1">
      <c r="A1138" s="8">
        <v>6</v>
      </c>
      <c r="B1138" t="s" s="9">
        <v>35</v>
      </c>
      <c r="C1138" t="s" s="9">
        <v>65</v>
      </c>
      <c r="D1138" t="s" s="9">
        <v>47</v>
      </c>
      <c r="E1138" t="s" s="9">
        <v>33</v>
      </c>
      <c r="F1138" s="10">
        <v>462</v>
      </c>
      <c r="G1138" s="10">
        <v>3342831</v>
      </c>
      <c r="H1138" s="11" cm="1">
        <f t="array" ref="H1138">F1138/G1138*100000</f>
        <v>13.8206209048558</v>
      </c>
    </row>
    <row r="1139" ht="13" customHeight="1">
      <c r="A1139" s="8">
        <v>7</v>
      </c>
      <c r="B1139" t="s" s="9">
        <v>30</v>
      </c>
      <c r="C1139" t="s" s="9">
        <v>65</v>
      </c>
      <c r="D1139" t="s" s="9">
        <v>47</v>
      </c>
      <c r="E1139" t="s" s="9">
        <v>33</v>
      </c>
      <c r="F1139" s="10">
        <v>355</v>
      </c>
      <c r="G1139" s="10">
        <v>3342831</v>
      </c>
      <c r="H1139" s="11" cm="1">
        <f t="array" ref="H1139">F1139/G1139*100000</f>
        <v>10.6197411714801</v>
      </c>
    </row>
    <row r="1140" ht="13" customHeight="1">
      <c r="A1140" s="8">
        <v>8</v>
      </c>
      <c r="B1140" t="s" s="9">
        <v>36</v>
      </c>
      <c r="C1140" t="s" s="9">
        <v>65</v>
      </c>
      <c r="D1140" t="s" s="9">
        <v>47</v>
      </c>
      <c r="E1140" t="s" s="9">
        <v>33</v>
      </c>
      <c r="F1140" s="10">
        <v>303</v>
      </c>
      <c r="G1140" s="10">
        <v>3342831</v>
      </c>
      <c r="H1140" s="11" cm="1">
        <f t="array" ref="H1140">F1140/G1140*100000</f>
        <v>9.064173450587241</v>
      </c>
    </row>
    <row r="1141" ht="13" customHeight="1">
      <c r="A1141" s="8">
        <v>9</v>
      </c>
      <c r="B1141" t="s" s="9">
        <v>30</v>
      </c>
      <c r="C1141" t="s" s="9">
        <v>65</v>
      </c>
      <c r="D1141" t="s" s="9">
        <v>47</v>
      </c>
      <c r="E1141" t="s" s="9">
        <v>33</v>
      </c>
      <c r="F1141" s="10">
        <v>291</v>
      </c>
      <c r="G1141" s="10">
        <v>3342831</v>
      </c>
      <c r="H1141" s="11" cm="1">
        <f t="array" ref="H1141">F1141/G1141*100000</f>
        <v>8.70519628422735</v>
      </c>
    </row>
    <row r="1142" ht="13" customHeight="1">
      <c r="A1142" s="8">
        <v>10</v>
      </c>
      <c r="B1142" t="s" s="9">
        <v>36</v>
      </c>
      <c r="C1142" t="s" s="9">
        <v>65</v>
      </c>
      <c r="D1142" t="s" s="9">
        <v>47</v>
      </c>
      <c r="E1142" t="s" s="9">
        <v>33</v>
      </c>
      <c r="F1142" s="10">
        <v>205</v>
      </c>
      <c r="G1142" s="10">
        <v>3342831</v>
      </c>
      <c r="H1142" s="11" cm="1">
        <f t="array" ref="H1142">F1142/G1142*100000</f>
        <v>6.13252659198147</v>
      </c>
    </row>
    <row r="1143" ht="13" customHeight="1">
      <c r="A1143" s="8">
        <v>1</v>
      </c>
      <c r="B1143" t="s" s="9">
        <v>30</v>
      </c>
      <c r="C1143" t="s" s="9">
        <v>65</v>
      </c>
      <c r="D1143" t="s" s="9">
        <v>49</v>
      </c>
      <c r="E1143" t="s" s="9">
        <v>33</v>
      </c>
      <c r="F1143" s="10">
        <v>4877</v>
      </c>
      <c r="G1143" s="10">
        <v>6397690</v>
      </c>
      <c r="H1143" s="11" cm="1">
        <f t="array" ref="H1143">F1143/G1143*100000</f>
        <v>76.2306394964432</v>
      </c>
    </row>
    <row r="1144" ht="13" customHeight="1">
      <c r="A1144" s="8">
        <v>2</v>
      </c>
      <c r="B1144" t="s" s="9">
        <v>34</v>
      </c>
      <c r="C1144" t="s" s="9">
        <v>65</v>
      </c>
      <c r="D1144" t="s" s="9">
        <v>49</v>
      </c>
      <c r="E1144" t="s" s="9">
        <v>33</v>
      </c>
      <c r="F1144" s="10">
        <v>2587</v>
      </c>
      <c r="G1144" s="10">
        <v>6397690</v>
      </c>
      <c r="H1144" s="11" cm="1">
        <f t="array" ref="H1144">F1144/G1144*100000</f>
        <v>40.4364700384045</v>
      </c>
    </row>
    <row r="1145" ht="13" customHeight="1">
      <c r="A1145" s="8">
        <v>3</v>
      </c>
      <c r="B1145" t="s" s="9">
        <v>35</v>
      </c>
      <c r="C1145" t="s" s="9">
        <v>65</v>
      </c>
      <c r="D1145" t="s" s="9">
        <v>49</v>
      </c>
      <c r="E1145" t="s" s="9">
        <v>33</v>
      </c>
      <c r="F1145" s="10">
        <v>2657</v>
      </c>
      <c r="G1145" s="10">
        <v>6397690</v>
      </c>
      <c r="H1145" s="11" cm="1">
        <f t="array" ref="H1145">F1145/G1145*100000</f>
        <v>41.5306149563358</v>
      </c>
    </row>
    <row r="1146" ht="13" customHeight="1">
      <c r="A1146" s="8">
        <v>4</v>
      </c>
      <c r="B1146" t="s" s="9">
        <v>39</v>
      </c>
      <c r="C1146" t="s" s="9">
        <v>65</v>
      </c>
      <c r="D1146" t="s" s="9">
        <v>49</v>
      </c>
      <c r="E1146" t="s" s="9">
        <v>33</v>
      </c>
      <c r="F1146" s="10">
        <v>815</v>
      </c>
      <c r="G1146" s="10">
        <v>6397690</v>
      </c>
      <c r="H1146" s="11" cm="1">
        <f t="array" ref="H1146">F1146/G1146*100000</f>
        <v>12.7389729730575</v>
      </c>
    </row>
    <row r="1147" ht="13" customHeight="1">
      <c r="A1147" s="8">
        <v>5</v>
      </c>
      <c r="B1147" t="s" s="9">
        <v>30</v>
      </c>
      <c r="C1147" t="s" s="9">
        <v>65</v>
      </c>
      <c r="D1147" t="s" s="9">
        <v>49</v>
      </c>
      <c r="E1147" t="s" s="9">
        <v>33</v>
      </c>
      <c r="F1147" s="10">
        <v>1036</v>
      </c>
      <c r="G1147" s="10">
        <v>6397690</v>
      </c>
      <c r="H1147" s="11" cm="1">
        <f t="array" ref="H1147">F1147/G1147*100000</f>
        <v>16.1933447853835</v>
      </c>
    </row>
    <row r="1148" ht="13" customHeight="1">
      <c r="A1148" s="8">
        <v>6</v>
      </c>
      <c r="B1148" t="s" s="9">
        <v>36</v>
      </c>
      <c r="C1148" t="s" s="9">
        <v>65</v>
      </c>
      <c r="D1148" t="s" s="9">
        <v>49</v>
      </c>
      <c r="E1148" t="s" s="9">
        <v>33</v>
      </c>
      <c r="F1148" s="10">
        <v>1119</v>
      </c>
      <c r="G1148" s="10">
        <v>6397690</v>
      </c>
      <c r="H1148" s="11" cm="1">
        <f t="array" ref="H1148">F1148/G1148*100000</f>
        <v>17.4906880452163</v>
      </c>
    </row>
    <row r="1149" ht="13" customHeight="1">
      <c r="A1149" s="8">
        <v>7</v>
      </c>
      <c r="B1149" t="s" s="9">
        <v>36</v>
      </c>
      <c r="C1149" t="s" s="9">
        <v>65</v>
      </c>
      <c r="D1149" t="s" s="9">
        <v>49</v>
      </c>
      <c r="E1149" t="s" s="9">
        <v>33</v>
      </c>
      <c r="F1149" s="10">
        <v>974</v>
      </c>
      <c r="G1149" s="10">
        <v>6397690</v>
      </c>
      <c r="H1149" s="11" cm="1">
        <f t="array" ref="H1149">F1149/G1149*100000</f>
        <v>15.224245000930</v>
      </c>
    </row>
    <row r="1150" ht="13" customHeight="1">
      <c r="A1150" s="8">
        <v>8</v>
      </c>
      <c r="B1150" t="s" s="9">
        <v>37</v>
      </c>
      <c r="C1150" t="s" s="9">
        <v>65</v>
      </c>
      <c r="D1150" t="s" s="9">
        <v>49</v>
      </c>
      <c r="E1150" t="s" s="9">
        <v>33</v>
      </c>
      <c r="F1150" s="10">
        <v>910</v>
      </c>
      <c r="G1150" s="10">
        <v>6397690</v>
      </c>
      <c r="H1150" s="11" cm="1">
        <f t="array" ref="H1150">F1150/G1150*100000</f>
        <v>14.2238839331071</v>
      </c>
    </row>
    <row r="1151" ht="13" customHeight="1">
      <c r="A1151" s="8">
        <v>9</v>
      </c>
      <c r="B1151" t="s" s="9">
        <v>35</v>
      </c>
      <c r="C1151" t="s" s="9">
        <v>65</v>
      </c>
      <c r="D1151" t="s" s="9">
        <v>49</v>
      </c>
      <c r="E1151" t="s" s="9">
        <v>33</v>
      </c>
      <c r="F1151" s="10">
        <v>981</v>
      </c>
      <c r="G1151" s="10">
        <v>6397690</v>
      </c>
      <c r="H1151" s="11" cm="1">
        <f t="array" ref="H1151">F1151/G1151*100000</f>
        <v>15.3336594927232</v>
      </c>
    </row>
    <row r="1152" ht="13" customHeight="1">
      <c r="A1152" s="8">
        <v>10</v>
      </c>
      <c r="B1152" t="s" s="9">
        <v>30</v>
      </c>
      <c r="C1152" t="s" s="9">
        <v>65</v>
      </c>
      <c r="D1152" t="s" s="9">
        <v>49</v>
      </c>
      <c r="E1152" t="s" s="9">
        <v>33</v>
      </c>
      <c r="F1152" s="10">
        <v>630</v>
      </c>
      <c r="G1152" s="10">
        <v>6397690</v>
      </c>
      <c r="H1152" s="11" cm="1">
        <f t="array" ref="H1152">F1152/G1152*100000</f>
        <v>9.84730426138184</v>
      </c>
    </row>
    <row r="1153" ht="13.65" customHeight="1">
      <c r="A1153" s="8">
        <v>1</v>
      </c>
      <c r="B1153" t="s" s="9">
        <v>30</v>
      </c>
      <c r="C1153" t="s" s="9">
        <v>65</v>
      </c>
      <c r="D1153" t="s" s="9">
        <v>51</v>
      </c>
      <c r="E1153" t="s" s="9">
        <v>33</v>
      </c>
      <c r="F1153" s="10">
        <v>2207</v>
      </c>
      <c r="G1153" s="12"/>
      <c r="H1153" s="13"/>
    </row>
    <row r="1154" ht="13.65" customHeight="1">
      <c r="A1154" s="8">
        <v>2</v>
      </c>
      <c r="B1154" t="s" s="9">
        <v>34</v>
      </c>
      <c r="C1154" t="s" s="9">
        <v>65</v>
      </c>
      <c r="D1154" t="s" s="9">
        <v>51</v>
      </c>
      <c r="E1154" t="s" s="9">
        <v>33</v>
      </c>
      <c r="F1154" s="10">
        <v>1331</v>
      </c>
      <c r="G1154" s="14"/>
      <c r="H1154" s="15"/>
    </row>
    <row r="1155" ht="13.65" customHeight="1">
      <c r="A1155" s="8">
        <v>3</v>
      </c>
      <c r="B1155" t="s" s="9">
        <v>35</v>
      </c>
      <c r="C1155" t="s" s="9">
        <v>65</v>
      </c>
      <c r="D1155" t="s" s="9">
        <v>51</v>
      </c>
      <c r="E1155" t="s" s="9">
        <v>33</v>
      </c>
      <c r="F1155" s="10">
        <v>1356</v>
      </c>
      <c r="G1155" s="14"/>
      <c r="H1155" s="15"/>
    </row>
    <row r="1156" ht="13.65" customHeight="1">
      <c r="A1156" s="8">
        <v>4</v>
      </c>
      <c r="B1156" t="s" s="9">
        <v>45</v>
      </c>
      <c r="C1156" t="s" s="9">
        <v>65</v>
      </c>
      <c r="D1156" t="s" s="9">
        <v>51</v>
      </c>
      <c r="E1156" t="s" s="9">
        <v>33</v>
      </c>
      <c r="F1156" s="10">
        <v>1244</v>
      </c>
      <c r="G1156" s="14"/>
      <c r="H1156" s="15"/>
    </row>
    <row r="1157" ht="13.65" customHeight="1">
      <c r="A1157" s="8">
        <v>5</v>
      </c>
      <c r="B1157" t="s" s="9">
        <v>30</v>
      </c>
      <c r="C1157" t="s" s="9">
        <v>65</v>
      </c>
      <c r="D1157" t="s" s="9">
        <v>51</v>
      </c>
      <c r="E1157" t="s" s="9">
        <v>33</v>
      </c>
      <c r="F1157" s="10">
        <v>1116</v>
      </c>
      <c r="G1157" s="14"/>
      <c r="H1157" s="15"/>
    </row>
    <row r="1158" ht="13.65" customHeight="1">
      <c r="A1158" s="8">
        <v>6</v>
      </c>
      <c r="B1158" t="s" s="9">
        <v>39</v>
      </c>
      <c r="C1158" t="s" s="9">
        <v>65</v>
      </c>
      <c r="D1158" t="s" s="9">
        <v>51</v>
      </c>
      <c r="E1158" t="s" s="9">
        <v>33</v>
      </c>
      <c r="F1158" s="10">
        <v>427</v>
      </c>
      <c r="G1158" s="14"/>
      <c r="H1158" s="15"/>
    </row>
    <row r="1159" ht="13.65" customHeight="1">
      <c r="A1159" s="8">
        <v>7</v>
      </c>
      <c r="B1159" t="s" s="9">
        <v>35</v>
      </c>
      <c r="C1159" t="s" s="9">
        <v>65</v>
      </c>
      <c r="D1159" t="s" s="9">
        <v>51</v>
      </c>
      <c r="E1159" t="s" s="9">
        <v>33</v>
      </c>
      <c r="F1159" s="10">
        <v>851</v>
      </c>
      <c r="G1159" s="14"/>
      <c r="H1159" s="15"/>
    </row>
    <row r="1160" ht="13.65" customHeight="1">
      <c r="A1160" s="8">
        <v>8</v>
      </c>
      <c r="B1160" t="s" s="9">
        <v>41</v>
      </c>
      <c r="C1160" t="s" s="9">
        <v>65</v>
      </c>
      <c r="D1160" t="s" s="9">
        <v>51</v>
      </c>
      <c r="E1160" t="s" s="9">
        <v>33</v>
      </c>
      <c r="F1160" s="10">
        <v>397</v>
      </c>
      <c r="G1160" s="14"/>
      <c r="H1160" s="15"/>
    </row>
    <row r="1161" ht="13.65" customHeight="1">
      <c r="A1161" s="8">
        <v>9</v>
      </c>
      <c r="B1161" t="s" s="9">
        <v>37</v>
      </c>
      <c r="C1161" t="s" s="9">
        <v>65</v>
      </c>
      <c r="D1161" t="s" s="9">
        <v>51</v>
      </c>
      <c r="E1161" t="s" s="9">
        <v>33</v>
      </c>
      <c r="F1161" s="10">
        <v>353</v>
      </c>
      <c r="G1161" s="14"/>
      <c r="H1161" s="15"/>
    </row>
    <row r="1162" ht="13.65" customHeight="1">
      <c r="A1162" s="8">
        <v>10</v>
      </c>
      <c r="B1162" t="s" s="9">
        <v>30</v>
      </c>
      <c r="C1162" t="s" s="9">
        <v>65</v>
      </c>
      <c r="D1162" t="s" s="9">
        <v>51</v>
      </c>
      <c r="E1162" t="s" s="9">
        <v>33</v>
      </c>
      <c r="F1162" s="10">
        <v>423</v>
      </c>
      <c r="G1162" s="14"/>
      <c r="H1162" s="15"/>
    </row>
    <row r="1163" ht="13.65" customHeight="1">
      <c r="A1163" s="8">
        <v>1</v>
      </c>
      <c r="B1163" t="s" s="9">
        <v>35</v>
      </c>
      <c r="C1163" t="s" s="9">
        <v>65</v>
      </c>
      <c r="D1163" t="s" s="9">
        <v>52</v>
      </c>
      <c r="E1163" t="s" s="9">
        <v>33</v>
      </c>
      <c r="F1163" s="10">
        <v>6373</v>
      </c>
      <c r="G1163" s="14"/>
      <c r="H1163" s="15"/>
    </row>
    <row r="1164" ht="13.65" customHeight="1">
      <c r="A1164" s="8">
        <v>2</v>
      </c>
      <c r="B1164" t="s" s="9">
        <v>30</v>
      </c>
      <c r="C1164" t="s" s="9">
        <v>65</v>
      </c>
      <c r="D1164" t="s" s="9">
        <v>52</v>
      </c>
      <c r="E1164" t="s" s="9">
        <v>33</v>
      </c>
      <c r="F1164" s="10">
        <v>2926</v>
      </c>
      <c r="G1164" s="14"/>
      <c r="H1164" s="15"/>
    </row>
    <row r="1165" ht="13.65" customHeight="1">
      <c r="A1165" s="8">
        <v>3</v>
      </c>
      <c r="B1165" t="s" s="9">
        <v>34</v>
      </c>
      <c r="C1165" t="s" s="9">
        <v>65</v>
      </c>
      <c r="D1165" t="s" s="9">
        <v>52</v>
      </c>
      <c r="E1165" t="s" s="9">
        <v>33</v>
      </c>
      <c r="F1165" s="10">
        <v>1328</v>
      </c>
      <c r="G1165" s="14"/>
      <c r="H1165" s="15"/>
    </row>
    <row r="1166" ht="13.65" customHeight="1">
      <c r="A1166" s="8">
        <v>4</v>
      </c>
      <c r="B1166" t="s" s="9">
        <v>30</v>
      </c>
      <c r="C1166" t="s" s="9">
        <v>65</v>
      </c>
      <c r="D1166" t="s" s="9">
        <v>52</v>
      </c>
      <c r="E1166" t="s" s="9">
        <v>33</v>
      </c>
      <c r="F1166" s="10">
        <v>1300</v>
      </c>
      <c r="G1166" s="14"/>
      <c r="H1166" s="15"/>
    </row>
    <row r="1167" ht="13.65" customHeight="1">
      <c r="A1167" s="8">
        <v>5</v>
      </c>
      <c r="B1167" t="s" s="9">
        <v>39</v>
      </c>
      <c r="C1167" t="s" s="9">
        <v>65</v>
      </c>
      <c r="D1167" t="s" s="9">
        <v>52</v>
      </c>
      <c r="E1167" t="s" s="9">
        <v>33</v>
      </c>
      <c r="F1167" s="10">
        <v>561</v>
      </c>
      <c r="G1167" s="14"/>
      <c r="H1167" s="15"/>
    </row>
    <row r="1168" ht="13.65" customHeight="1">
      <c r="A1168" s="8">
        <v>6</v>
      </c>
      <c r="B1168" t="s" s="9">
        <v>35</v>
      </c>
      <c r="C1168" t="s" s="9">
        <v>65</v>
      </c>
      <c r="D1168" t="s" s="9">
        <v>52</v>
      </c>
      <c r="E1168" t="s" s="9">
        <v>33</v>
      </c>
      <c r="F1168" s="10">
        <v>1191</v>
      </c>
      <c r="G1168" s="14"/>
      <c r="H1168" s="15"/>
    </row>
    <row r="1169" ht="13.65" customHeight="1">
      <c r="A1169" s="8">
        <v>7</v>
      </c>
      <c r="B1169" t="s" s="9">
        <v>36</v>
      </c>
      <c r="C1169" t="s" s="9">
        <v>65</v>
      </c>
      <c r="D1169" t="s" s="9">
        <v>52</v>
      </c>
      <c r="E1169" t="s" s="9">
        <v>33</v>
      </c>
      <c r="F1169" s="10">
        <v>916</v>
      </c>
      <c r="G1169" s="14"/>
      <c r="H1169" s="15"/>
    </row>
    <row r="1170" ht="13.65" customHeight="1">
      <c r="A1170" s="8">
        <v>8</v>
      </c>
      <c r="B1170" t="s" s="9">
        <v>30</v>
      </c>
      <c r="C1170" t="s" s="9">
        <v>65</v>
      </c>
      <c r="D1170" t="s" s="9">
        <v>52</v>
      </c>
      <c r="E1170" t="s" s="9">
        <v>33</v>
      </c>
      <c r="F1170" s="10">
        <v>506</v>
      </c>
      <c r="G1170" s="14"/>
      <c r="H1170" s="15"/>
    </row>
    <row r="1171" ht="13.65" customHeight="1">
      <c r="A1171" s="8">
        <v>9</v>
      </c>
      <c r="B1171" t="s" s="9">
        <v>30</v>
      </c>
      <c r="C1171" t="s" s="9">
        <v>65</v>
      </c>
      <c r="D1171" t="s" s="9">
        <v>52</v>
      </c>
      <c r="E1171" t="s" s="9">
        <v>33</v>
      </c>
      <c r="F1171" s="10">
        <v>512</v>
      </c>
      <c r="G1171" s="14"/>
      <c r="H1171" s="15"/>
    </row>
    <row r="1172" ht="13.65" customHeight="1">
      <c r="A1172" s="8">
        <v>10</v>
      </c>
      <c r="B1172" t="s" s="9">
        <v>37</v>
      </c>
      <c r="C1172" t="s" s="9">
        <v>65</v>
      </c>
      <c r="D1172" t="s" s="9">
        <v>52</v>
      </c>
      <c r="E1172" t="s" s="9">
        <v>33</v>
      </c>
      <c r="F1172" s="10">
        <v>382</v>
      </c>
      <c r="G1172" s="16"/>
      <c r="H1172" s="17"/>
    </row>
    <row r="1173" ht="13" customHeight="1">
      <c r="A1173" s="8">
        <v>1</v>
      </c>
      <c r="B1173" t="s" s="9">
        <v>30</v>
      </c>
      <c r="C1173" t="s" s="9">
        <v>65</v>
      </c>
      <c r="D1173" t="s" s="9">
        <v>53</v>
      </c>
      <c r="E1173" t="s" s="9">
        <v>33</v>
      </c>
      <c r="F1173" s="10">
        <v>3487</v>
      </c>
      <c r="G1173" s="10">
        <v>5049226</v>
      </c>
      <c r="H1173" s="11" cm="1">
        <f t="array" ref="H1173">F1173/G1173*100000</f>
        <v>69.06008960581291</v>
      </c>
    </row>
    <row r="1174" ht="13" customHeight="1">
      <c r="A1174" s="8">
        <v>2</v>
      </c>
      <c r="B1174" t="s" s="9">
        <v>30</v>
      </c>
      <c r="C1174" t="s" s="9">
        <v>65</v>
      </c>
      <c r="D1174" t="s" s="9">
        <v>53</v>
      </c>
      <c r="E1174" t="s" s="9">
        <v>33</v>
      </c>
      <c r="F1174" s="10">
        <v>1733</v>
      </c>
      <c r="G1174" s="10">
        <v>5049226</v>
      </c>
      <c r="H1174" s="11" cm="1">
        <f t="array" ref="H1174">F1174/G1174*100000</f>
        <v>34.3220921384783</v>
      </c>
    </row>
    <row r="1175" ht="13" customHeight="1">
      <c r="A1175" s="8">
        <v>3</v>
      </c>
      <c r="B1175" t="s" s="9">
        <v>34</v>
      </c>
      <c r="C1175" t="s" s="9">
        <v>65</v>
      </c>
      <c r="D1175" t="s" s="9">
        <v>53</v>
      </c>
      <c r="E1175" t="s" s="9">
        <v>33</v>
      </c>
      <c r="F1175" s="10">
        <v>1391</v>
      </c>
      <c r="G1175" s="10">
        <v>5049226</v>
      </c>
      <c r="H1175" s="11" cm="1">
        <f t="array" ref="H1175">F1175/G1175*100000</f>
        <v>27.5487767828178</v>
      </c>
    </row>
    <row r="1176" ht="13" customHeight="1">
      <c r="A1176" s="8">
        <v>4</v>
      </c>
      <c r="B1176" t="s" s="9">
        <v>35</v>
      </c>
      <c r="C1176" t="s" s="9">
        <v>65</v>
      </c>
      <c r="D1176" t="s" s="9">
        <v>53</v>
      </c>
      <c r="E1176" t="s" s="9">
        <v>33</v>
      </c>
      <c r="F1176" s="10">
        <v>1448</v>
      </c>
      <c r="G1176" s="10">
        <v>5049226</v>
      </c>
      <c r="H1176" s="11" cm="1">
        <f t="array" ref="H1176">F1176/G1176*100000</f>
        <v>28.6776626754279</v>
      </c>
    </row>
    <row r="1177" ht="13" customHeight="1">
      <c r="A1177" s="8">
        <v>5</v>
      </c>
      <c r="B1177" t="s" s="9">
        <v>41</v>
      </c>
      <c r="C1177" t="s" s="9">
        <v>65</v>
      </c>
      <c r="D1177" t="s" s="9">
        <v>53</v>
      </c>
      <c r="E1177" t="s" s="9">
        <v>33</v>
      </c>
      <c r="F1177" s="10">
        <v>842</v>
      </c>
      <c r="G1177" s="10">
        <v>5049226</v>
      </c>
      <c r="H1177" s="11" cm="1">
        <f t="array" ref="H1177">F1177/G1177*100000</f>
        <v>16.6758231855734</v>
      </c>
    </row>
    <row r="1178" ht="13" customHeight="1">
      <c r="A1178" s="8">
        <v>6</v>
      </c>
      <c r="B1178" t="s" s="9">
        <v>39</v>
      </c>
      <c r="C1178" t="s" s="9">
        <v>65</v>
      </c>
      <c r="D1178" t="s" s="9">
        <v>53</v>
      </c>
      <c r="E1178" t="s" s="9">
        <v>33</v>
      </c>
      <c r="F1178" s="10">
        <v>668</v>
      </c>
      <c r="G1178" s="10">
        <v>5049226</v>
      </c>
      <c r="H1178" s="11" cm="1">
        <f t="array" ref="H1178">F1178/G1178*100000</f>
        <v>13.2297504607637</v>
      </c>
    </row>
    <row r="1179" ht="13" customHeight="1">
      <c r="A1179" s="8">
        <v>7</v>
      </c>
      <c r="B1179" t="s" s="9">
        <v>35</v>
      </c>
      <c r="C1179" t="s" s="9">
        <v>65</v>
      </c>
      <c r="D1179" t="s" s="9">
        <v>53</v>
      </c>
      <c r="E1179" t="s" s="9">
        <v>33</v>
      </c>
      <c r="F1179" s="10">
        <v>1024</v>
      </c>
      <c r="G1179" s="10">
        <v>5049226</v>
      </c>
      <c r="H1179" s="11" cm="1">
        <f t="array" ref="H1179">F1179/G1179*100000</f>
        <v>20.2803360356617</v>
      </c>
    </row>
    <row r="1180" ht="13" customHeight="1">
      <c r="A1180" s="8">
        <v>8</v>
      </c>
      <c r="B1180" t="s" s="9">
        <v>30</v>
      </c>
      <c r="C1180" t="s" s="9">
        <v>65</v>
      </c>
      <c r="D1180" t="s" s="9">
        <v>53</v>
      </c>
      <c r="E1180" t="s" s="9">
        <v>33</v>
      </c>
      <c r="F1180" s="10">
        <v>684</v>
      </c>
      <c r="G1180" s="10">
        <v>5049226</v>
      </c>
      <c r="H1180" s="11" cm="1">
        <f t="array" ref="H1180">F1180/G1180*100000</f>
        <v>13.5466307113209</v>
      </c>
    </row>
    <row r="1181" ht="13" customHeight="1">
      <c r="A1181" s="8">
        <v>9</v>
      </c>
      <c r="B1181" t="s" s="9">
        <v>36</v>
      </c>
      <c r="C1181" t="s" s="9">
        <v>65</v>
      </c>
      <c r="D1181" t="s" s="9">
        <v>53</v>
      </c>
      <c r="E1181" t="s" s="9">
        <v>33</v>
      </c>
      <c r="F1181" s="10">
        <v>585</v>
      </c>
      <c r="G1181" s="10">
        <v>5049226</v>
      </c>
      <c r="H1181" s="11" cm="1">
        <f t="array" ref="H1181">F1181/G1181*100000</f>
        <v>11.5859341609981</v>
      </c>
    </row>
    <row r="1182" ht="13" customHeight="1">
      <c r="A1182" s="8">
        <v>10</v>
      </c>
      <c r="B1182" t="s" s="9">
        <v>36</v>
      </c>
      <c r="C1182" t="s" s="9">
        <v>65</v>
      </c>
      <c r="D1182" t="s" s="9">
        <v>53</v>
      </c>
      <c r="E1182" t="s" s="9">
        <v>33</v>
      </c>
      <c r="F1182" s="10">
        <v>585</v>
      </c>
      <c r="G1182" s="10">
        <v>5049226</v>
      </c>
      <c r="H1182" s="11" cm="1">
        <f t="array" ref="H1182">F1182/G1182*100000</f>
        <v>11.5859341609981</v>
      </c>
    </row>
    <row r="1183" ht="13" customHeight="1">
      <c r="A1183" s="8">
        <v>1</v>
      </c>
      <c r="B1183" t="s" s="9">
        <v>30</v>
      </c>
      <c r="C1183" t="s" s="9">
        <v>65</v>
      </c>
      <c r="D1183" t="s" s="9">
        <v>54</v>
      </c>
      <c r="E1183" t="s" s="9">
        <v>33</v>
      </c>
      <c r="F1183" s="10">
        <v>2031</v>
      </c>
      <c r="G1183" s="10">
        <v>3901529</v>
      </c>
      <c r="H1183" s="11" cm="1">
        <f t="array" ref="H1183">F1183/G1183*100000</f>
        <v>52.0565142537708</v>
      </c>
    </row>
    <row r="1184" ht="13" customHeight="1">
      <c r="A1184" s="8">
        <v>2</v>
      </c>
      <c r="B1184" t="s" s="9">
        <v>35</v>
      </c>
      <c r="C1184" t="s" s="9">
        <v>65</v>
      </c>
      <c r="D1184" t="s" s="9">
        <v>54</v>
      </c>
      <c r="E1184" t="s" s="9">
        <v>33</v>
      </c>
      <c r="F1184" s="10">
        <v>786</v>
      </c>
      <c r="G1184" s="10">
        <v>3901529</v>
      </c>
      <c r="H1184" s="11" cm="1">
        <f t="array" ref="H1184">F1184/G1184*100000</f>
        <v>20.1459479091402</v>
      </c>
    </row>
    <row r="1185" ht="13" customHeight="1">
      <c r="A1185" s="8">
        <v>3</v>
      </c>
      <c r="B1185" t="s" s="9">
        <v>34</v>
      </c>
      <c r="C1185" t="s" s="9">
        <v>65</v>
      </c>
      <c r="D1185" t="s" s="9">
        <v>54</v>
      </c>
      <c r="E1185" t="s" s="9">
        <v>33</v>
      </c>
      <c r="F1185" s="10">
        <v>546</v>
      </c>
      <c r="G1185" s="10">
        <v>3901529</v>
      </c>
      <c r="H1185" s="11" cm="1">
        <f t="array" ref="H1185">F1185/G1185*100000</f>
        <v>13.9945134330669</v>
      </c>
    </row>
    <row r="1186" ht="13" customHeight="1">
      <c r="A1186" s="8">
        <v>4</v>
      </c>
      <c r="B1186" t="s" s="9">
        <v>41</v>
      </c>
      <c r="C1186" t="s" s="9">
        <v>65</v>
      </c>
      <c r="D1186" t="s" s="9">
        <v>54</v>
      </c>
      <c r="E1186" t="s" s="9">
        <v>33</v>
      </c>
      <c r="F1186" s="10">
        <v>570</v>
      </c>
      <c r="G1186" s="10">
        <v>3901529</v>
      </c>
      <c r="H1186" s="11" cm="1">
        <f t="array" ref="H1186">F1186/G1186*100000</f>
        <v>14.6096568806742</v>
      </c>
    </row>
    <row r="1187" ht="13" customHeight="1">
      <c r="A1187" s="8">
        <v>5</v>
      </c>
      <c r="B1187" t="s" s="9">
        <v>30</v>
      </c>
      <c r="C1187" t="s" s="9">
        <v>65</v>
      </c>
      <c r="D1187" t="s" s="9">
        <v>54</v>
      </c>
      <c r="E1187" t="s" s="9">
        <v>33</v>
      </c>
      <c r="F1187" s="10">
        <v>599</v>
      </c>
      <c r="G1187" s="10">
        <v>3901529</v>
      </c>
      <c r="H1187" s="11" cm="1">
        <f t="array" ref="H1187">F1187/G1187*100000</f>
        <v>15.3529552131997</v>
      </c>
    </row>
    <row r="1188" ht="13" customHeight="1">
      <c r="A1188" s="8">
        <v>6</v>
      </c>
      <c r="B1188" t="s" s="9">
        <v>30</v>
      </c>
      <c r="C1188" t="s" s="9">
        <v>65</v>
      </c>
      <c r="D1188" t="s" s="9">
        <v>54</v>
      </c>
      <c r="E1188" t="s" s="9">
        <v>33</v>
      </c>
      <c r="F1188" s="10">
        <v>576</v>
      </c>
      <c r="G1188" s="10">
        <v>3901529</v>
      </c>
      <c r="H1188" s="11" cm="1">
        <f t="array" ref="H1188">F1188/G1188*100000</f>
        <v>14.7634427425761</v>
      </c>
    </row>
    <row r="1189" ht="13" customHeight="1">
      <c r="A1189" s="8">
        <v>7</v>
      </c>
      <c r="B1189" t="s" s="9">
        <v>35</v>
      </c>
      <c r="C1189" t="s" s="9">
        <v>65</v>
      </c>
      <c r="D1189" t="s" s="9">
        <v>54</v>
      </c>
      <c r="E1189" t="s" s="9">
        <v>33</v>
      </c>
      <c r="F1189" s="10">
        <v>764</v>
      </c>
      <c r="G1189" s="10">
        <v>3901529</v>
      </c>
      <c r="H1189" s="11" cm="1">
        <f t="array" ref="H1189">F1189/G1189*100000</f>
        <v>19.5820664155002</v>
      </c>
    </row>
    <row r="1190" ht="13" customHeight="1">
      <c r="A1190" s="8">
        <v>8</v>
      </c>
      <c r="B1190" t="s" s="9">
        <v>30</v>
      </c>
      <c r="C1190" t="s" s="9">
        <v>65</v>
      </c>
      <c r="D1190" t="s" s="9">
        <v>54</v>
      </c>
      <c r="E1190" t="s" s="9">
        <v>33</v>
      </c>
      <c r="F1190" s="10">
        <v>501</v>
      </c>
      <c r="G1190" s="10">
        <v>3901529</v>
      </c>
      <c r="H1190" s="11" cm="1">
        <f t="array" ref="H1190">F1190/G1190*100000</f>
        <v>12.8411194688031</v>
      </c>
    </row>
    <row r="1191" ht="13" customHeight="1">
      <c r="A1191" s="8">
        <v>9</v>
      </c>
      <c r="B1191" t="s" s="9">
        <v>41</v>
      </c>
      <c r="C1191" t="s" s="9">
        <v>65</v>
      </c>
      <c r="D1191" t="s" s="9">
        <v>54</v>
      </c>
      <c r="E1191" t="s" s="9">
        <v>33</v>
      </c>
      <c r="F1191" s="10">
        <v>332</v>
      </c>
      <c r="G1191" s="10">
        <v>3901529</v>
      </c>
      <c r="H1191" s="11" cm="1">
        <f t="array" ref="H1191">F1191/G1191*100000</f>
        <v>8.509484358568139</v>
      </c>
    </row>
    <row r="1192" ht="13" customHeight="1">
      <c r="A1192" s="8">
        <v>10</v>
      </c>
      <c r="B1192" t="s" s="9">
        <v>39</v>
      </c>
      <c r="C1192" t="s" s="9">
        <v>65</v>
      </c>
      <c r="D1192" t="s" s="9">
        <v>54</v>
      </c>
      <c r="E1192" t="s" s="9">
        <v>33</v>
      </c>
      <c r="F1192" s="10">
        <v>181</v>
      </c>
      <c r="G1192" s="10">
        <v>3901529</v>
      </c>
      <c r="H1192" s="11" cm="1">
        <f t="array" ref="H1192">F1192/G1192*100000</f>
        <v>4.63920683403866</v>
      </c>
    </row>
    <row r="1193" ht="13" customHeight="1">
      <c r="A1193" s="8">
        <v>1</v>
      </c>
      <c r="B1193" t="s" s="9">
        <v>30</v>
      </c>
      <c r="C1193" t="s" s="9">
        <v>65</v>
      </c>
      <c r="D1193" t="s" s="9">
        <v>55</v>
      </c>
      <c r="E1193" t="s" s="9">
        <v>33</v>
      </c>
      <c r="F1193" s="10">
        <v>4309</v>
      </c>
      <c r="G1193" s="10">
        <v>5273604</v>
      </c>
      <c r="H1193" s="11" cm="1">
        <f t="array" ref="H1193">F1193/G1193*100000</f>
        <v>81.7088275873577</v>
      </c>
    </row>
    <row r="1194" ht="13" customHeight="1">
      <c r="A1194" s="8">
        <v>2</v>
      </c>
      <c r="B1194" t="s" s="9">
        <v>35</v>
      </c>
      <c r="C1194" t="s" s="9">
        <v>65</v>
      </c>
      <c r="D1194" t="s" s="9">
        <v>55</v>
      </c>
      <c r="E1194" t="s" s="9">
        <v>33</v>
      </c>
      <c r="F1194" s="10">
        <v>2479</v>
      </c>
      <c r="G1194" s="10">
        <v>5273604</v>
      </c>
      <c r="H1194" s="11" cm="1">
        <f t="array" ref="H1194">F1194/G1194*100000</f>
        <v>47.0077009953724</v>
      </c>
    </row>
    <row r="1195" ht="13" customHeight="1">
      <c r="A1195" s="8">
        <v>3</v>
      </c>
      <c r="B1195" t="s" s="9">
        <v>34</v>
      </c>
      <c r="C1195" t="s" s="9">
        <v>65</v>
      </c>
      <c r="D1195" t="s" s="9">
        <v>55</v>
      </c>
      <c r="E1195" t="s" s="9">
        <v>33</v>
      </c>
      <c r="F1195" s="10">
        <v>1448</v>
      </c>
      <c r="G1195" s="10">
        <v>5273604</v>
      </c>
      <c r="H1195" s="11" cm="1">
        <f t="array" ref="H1195">F1195/G1195*100000</f>
        <v>27.4575034454616</v>
      </c>
    </row>
    <row r="1196" ht="13" customHeight="1">
      <c r="A1196" s="8">
        <v>4</v>
      </c>
      <c r="B1196" t="s" s="9">
        <v>35</v>
      </c>
      <c r="C1196" t="s" s="9">
        <v>65</v>
      </c>
      <c r="D1196" t="s" s="9">
        <v>55</v>
      </c>
      <c r="E1196" t="s" s="9">
        <v>33</v>
      </c>
      <c r="F1196" s="10">
        <v>1767</v>
      </c>
      <c r="G1196" s="10">
        <v>5273604</v>
      </c>
      <c r="H1196" s="11" cm="1">
        <f t="array" ref="H1196">F1196/G1196*100000</f>
        <v>33.5064976437366</v>
      </c>
    </row>
    <row r="1197" ht="13" customHeight="1">
      <c r="A1197" s="8">
        <v>5</v>
      </c>
      <c r="B1197" t="s" s="9">
        <v>30</v>
      </c>
      <c r="C1197" t="s" s="9">
        <v>65</v>
      </c>
      <c r="D1197" t="s" s="9">
        <v>55</v>
      </c>
      <c r="E1197" t="s" s="9">
        <v>33</v>
      </c>
      <c r="F1197" s="10">
        <v>1400</v>
      </c>
      <c r="G1197" s="10">
        <v>5273604</v>
      </c>
      <c r="H1197" s="11" cm="1">
        <f t="array" ref="H1197">F1197/G1197*100000</f>
        <v>26.5473099610816</v>
      </c>
    </row>
    <row r="1198" ht="13" customHeight="1">
      <c r="A1198" s="8">
        <v>6</v>
      </c>
      <c r="B1198" t="s" s="9">
        <v>39</v>
      </c>
      <c r="C1198" t="s" s="9">
        <v>65</v>
      </c>
      <c r="D1198" t="s" s="9">
        <v>55</v>
      </c>
      <c r="E1198" t="s" s="9">
        <v>33</v>
      </c>
      <c r="F1198" s="10">
        <v>439</v>
      </c>
      <c r="G1198" s="10">
        <v>5273604</v>
      </c>
      <c r="H1198" s="11" cm="1">
        <f t="array" ref="H1198">F1198/G1198*100000</f>
        <v>8.324477909224891</v>
      </c>
    </row>
    <row r="1199" ht="13" customHeight="1">
      <c r="A1199" s="8">
        <v>7</v>
      </c>
      <c r="B1199" t="s" s="9">
        <v>36</v>
      </c>
      <c r="C1199" t="s" s="9">
        <v>65</v>
      </c>
      <c r="D1199" t="s" s="9">
        <v>55</v>
      </c>
      <c r="E1199" t="s" s="9">
        <v>33</v>
      </c>
      <c r="F1199" s="10">
        <v>603</v>
      </c>
      <c r="G1199" s="10">
        <v>5273604</v>
      </c>
      <c r="H1199" s="11" cm="1">
        <f t="array" ref="H1199">F1199/G1199*100000</f>
        <v>11.434305647523</v>
      </c>
    </row>
    <row r="1200" ht="13" customHeight="1">
      <c r="A1200" s="8">
        <v>8</v>
      </c>
      <c r="B1200" t="s" s="9">
        <v>36</v>
      </c>
      <c r="C1200" t="s" s="9">
        <v>65</v>
      </c>
      <c r="D1200" t="s" s="9">
        <v>55</v>
      </c>
      <c r="E1200" t="s" s="9">
        <v>33</v>
      </c>
      <c r="F1200" s="10">
        <v>581</v>
      </c>
      <c r="G1200" s="10">
        <v>5273604</v>
      </c>
      <c r="H1200" s="11" cm="1">
        <f t="array" ref="H1200">F1200/G1200*100000</f>
        <v>11.0171336338489</v>
      </c>
    </row>
    <row r="1201" ht="13" customHeight="1">
      <c r="A1201" s="8">
        <v>9</v>
      </c>
      <c r="B1201" t="s" s="9">
        <v>41</v>
      </c>
      <c r="C1201" t="s" s="9">
        <v>65</v>
      </c>
      <c r="D1201" t="s" s="9">
        <v>55</v>
      </c>
      <c r="E1201" t="s" s="9">
        <v>33</v>
      </c>
      <c r="F1201" s="10">
        <v>468</v>
      </c>
      <c r="G1201" s="10">
        <v>5273604</v>
      </c>
      <c r="H1201" s="11" cm="1">
        <f t="array" ref="H1201">F1201/G1201*100000</f>
        <v>8.87438647270444</v>
      </c>
    </row>
    <row r="1202" ht="13" customHeight="1">
      <c r="A1202" s="8">
        <v>10</v>
      </c>
      <c r="B1202" t="s" s="9">
        <v>39</v>
      </c>
      <c r="C1202" t="s" s="9">
        <v>65</v>
      </c>
      <c r="D1202" t="s" s="9">
        <v>55</v>
      </c>
      <c r="E1202" t="s" s="9">
        <v>33</v>
      </c>
      <c r="F1202" s="10">
        <v>295</v>
      </c>
      <c r="G1202" s="10">
        <v>5273604</v>
      </c>
      <c r="H1202" s="11" cm="1">
        <f t="array" ref="H1202">F1202/G1202*100000</f>
        <v>5.59389745608506</v>
      </c>
    </row>
    <row r="1203" ht="13" customHeight="1">
      <c r="A1203" s="8">
        <v>1</v>
      </c>
      <c r="B1203" t="s" s="9">
        <v>34</v>
      </c>
      <c r="C1203" t="s" s="9">
        <v>65</v>
      </c>
      <c r="D1203" t="s" s="9">
        <v>56</v>
      </c>
      <c r="E1203" t="s" s="9">
        <v>33</v>
      </c>
      <c r="F1203" s="10">
        <v>2227</v>
      </c>
      <c r="G1203" s="10">
        <v>5691183</v>
      </c>
      <c r="H1203" s="11" cm="1">
        <f t="array" ref="H1203">F1203/G1203*100000</f>
        <v>39.1307044598636</v>
      </c>
    </row>
    <row r="1204" ht="13" customHeight="1">
      <c r="A1204" s="8">
        <v>2</v>
      </c>
      <c r="B1204" t="s" s="9">
        <v>35</v>
      </c>
      <c r="C1204" t="s" s="9">
        <v>65</v>
      </c>
      <c r="D1204" t="s" s="9">
        <v>56</v>
      </c>
      <c r="E1204" t="s" s="9">
        <v>33</v>
      </c>
      <c r="F1204" s="10">
        <v>1788</v>
      </c>
      <c r="G1204" s="10">
        <v>5691183</v>
      </c>
      <c r="H1204" s="11" cm="1">
        <f t="array" ref="H1204">F1204/G1204*100000</f>
        <v>31.4170182192349</v>
      </c>
    </row>
    <row r="1205" ht="13" customHeight="1">
      <c r="A1205" s="8">
        <v>3</v>
      </c>
      <c r="B1205" t="s" s="9">
        <v>30</v>
      </c>
      <c r="C1205" t="s" s="9">
        <v>65</v>
      </c>
      <c r="D1205" t="s" s="9">
        <v>56</v>
      </c>
      <c r="E1205" t="s" s="9">
        <v>33</v>
      </c>
      <c r="F1205" s="10">
        <v>1237</v>
      </c>
      <c r="G1205" s="10">
        <v>5691183</v>
      </c>
      <c r="H1205" s="11" cm="1">
        <f t="array" ref="H1205">F1205/G1205*100000</f>
        <v>21.7353755800859</v>
      </c>
    </row>
    <row r="1206" ht="13" customHeight="1">
      <c r="A1206" s="8">
        <v>4</v>
      </c>
      <c r="B1206" t="s" s="9">
        <v>37</v>
      </c>
      <c r="C1206" t="s" s="9">
        <v>65</v>
      </c>
      <c r="D1206" t="s" s="9">
        <v>56</v>
      </c>
      <c r="E1206" t="s" s="9">
        <v>33</v>
      </c>
      <c r="F1206" s="10">
        <v>426</v>
      </c>
      <c r="G1206" s="10">
        <v>5691183</v>
      </c>
      <c r="H1206" s="11" cm="1">
        <f t="array" ref="H1206">F1206/G1206*100000</f>
        <v>7.48526273008617</v>
      </c>
    </row>
    <row r="1207" ht="13" customHeight="1">
      <c r="A1207" s="8">
        <v>5</v>
      </c>
      <c r="B1207" t="s" s="9">
        <v>35</v>
      </c>
      <c r="C1207" t="s" s="9">
        <v>65</v>
      </c>
      <c r="D1207" t="s" s="9">
        <v>56</v>
      </c>
      <c r="E1207" t="s" s="9">
        <v>33</v>
      </c>
      <c r="F1207" s="10">
        <v>739</v>
      </c>
      <c r="G1207" s="10">
        <v>5691183</v>
      </c>
      <c r="H1207" s="11" cm="1">
        <f t="array" ref="H1207">F1207/G1207*100000</f>
        <v>12.9849980223795</v>
      </c>
    </row>
    <row r="1208" ht="13" customHeight="1">
      <c r="A1208" s="8">
        <v>6</v>
      </c>
      <c r="B1208" t="s" s="9">
        <v>30</v>
      </c>
      <c r="C1208" t="s" s="9">
        <v>65</v>
      </c>
      <c r="D1208" t="s" s="9">
        <v>56</v>
      </c>
      <c r="E1208" t="s" s="9">
        <v>33</v>
      </c>
      <c r="F1208" s="10">
        <v>494</v>
      </c>
      <c r="G1208" s="10">
        <v>5691183</v>
      </c>
      <c r="H1208" s="11" cm="1">
        <f t="array" ref="H1208">F1208/G1208*100000</f>
        <v>8.680093400616361</v>
      </c>
    </row>
    <row r="1209" ht="13" customHeight="1">
      <c r="A1209" s="8">
        <v>7</v>
      </c>
      <c r="B1209" t="s" s="9">
        <v>30</v>
      </c>
      <c r="C1209" t="s" s="9">
        <v>65</v>
      </c>
      <c r="D1209" t="s" s="9">
        <v>56</v>
      </c>
      <c r="E1209" t="s" s="9">
        <v>33</v>
      </c>
      <c r="F1209" s="10">
        <v>361</v>
      </c>
      <c r="G1209" s="10">
        <v>5691183</v>
      </c>
      <c r="H1209" s="11" cm="1">
        <f t="array" ref="H1209">F1209/G1209*100000</f>
        <v>6.34314517737349</v>
      </c>
    </row>
    <row r="1210" ht="13" customHeight="1">
      <c r="A1210" s="8">
        <v>8</v>
      </c>
      <c r="B1210" t="s" s="9">
        <v>39</v>
      </c>
      <c r="C1210" t="s" s="9">
        <v>65</v>
      </c>
      <c r="D1210" t="s" s="9">
        <v>56</v>
      </c>
      <c r="E1210" t="s" s="9">
        <v>33</v>
      </c>
      <c r="F1210" s="10">
        <v>191</v>
      </c>
      <c r="G1210" s="10">
        <v>5691183</v>
      </c>
      <c r="H1210" s="11" cm="1">
        <f t="array" ref="H1210">F1210/G1210*100000</f>
        <v>3.35606850104802</v>
      </c>
    </row>
    <row r="1211" ht="13" customHeight="1">
      <c r="A1211" s="8">
        <v>9</v>
      </c>
      <c r="B1211" t="s" s="9">
        <v>36</v>
      </c>
      <c r="C1211" t="s" s="9">
        <v>65</v>
      </c>
      <c r="D1211" t="s" s="9">
        <v>56</v>
      </c>
      <c r="E1211" t="s" s="9">
        <v>33</v>
      </c>
      <c r="F1211" s="10">
        <v>344</v>
      </c>
      <c r="G1211" s="10">
        <v>5691183</v>
      </c>
      <c r="H1211" s="11" cm="1">
        <f t="array" ref="H1211">F1211/G1211*100000</f>
        <v>6.04443750974094</v>
      </c>
    </row>
    <row r="1212" ht="13" customHeight="1">
      <c r="A1212" s="8">
        <v>10</v>
      </c>
      <c r="B1212" t="s" s="9">
        <v>30</v>
      </c>
      <c r="C1212" t="s" s="9">
        <v>65</v>
      </c>
      <c r="D1212" t="s" s="9">
        <v>56</v>
      </c>
      <c r="E1212" t="s" s="9">
        <v>33</v>
      </c>
      <c r="F1212" s="10">
        <v>375</v>
      </c>
      <c r="G1212" s="10">
        <v>5691183</v>
      </c>
      <c r="H1212" s="11" cm="1">
        <f t="array" ref="H1212">F1212/G1212*100000</f>
        <v>6.58913972718853</v>
      </c>
    </row>
    <row r="1213" ht="13" customHeight="1">
      <c r="A1213" s="8">
        <v>1</v>
      </c>
      <c r="B1213" t="s" s="9">
        <v>35</v>
      </c>
      <c r="C1213" t="s" s="9">
        <v>65</v>
      </c>
      <c r="D1213" t="s" s="9">
        <v>57</v>
      </c>
      <c r="E1213" t="s" s="9">
        <v>33</v>
      </c>
      <c r="F1213" s="10">
        <v>1164</v>
      </c>
      <c r="G1213" s="10">
        <v>5214931</v>
      </c>
      <c r="H1213" s="11" cm="1">
        <f t="array" ref="H1213">F1213/G1213*100000</f>
        <v>22.3205254297708</v>
      </c>
    </row>
    <row r="1214" ht="13" customHeight="1">
      <c r="A1214" s="8">
        <v>2</v>
      </c>
      <c r="B1214" t="s" s="9">
        <v>30</v>
      </c>
      <c r="C1214" t="s" s="9">
        <v>65</v>
      </c>
      <c r="D1214" t="s" s="9">
        <v>57</v>
      </c>
      <c r="E1214" t="s" s="9">
        <v>33</v>
      </c>
      <c r="F1214" s="10">
        <v>475</v>
      </c>
      <c r="G1214" s="10">
        <v>5214931</v>
      </c>
      <c r="H1214" s="11" cm="1">
        <f t="array" ref="H1214">F1214/G1214*100000</f>
        <v>9.108461837750109</v>
      </c>
    </row>
    <row r="1215" ht="13" customHeight="1">
      <c r="A1215" s="8">
        <v>3</v>
      </c>
      <c r="B1215" t="s" s="9">
        <v>34</v>
      </c>
      <c r="C1215" t="s" s="9">
        <v>65</v>
      </c>
      <c r="D1215" t="s" s="9">
        <v>57</v>
      </c>
      <c r="E1215" t="s" s="9">
        <v>33</v>
      </c>
      <c r="F1215" s="10">
        <v>150</v>
      </c>
      <c r="G1215" s="10">
        <v>5214931</v>
      </c>
      <c r="H1215" s="11" cm="1">
        <f t="array" ref="H1215">F1215/G1215*100000</f>
        <v>2.87635636981582</v>
      </c>
    </row>
    <row r="1216" ht="13" customHeight="1">
      <c r="A1216" s="8">
        <v>4</v>
      </c>
      <c r="B1216" t="s" s="9">
        <v>30</v>
      </c>
      <c r="C1216" t="s" s="9">
        <v>65</v>
      </c>
      <c r="D1216" t="s" s="9">
        <v>57</v>
      </c>
      <c r="E1216" t="s" s="9">
        <v>33</v>
      </c>
      <c r="F1216" s="10">
        <v>70</v>
      </c>
      <c r="G1216" s="10">
        <v>5214931</v>
      </c>
      <c r="H1216" s="11" cm="1">
        <f t="array" ref="H1216">F1216/G1216*100000</f>
        <v>1.34229963924738</v>
      </c>
    </row>
    <row r="1217" ht="13" customHeight="1">
      <c r="A1217" s="8">
        <v>5</v>
      </c>
      <c r="B1217" t="s" s="9">
        <v>41</v>
      </c>
      <c r="C1217" t="s" s="9">
        <v>65</v>
      </c>
      <c r="D1217" t="s" s="9">
        <v>57</v>
      </c>
      <c r="E1217" t="s" s="9">
        <v>33</v>
      </c>
      <c r="F1217" s="10">
        <v>64</v>
      </c>
      <c r="G1217" s="10">
        <v>5214931</v>
      </c>
      <c r="H1217" s="11" cm="1">
        <f t="array" ref="H1217">F1217/G1217*100000</f>
        <v>1.22724538445475</v>
      </c>
    </row>
    <row r="1218" ht="13" customHeight="1">
      <c r="A1218" s="8">
        <v>6</v>
      </c>
      <c r="B1218" t="s" s="9">
        <v>39</v>
      </c>
      <c r="C1218" t="s" s="9">
        <v>65</v>
      </c>
      <c r="D1218" t="s" s="9">
        <v>57</v>
      </c>
      <c r="E1218" t="s" s="9">
        <v>33</v>
      </c>
      <c r="F1218" s="10">
        <v>26</v>
      </c>
      <c r="G1218" s="10">
        <v>5214931</v>
      </c>
      <c r="H1218" s="11" cm="1">
        <f t="array" ref="H1218">F1218/G1218*100000</f>
        <v>0.498568437434743</v>
      </c>
    </row>
    <row r="1219" ht="13" customHeight="1">
      <c r="A1219" s="8">
        <v>7</v>
      </c>
      <c r="B1219" t="s" s="9">
        <v>36</v>
      </c>
      <c r="C1219" t="s" s="9">
        <v>65</v>
      </c>
      <c r="D1219" t="s" s="9">
        <v>57</v>
      </c>
      <c r="E1219" t="s" s="9">
        <v>33</v>
      </c>
      <c r="F1219" s="10">
        <v>26</v>
      </c>
      <c r="G1219" s="10">
        <v>5214931</v>
      </c>
      <c r="H1219" s="11" cm="1">
        <f t="array" ref="H1219">F1219/G1219*100000</f>
        <v>0.498568437434743</v>
      </c>
    </row>
    <row r="1220" ht="13" customHeight="1">
      <c r="A1220" s="8">
        <v>8</v>
      </c>
      <c r="B1220" t="s" s="9">
        <v>30</v>
      </c>
      <c r="C1220" t="s" s="9">
        <v>65</v>
      </c>
      <c r="D1220" t="s" s="9">
        <v>57</v>
      </c>
      <c r="E1220" t="s" s="9">
        <v>33</v>
      </c>
      <c r="F1220" s="10">
        <v>12</v>
      </c>
      <c r="G1220" s="10">
        <v>5214931</v>
      </c>
      <c r="H1220" s="11" cm="1">
        <f t="array" ref="H1220">F1220/G1220*100000</f>
        <v>0.230108509585266</v>
      </c>
    </row>
    <row r="1221" ht="13" customHeight="1">
      <c r="A1221" s="8">
        <v>9</v>
      </c>
      <c r="B1221" t="s" s="9">
        <v>30</v>
      </c>
      <c r="C1221" t="s" s="9">
        <v>65</v>
      </c>
      <c r="D1221" t="s" s="9">
        <v>57</v>
      </c>
      <c r="E1221" t="s" s="9">
        <v>33</v>
      </c>
      <c r="F1221" s="10">
        <v>15</v>
      </c>
      <c r="G1221" s="10">
        <v>5214931</v>
      </c>
      <c r="H1221" s="11" cm="1">
        <f t="array" ref="H1221">F1221/G1221*100000</f>
        <v>0.287635636981582</v>
      </c>
    </row>
    <row r="1222" ht="13" customHeight="1">
      <c r="A1222" s="8">
        <v>10</v>
      </c>
      <c r="B1222" t="s" s="9">
        <v>45</v>
      </c>
      <c r="C1222" t="s" s="9">
        <v>65</v>
      </c>
      <c r="D1222" t="s" s="9">
        <v>57</v>
      </c>
      <c r="E1222" t="s" s="9">
        <v>33</v>
      </c>
      <c r="F1222" s="10">
        <v>11</v>
      </c>
      <c r="G1222" s="10">
        <v>5214931</v>
      </c>
      <c r="H1222" s="11" cm="1">
        <f t="array" ref="H1222">F1222/G1222*100000</f>
        <v>0.21093280045316</v>
      </c>
    </row>
    <row r="1223" ht="13" customHeight="1">
      <c r="A1223" s="8">
        <v>1</v>
      </c>
      <c r="B1223" t="s" s="9">
        <v>30</v>
      </c>
      <c r="C1223" t="s" s="9">
        <v>65</v>
      </c>
      <c r="D1223" t="s" s="9">
        <v>20</v>
      </c>
      <c r="E1223" t="s" s="9">
        <v>33</v>
      </c>
      <c r="F1223" s="10">
        <v>2305</v>
      </c>
      <c r="G1223" s="10">
        <v>2889689</v>
      </c>
      <c r="H1223" s="11" cm="1">
        <f t="array" ref="H1223">F1223/G1223*100000</f>
        <v>79.76636932209659</v>
      </c>
    </row>
    <row r="1224" ht="13" customHeight="1">
      <c r="A1224" s="8">
        <v>2</v>
      </c>
      <c r="B1224" t="s" s="9">
        <v>34</v>
      </c>
      <c r="C1224" t="s" s="9">
        <v>65</v>
      </c>
      <c r="D1224" t="s" s="9">
        <v>20</v>
      </c>
      <c r="E1224" t="s" s="9">
        <v>33</v>
      </c>
      <c r="F1224" s="10">
        <v>1232</v>
      </c>
      <c r="G1224" s="10">
        <v>2889689</v>
      </c>
      <c r="H1224" s="11" cm="1">
        <f t="array" ref="H1224">F1224/G1224*100000</f>
        <v>42.6343457721575</v>
      </c>
    </row>
    <row r="1225" ht="13" customHeight="1">
      <c r="A1225" s="8">
        <v>3</v>
      </c>
      <c r="B1225" t="s" s="9">
        <v>39</v>
      </c>
      <c r="C1225" t="s" s="9">
        <v>65</v>
      </c>
      <c r="D1225" t="s" s="9">
        <v>20</v>
      </c>
      <c r="E1225" t="s" s="9">
        <v>33</v>
      </c>
      <c r="F1225" s="10">
        <v>429</v>
      </c>
      <c r="G1225" s="10">
        <v>2889689</v>
      </c>
      <c r="H1225" s="11" cm="1">
        <f t="array" ref="H1225">F1225/G1225*100000</f>
        <v>14.8458882599477</v>
      </c>
    </row>
    <row r="1226" ht="13" customHeight="1">
      <c r="A1226" s="8">
        <v>4</v>
      </c>
      <c r="B1226" t="s" s="9">
        <v>35</v>
      </c>
      <c r="C1226" t="s" s="9">
        <v>65</v>
      </c>
      <c r="D1226" t="s" s="9">
        <v>20</v>
      </c>
      <c r="E1226" t="s" s="9">
        <v>33</v>
      </c>
      <c r="F1226" s="10">
        <v>962</v>
      </c>
      <c r="G1226" s="10">
        <v>2889689</v>
      </c>
      <c r="H1226" s="11" cm="1">
        <f t="array" ref="H1226">F1226/G1226*100000</f>
        <v>33.2907797344282</v>
      </c>
    </row>
    <row r="1227" ht="13" customHeight="1">
      <c r="A1227" s="8">
        <v>5</v>
      </c>
      <c r="B1227" t="s" s="9">
        <v>35</v>
      </c>
      <c r="C1227" t="s" s="9">
        <v>65</v>
      </c>
      <c r="D1227" t="s" s="9">
        <v>20</v>
      </c>
      <c r="E1227" t="s" s="9">
        <v>33</v>
      </c>
      <c r="F1227" s="10">
        <v>718</v>
      </c>
      <c r="G1227" s="10">
        <v>2889689</v>
      </c>
      <c r="H1227" s="11" cm="1">
        <f t="array" ref="H1227">F1227/G1227*100000</f>
        <v>24.846964500332</v>
      </c>
    </row>
    <row r="1228" ht="13" customHeight="1">
      <c r="A1228" s="8">
        <v>6</v>
      </c>
      <c r="B1228" t="s" s="9">
        <v>30</v>
      </c>
      <c r="C1228" t="s" s="9">
        <v>65</v>
      </c>
      <c r="D1228" t="s" s="9">
        <v>20</v>
      </c>
      <c r="E1228" t="s" s="9">
        <v>33</v>
      </c>
      <c r="F1228" s="10">
        <v>731</v>
      </c>
      <c r="G1228" s="10">
        <v>2889689</v>
      </c>
      <c r="H1228" s="11" cm="1">
        <f t="array" ref="H1228">F1228/G1228*100000</f>
        <v>25.2968399021486</v>
      </c>
    </row>
    <row r="1229" ht="13" customHeight="1">
      <c r="A1229" s="8">
        <v>7</v>
      </c>
      <c r="B1229" t="s" s="9">
        <v>36</v>
      </c>
      <c r="C1229" t="s" s="9">
        <v>65</v>
      </c>
      <c r="D1229" t="s" s="9">
        <v>20</v>
      </c>
      <c r="E1229" t="s" s="9">
        <v>33</v>
      </c>
      <c r="F1229" s="10">
        <v>373</v>
      </c>
      <c r="G1229" s="10">
        <v>2889689</v>
      </c>
      <c r="H1229" s="11" cm="1">
        <f t="array" ref="H1229">F1229/G1229*100000</f>
        <v>12.9079634521224</v>
      </c>
    </row>
    <row r="1230" ht="13" customHeight="1">
      <c r="A1230" s="8">
        <v>8</v>
      </c>
      <c r="B1230" t="s" s="9">
        <v>37</v>
      </c>
      <c r="C1230" t="s" s="9">
        <v>65</v>
      </c>
      <c r="D1230" t="s" s="9">
        <v>20</v>
      </c>
      <c r="E1230" t="s" s="9">
        <v>33</v>
      </c>
      <c r="F1230" s="10">
        <v>345</v>
      </c>
      <c r="G1230" s="10">
        <v>2889689</v>
      </c>
      <c r="H1230" s="11" cm="1">
        <f t="array" ref="H1230">F1230/G1230*100000</f>
        <v>11.9390010482097</v>
      </c>
    </row>
    <row r="1231" ht="13" customHeight="1">
      <c r="A1231" s="8">
        <v>9</v>
      </c>
      <c r="B1231" t="s" s="9">
        <v>37</v>
      </c>
      <c r="C1231" t="s" s="9">
        <v>65</v>
      </c>
      <c r="D1231" t="s" s="9">
        <v>20</v>
      </c>
      <c r="E1231" t="s" s="9">
        <v>33</v>
      </c>
      <c r="F1231" s="10">
        <v>244</v>
      </c>
      <c r="G1231" s="10">
        <v>2889689</v>
      </c>
      <c r="H1231" s="11" cm="1">
        <f t="array" ref="H1231">F1231/G1231*100000</f>
        <v>8.44381523409613</v>
      </c>
    </row>
    <row r="1232" ht="13" customHeight="1">
      <c r="A1232" s="8">
        <v>10</v>
      </c>
      <c r="B1232" t="s" s="9">
        <v>45</v>
      </c>
      <c r="C1232" t="s" s="9">
        <v>65</v>
      </c>
      <c r="D1232" t="s" s="9">
        <v>20</v>
      </c>
      <c r="E1232" t="s" s="9">
        <v>33</v>
      </c>
      <c r="F1232" s="10">
        <v>305</v>
      </c>
      <c r="G1232" s="10">
        <v>2889689</v>
      </c>
      <c r="H1232" s="11" cm="1">
        <f t="array" ref="H1232">F1232/G1232*100000</f>
        <v>10.5547690426202</v>
      </c>
    </row>
    <row r="1233" ht="13" customHeight="1">
      <c r="A1233" s="8">
        <v>1</v>
      </c>
      <c r="B1233" t="s" s="9">
        <v>30</v>
      </c>
      <c r="C1233" t="s" s="9">
        <v>65</v>
      </c>
      <c r="D1233" t="s" s="9">
        <v>21</v>
      </c>
      <c r="E1233" t="s" s="9">
        <v>33</v>
      </c>
      <c r="F1233" s="10">
        <v>3375</v>
      </c>
      <c r="G1233" s="10">
        <v>4635519</v>
      </c>
      <c r="H1233" s="11" cm="1">
        <f t="array" ref="H1233">F1233/G1233*100000</f>
        <v>72.8073814388421</v>
      </c>
    </row>
    <row r="1234" ht="13" customHeight="1">
      <c r="A1234" s="8">
        <v>2</v>
      </c>
      <c r="B1234" t="s" s="9">
        <v>30</v>
      </c>
      <c r="C1234" t="s" s="9">
        <v>65</v>
      </c>
      <c r="D1234" t="s" s="9">
        <v>21</v>
      </c>
      <c r="E1234" t="s" s="9">
        <v>33</v>
      </c>
      <c r="F1234" s="10">
        <v>2439</v>
      </c>
      <c r="G1234" s="10">
        <v>4635519</v>
      </c>
      <c r="H1234" s="11" cm="1">
        <f t="array" ref="H1234">F1234/G1234*100000</f>
        <v>52.6154676531366</v>
      </c>
    </row>
    <row r="1235" ht="13" customHeight="1">
      <c r="A1235" s="8">
        <v>3</v>
      </c>
      <c r="B1235" t="s" s="9">
        <v>36</v>
      </c>
      <c r="C1235" t="s" s="9">
        <v>65</v>
      </c>
      <c r="D1235" t="s" s="9">
        <v>21</v>
      </c>
      <c r="E1235" t="s" s="9">
        <v>33</v>
      </c>
      <c r="F1235" s="10">
        <v>1400</v>
      </c>
      <c r="G1235" s="10">
        <v>4635519</v>
      </c>
      <c r="H1235" s="11" cm="1">
        <f t="array" ref="H1235">F1235/G1235*100000</f>
        <v>30.2015804487049</v>
      </c>
    </row>
    <row r="1236" ht="13" customHeight="1">
      <c r="A1236" s="8">
        <v>4</v>
      </c>
      <c r="B1236" t="s" s="9">
        <v>34</v>
      </c>
      <c r="C1236" t="s" s="9">
        <v>65</v>
      </c>
      <c r="D1236" t="s" s="9">
        <v>21</v>
      </c>
      <c r="E1236" t="s" s="9">
        <v>33</v>
      </c>
      <c r="F1236" s="10">
        <v>1125</v>
      </c>
      <c r="G1236" s="10">
        <v>4635519</v>
      </c>
      <c r="H1236" s="11" cm="1">
        <f t="array" ref="H1236">F1236/G1236*100000</f>
        <v>24.2691271462807</v>
      </c>
    </row>
    <row r="1237" ht="13" customHeight="1">
      <c r="A1237" s="8">
        <v>5</v>
      </c>
      <c r="B1237" t="s" s="9">
        <v>36</v>
      </c>
      <c r="C1237" t="s" s="9">
        <v>65</v>
      </c>
      <c r="D1237" t="s" s="9">
        <v>21</v>
      </c>
      <c r="E1237" t="s" s="9">
        <v>33</v>
      </c>
      <c r="F1237" s="10">
        <v>724</v>
      </c>
      <c r="G1237" s="10">
        <v>4635519</v>
      </c>
      <c r="H1237" s="11" cm="1">
        <f t="array" ref="H1237">F1237/G1237*100000</f>
        <v>15.6185316034731</v>
      </c>
    </row>
    <row r="1238" ht="13" customHeight="1">
      <c r="A1238" s="8">
        <v>6</v>
      </c>
      <c r="B1238" t="s" s="9">
        <v>41</v>
      </c>
      <c r="C1238" t="s" s="9">
        <v>65</v>
      </c>
      <c r="D1238" t="s" s="9">
        <v>21</v>
      </c>
      <c r="E1238" t="s" s="9">
        <v>33</v>
      </c>
      <c r="F1238" s="10">
        <v>580</v>
      </c>
      <c r="G1238" s="10">
        <v>4635519</v>
      </c>
      <c r="H1238" s="11" cm="1">
        <f t="array" ref="H1238">F1238/G1238*100000</f>
        <v>12.5120833287492</v>
      </c>
    </row>
    <row r="1239" ht="13" customHeight="1">
      <c r="A1239" s="8">
        <v>7</v>
      </c>
      <c r="B1239" t="s" s="9">
        <v>35</v>
      </c>
      <c r="C1239" t="s" s="9">
        <v>65</v>
      </c>
      <c r="D1239" t="s" s="9">
        <v>21</v>
      </c>
      <c r="E1239" t="s" s="9">
        <v>33</v>
      </c>
      <c r="F1239" s="10">
        <v>436</v>
      </c>
      <c r="G1239" s="10">
        <v>4635519</v>
      </c>
      <c r="H1239" s="11" cm="1">
        <f t="array" ref="H1239">F1239/G1239*100000</f>
        <v>9.405635054025231</v>
      </c>
    </row>
    <row r="1240" ht="13" customHeight="1">
      <c r="A1240" s="8">
        <v>8</v>
      </c>
      <c r="B1240" t="s" s="9">
        <v>35</v>
      </c>
      <c r="C1240" t="s" s="9">
        <v>65</v>
      </c>
      <c r="D1240" t="s" s="9">
        <v>21</v>
      </c>
      <c r="E1240" t="s" s="9">
        <v>33</v>
      </c>
      <c r="F1240" s="10">
        <v>516</v>
      </c>
      <c r="G1240" s="10">
        <v>4635519</v>
      </c>
      <c r="H1240" s="11" cm="1">
        <f t="array" ref="H1240">F1240/G1240*100000</f>
        <v>11.1314396510941</v>
      </c>
    </row>
    <row r="1241" ht="13" customHeight="1">
      <c r="A1241" s="8">
        <v>9</v>
      </c>
      <c r="B1241" t="s" s="9">
        <v>30</v>
      </c>
      <c r="C1241" t="s" s="9">
        <v>65</v>
      </c>
      <c r="D1241" t="s" s="9">
        <v>21</v>
      </c>
      <c r="E1241" t="s" s="9">
        <v>33</v>
      </c>
      <c r="F1241" s="10">
        <v>432</v>
      </c>
      <c r="G1241" s="10">
        <v>4635519</v>
      </c>
      <c r="H1241" s="11" cm="1">
        <f t="array" ref="H1241">F1241/G1241*100000</f>
        <v>9.31934482417179</v>
      </c>
    </row>
    <row r="1242" ht="13" customHeight="1">
      <c r="A1242" s="8">
        <v>10</v>
      </c>
      <c r="B1242" t="s" s="9">
        <v>37</v>
      </c>
      <c r="C1242" t="s" s="9">
        <v>65</v>
      </c>
      <c r="D1242" t="s" s="9">
        <v>21</v>
      </c>
      <c r="E1242" t="s" s="9">
        <v>33</v>
      </c>
      <c r="F1242" s="10">
        <v>339</v>
      </c>
      <c r="G1242" s="10">
        <v>4635519</v>
      </c>
      <c r="H1242" s="11" cm="1">
        <f t="array" ref="H1242">F1242/G1242*100000</f>
        <v>7.31309698007925</v>
      </c>
    </row>
    <row r="1243" ht="13.65" customHeight="1">
      <c r="A1243" s="8">
        <v>1</v>
      </c>
      <c r="B1243" t="s" s="9">
        <v>35</v>
      </c>
      <c r="C1243" t="s" s="9">
        <v>65</v>
      </c>
      <c r="D1243" t="s" s="9">
        <v>58</v>
      </c>
      <c r="E1243" t="s" s="9">
        <v>33</v>
      </c>
      <c r="F1243" s="10">
        <v>2756</v>
      </c>
      <c r="G1243" s="12"/>
      <c r="H1243" s="13"/>
    </row>
    <row r="1244" ht="13.65" customHeight="1">
      <c r="A1244" s="8">
        <v>2</v>
      </c>
      <c r="B1244" t="s" s="9">
        <v>30</v>
      </c>
      <c r="C1244" t="s" s="9">
        <v>65</v>
      </c>
      <c r="D1244" t="s" s="9">
        <v>58</v>
      </c>
      <c r="E1244" t="s" s="9">
        <v>33</v>
      </c>
      <c r="F1244" s="10">
        <v>1391</v>
      </c>
      <c r="G1244" s="14"/>
      <c r="H1244" s="15"/>
    </row>
    <row r="1245" ht="13.65" customHeight="1">
      <c r="A1245" s="8">
        <v>3</v>
      </c>
      <c r="B1245" t="s" s="9">
        <v>30</v>
      </c>
      <c r="C1245" t="s" s="9">
        <v>65</v>
      </c>
      <c r="D1245" t="s" s="9">
        <v>58</v>
      </c>
      <c r="E1245" t="s" s="9">
        <v>33</v>
      </c>
      <c r="F1245" s="10">
        <v>889</v>
      </c>
      <c r="G1245" s="14"/>
      <c r="H1245" s="15"/>
    </row>
    <row r="1246" ht="13.65" customHeight="1">
      <c r="A1246" s="8">
        <v>4</v>
      </c>
      <c r="B1246" t="s" s="9">
        <v>34</v>
      </c>
      <c r="C1246" t="s" s="9">
        <v>65</v>
      </c>
      <c r="D1246" t="s" s="9">
        <v>58</v>
      </c>
      <c r="E1246" t="s" s="9">
        <v>33</v>
      </c>
      <c r="F1246" s="10">
        <v>517</v>
      </c>
      <c r="G1246" s="14"/>
      <c r="H1246" s="15"/>
    </row>
    <row r="1247" ht="13.65" customHeight="1">
      <c r="A1247" s="8">
        <v>5</v>
      </c>
      <c r="B1247" t="s" s="9">
        <v>36</v>
      </c>
      <c r="C1247" t="s" s="9">
        <v>65</v>
      </c>
      <c r="D1247" t="s" s="9">
        <v>58</v>
      </c>
      <c r="E1247" t="s" s="9">
        <v>33</v>
      </c>
      <c r="F1247" s="10">
        <v>578</v>
      </c>
      <c r="G1247" s="14"/>
      <c r="H1247" s="15"/>
    </row>
    <row r="1248" ht="13.65" customHeight="1">
      <c r="A1248" s="8">
        <v>6</v>
      </c>
      <c r="B1248" t="s" s="9">
        <v>30</v>
      </c>
      <c r="C1248" t="s" s="9">
        <v>65</v>
      </c>
      <c r="D1248" t="s" s="9">
        <v>58</v>
      </c>
      <c r="E1248" t="s" s="9">
        <v>33</v>
      </c>
      <c r="F1248" s="10">
        <v>601</v>
      </c>
      <c r="G1248" s="14"/>
      <c r="H1248" s="15"/>
    </row>
    <row r="1249" ht="13.65" customHeight="1">
      <c r="A1249" s="8">
        <v>7</v>
      </c>
      <c r="B1249" t="s" s="9">
        <v>45</v>
      </c>
      <c r="C1249" t="s" s="9">
        <v>65</v>
      </c>
      <c r="D1249" t="s" s="9">
        <v>58</v>
      </c>
      <c r="E1249" t="s" s="9">
        <v>33</v>
      </c>
      <c r="F1249" s="10">
        <v>458</v>
      </c>
      <c r="G1249" s="14"/>
      <c r="H1249" s="15"/>
    </row>
    <row r="1250" ht="13.65" customHeight="1">
      <c r="A1250" s="8">
        <v>8</v>
      </c>
      <c r="B1250" t="s" s="9">
        <v>37</v>
      </c>
      <c r="C1250" t="s" s="9">
        <v>65</v>
      </c>
      <c r="D1250" t="s" s="9">
        <v>58</v>
      </c>
      <c r="E1250" t="s" s="9">
        <v>33</v>
      </c>
      <c r="F1250" s="10">
        <v>279</v>
      </c>
      <c r="G1250" s="14"/>
      <c r="H1250" s="15"/>
    </row>
    <row r="1251" ht="13.65" customHeight="1">
      <c r="A1251" s="8">
        <v>9</v>
      </c>
      <c r="B1251" t="s" s="9">
        <v>39</v>
      </c>
      <c r="C1251" t="s" s="9">
        <v>65</v>
      </c>
      <c r="D1251" t="s" s="9">
        <v>58</v>
      </c>
      <c r="E1251" t="s" s="9">
        <v>33</v>
      </c>
      <c r="F1251" s="10">
        <v>223</v>
      </c>
      <c r="G1251" s="14"/>
      <c r="H1251" s="15"/>
    </row>
    <row r="1252" ht="13.65" customHeight="1">
      <c r="A1252" s="8">
        <v>10</v>
      </c>
      <c r="B1252" t="s" s="9">
        <v>35</v>
      </c>
      <c r="C1252" t="s" s="9">
        <v>65</v>
      </c>
      <c r="D1252" t="s" s="9">
        <v>58</v>
      </c>
      <c r="E1252" t="s" s="9">
        <v>33</v>
      </c>
      <c r="F1252" s="10">
        <v>436</v>
      </c>
      <c r="G1252" s="16"/>
      <c r="H1252" s="17"/>
    </row>
    <row r="1253" ht="13" customHeight="1">
      <c r="A1253" s="8">
        <v>1</v>
      </c>
      <c r="B1253" t="s" s="9">
        <v>30</v>
      </c>
      <c r="C1253" t="s" s="9">
        <v>66</v>
      </c>
      <c r="D1253" t="s" s="9">
        <v>32</v>
      </c>
      <c r="E1253" t="s" s="9">
        <v>33</v>
      </c>
      <c r="F1253" s="10">
        <v>10497</v>
      </c>
      <c r="G1253" s="10">
        <v>14521657</v>
      </c>
      <c r="H1253" s="11" cm="1">
        <f t="array" ref="H1253">F1253/G1253*100000</f>
        <v>72.28513936116239</v>
      </c>
    </row>
    <row r="1254" ht="13" customHeight="1">
      <c r="A1254" s="8">
        <v>2</v>
      </c>
      <c r="B1254" t="s" s="9">
        <v>34</v>
      </c>
      <c r="C1254" t="s" s="9">
        <v>66</v>
      </c>
      <c r="D1254" t="s" s="9">
        <v>32</v>
      </c>
      <c r="E1254" t="s" s="9">
        <v>33</v>
      </c>
      <c r="F1254" s="10">
        <v>7557</v>
      </c>
      <c r="G1254" s="10">
        <v>14521657</v>
      </c>
      <c r="H1254" s="11" cm="1">
        <f t="array" ref="H1254">F1254/G1254*100000</f>
        <v>52.0395158761841</v>
      </c>
    </row>
    <row r="1255" ht="13" customHeight="1">
      <c r="A1255" s="8">
        <v>3</v>
      </c>
      <c r="B1255" t="s" s="9">
        <v>35</v>
      </c>
      <c r="C1255" t="s" s="9">
        <v>66</v>
      </c>
      <c r="D1255" t="s" s="9">
        <v>32</v>
      </c>
      <c r="E1255" t="s" s="9">
        <v>33</v>
      </c>
      <c r="F1255" s="10">
        <v>5772</v>
      </c>
      <c r="G1255" s="10">
        <v>14521657</v>
      </c>
      <c r="H1255" s="11" cm="1">
        <f t="array" ref="H1255">F1255/G1255*100000</f>
        <v>39.7475301888758</v>
      </c>
    </row>
    <row r="1256" ht="13" customHeight="1">
      <c r="A1256" s="8">
        <v>4</v>
      </c>
      <c r="B1256" t="s" s="9">
        <v>37</v>
      </c>
      <c r="C1256" t="s" s="9">
        <v>66</v>
      </c>
      <c r="D1256" t="s" s="9">
        <v>32</v>
      </c>
      <c r="E1256" t="s" s="9">
        <v>33</v>
      </c>
      <c r="F1256" s="10">
        <v>2655</v>
      </c>
      <c r="G1256" s="10">
        <v>14521657</v>
      </c>
      <c r="H1256" s="11" cm="1">
        <f t="array" ref="H1256">F1256/G1256*100000</f>
        <v>18.2830375349039</v>
      </c>
    </row>
    <row r="1257" ht="13" customHeight="1">
      <c r="A1257" s="8">
        <v>5</v>
      </c>
      <c r="B1257" t="s" s="9">
        <v>39</v>
      </c>
      <c r="C1257" t="s" s="9">
        <v>66</v>
      </c>
      <c r="D1257" t="s" s="9">
        <v>32</v>
      </c>
      <c r="E1257" t="s" s="9">
        <v>33</v>
      </c>
      <c r="F1257" s="10">
        <v>1553</v>
      </c>
      <c r="G1257" s="10">
        <v>14521657</v>
      </c>
      <c r="H1257" s="11" cm="1">
        <f t="array" ref="H1257">F1257/G1257*100000</f>
        <v>10.6943718612828</v>
      </c>
    </row>
    <row r="1258" ht="13" customHeight="1">
      <c r="A1258" s="8">
        <v>6</v>
      </c>
      <c r="B1258" t="s" s="9">
        <v>37</v>
      </c>
      <c r="C1258" t="s" s="9">
        <v>66</v>
      </c>
      <c r="D1258" t="s" s="9">
        <v>32</v>
      </c>
      <c r="E1258" t="s" s="9">
        <v>33</v>
      </c>
      <c r="F1258" s="10">
        <v>1411</v>
      </c>
      <c r="G1258" s="10">
        <v>14521657</v>
      </c>
      <c r="H1258" s="11" cm="1">
        <f t="array" ref="H1258">F1258/G1258*100000</f>
        <v>9.7165220194913</v>
      </c>
    </row>
    <row r="1259" ht="13" customHeight="1">
      <c r="A1259" s="8">
        <v>7</v>
      </c>
      <c r="B1259" t="s" s="9">
        <v>30</v>
      </c>
      <c r="C1259" t="s" s="9">
        <v>66</v>
      </c>
      <c r="D1259" t="s" s="9">
        <v>32</v>
      </c>
      <c r="E1259" t="s" s="9">
        <v>33</v>
      </c>
      <c r="F1259" s="10">
        <v>1578</v>
      </c>
      <c r="G1259" s="10">
        <v>14521657</v>
      </c>
      <c r="H1259" s="11" cm="1">
        <f t="array" ref="H1259">F1259/G1259*100000</f>
        <v>10.866528523570</v>
      </c>
    </row>
    <row r="1260" ht="13" customHeight="1">
      <c r="A1260" s="8">
        <v>8</v>
      </c>
      <c r="B1260" t="s" s="9">
        <v>30</v>
      </c>
      <c r="C1260" t="s" s="9">
        <v>66</v>
      </c>
      <c r="D1260" t="s" s="9">
        <v>32</v>
      </c>
      <c r="E1260" t="s" s="9">
        <v>33</v>
      </c>
      <c r="F1260" s="10">
        <v>1893</v>
      </c>
      <c r="G1260" s="10">
        <v>14521657</v>
      </c>
      <c r="H1260" s="11" cm="1">
        <f t="array" ref="H1260">F1260/G1260*100000</f>
        <v>13.0357024683891</v>
      </c>
    </row>
    <row r="1261" ht="13" customHeight="1">
      <c r="A1261" s="8">
        <v>9</v>
      </c>
      <c r="B1261" t="s" s="9">
        <v>30</v>
      </c>
      <c r="C1261" t="s" s="9">
        <v>66</v>
      </c>
      <c r="D1261" t="s" s="9">
        <v>32</v>
      </c>
      <c r="E1261" t="s" s="9">
        <v>33</v>
      </c>
      <c r="F1261" s="10">
        <v>1474</v>
      </c>
      <c r="G1261" s="10">
        <v>14521657</v>
      </c>
      <c r="H1261" s="11" cm="1">
        <f t="array" ref="H1261">F1261/G1261*100000</f>
        <v>10.1503568084551</v>
      </c>
    </row>
    <row r="1262" ht="13" customHeight="1">
      <c r="A1262" s="8">
        <v>10</v>
      </c>
      <c r="B1262" t="s" s="9">
        <v>36</v>
      </c>
      <c r="C1262" t="s" s="9">
        <v>66</v>
      </c>
      <c r="D1262" t="s" s="9">
        <v>32</v>
      </c>
      <c r="E1262" t="s" s="9">
        <v>33</v>
      </c>
      <c r="F1262" s="10">
        <v>1185</v>
      </c>
      <c r="G1262" s="10">
        <v>14521657</v>
      </c>
      <c r="H1262" s="11" cm="1">
        <f t="array" ref="H1262">F1262/G1262*100000</f>
        <v>8.160225792414741</v>
      </c>
    </row>
    <row r="1263" ht="13" customHeight="1">
      <c r="A1263" s="8">
        <v>1</v>
      </c>
      <c r="B1263" t="s" s="9">
        <v>30</v>
      </c>
      <c r="C1263" t="s" s="9">
        <v>66</v>
      </c>
      <c r="D1263" t="s" s="9">
        <v>38</v>
      </c>
      <c r="E1263" t="s" s="9">
        <v>33</v>
      </c>
      <c r="F1263" s="10">
        <v>5836</v>
      </c>
      <c r="G1263" s="10">
        <v>1874281</v>
      </c>
      <c r="H1263" s="11" cm="1">
        <f t="array" ref="H1263">F1263/G1263*100000</f>
        <v>311.372734397884</v>
      </c>
    </row>
    <row r="1264" ht="13" customHeight="1">
      <c r="A1264" s="8">
        <v>2</v>
      </c>
      <c r="B1264" t="s" s="9">
        <v>34</v>
      </c>
      <c r="C1264" t="s" s="9">
        <v>66</v>
      </c>
      <c r="D1264" t="s" s="9">
        <v>38</v>
      </c>
      <c r="E1264" t="s" s="9">
        <v>33</v>
      </c>
      <c r="F1264" s="10">
        <v>3993</v>
      </c>
      <c r="G1264" s="10">
        <v>1874281</v>
      </c>
      <c r="H1264" s="11" cm="1">
        <f t="array" ref="H1264">F1264/G1264*100000</f>
        <v>213.041694388408</v>
      </c>
    </row>
    <row r="1265" ht="13" customHeight="1">
      <c r="A1265" s="8">
        <v>3</v>
      </c>
      <c r="B1265" t="s" s="9">
        <v>35</v>
      </c>
      <c r="C1265" t="s" s="9">
        <v>66</v>
      </c>
      <c r="D1265" t="s" s="9">
        <v>38</v>
      </c>
      <c r="E1265" t="s" s="9">
        <v>33</v>
      </c>
      <c r="F1265" s="10">
        <v>1309</v>
      </c>
      <c r="G1265" s="10">
        <v>1874281</v>
      </c>
      <c r="H1265" s="11" cm="1">
        <f t="array" ref="H1265">F1265/G1265*100000</f>
        <v>69.8401146893129</v>
      </c>
    </row>
    <row r="1266" ht="13" customHeight="1">
      <c r="A1266" s="8">
        <v>4</v>
      </c>
      <c r="B1266" t="s" s="9">
        <v>37</v>
      </c>
      <c r="C1266" t="s" s="9">
        <v>66</v>
      </c>
      <c r="D1266" t="s" s="9">
        <v>38</v>
      </c>
      <c r="E1266" t="s" s="9">
        <v>33</v>
      </c>
      <c r="F1266" s="10">
        <v>910</v>
      </c>
      <c r="G1266" s="10">
        <v>1874281</v>
      </c>
      <c r="H1266" s="11" cm="1">
        <f t="array" ref="H1266">F1266/G1266*100000</f>
        <v>48.5519513882924</v>
      </c>
    </row>
    <row r="1267" ht="13" customHeight="1">
      <c r="A1267" s="8">
        <v>5</v>
      </c>
      <c r="B1267" t="s" s="9">
        <v>41</v>
      </c>
      <c r="C1267" t="s" s="9">
        <v>66</v>
      </c>
      <c r="D1267" t="s" s="9">
        <v>38</v>
      </c>
      <c r="E1267" t="s" s="9">
        <v>33</v>
      </c>
      <c r="F1267" s="10">
        <v>778</v>
      </c>
      <c r="G1267" s="10">
        <v>1874281</v>
      </c>
      <c r="H1267" s="11" cm="1">
        <f t="array" ref="H1267">F1267/G1267*100000</f>
        <v>41.5092507473533</v>
      </c>
    </row>
    <row r="1268" ht="13" customHeight="1">
      <c r="A1268" s="8">
        <v>6</v>
      </c>
      <c r="B1268" t="s" s="9">
        <v>37</v>
      </c>
      <c r="C1268" t="s" s="9">
        <v>66</v>
      </c>
      <c r="D1268" t="s" s="9">
        <v>38</v>
      </c>
      <c r="E1268" t="s" s="9">
        <v>33</v>
      </c>
      <c r="F1268" s="10">
        <v>682</v>
      </c>
      <c r="G1268" s="10">
        <v>1874281</v>
      </c>
      <c r="H1268" s="11" cm="1">
        <f t="array" ref="H1268">F1268/G1268*100000</f>
        <v>36.3872866448521</v>
      </c>
    </row>
    <row r="1269" ht="13" customHeight="1">
      <c r="A1269" s="8">
        <v>7</v>
      </c>
      <c r="B1269" t="s" s="9">
        <v>35</v>
      </c>
      <c r="C1269" t="s" s="9">
        <v>66</v>
      </c>
      <c r="D1269" t="s" s="9">
        <v>38</v>
      </c>
      <c r="E1269" t="s" s="9">
        <v>33</v>
      </c>
      <c r="F1269" s="10">
        <v>1051</v>
      </c>
      <c r="G1269" s="10">
        <v>1874281</v>
      </c>
      <c r="H1269" s="11" cm="1">
        <f t="array" ref="H1269">F1269/G1269*100000</f>
        <v>56.074836163841</v>
      </c>
    </row>
    <row r="1270" ht="13" customHeight="1">
      <c r="A1270" s="8">
        <v>8</v>
      </c>
      <c r="B1270" t="s" s="9">
        <v>39</v>
      </c>
      <c r="C1270" t="s" s="9">
        <v>66</v>
      </c>
      <c r="D1270" t="s" s="9">
        <v>38</v>
      </c>
      <c r="E1270" t="s" s="9">
        <v>33</v>
      </c>
      <c r="F1270" s="10">
        <v>504</v>
      </c>
      <c r="G1270" s="10">
        <v>1874281</v>
      </c>
      <c r="H1270" s="11" cm="1">
        <f t="array" ref="H1270">F1270/G1270*100000</f>
        <v>26.8903115381312</v>
      </c>
    </row>
    <row r="1271" ht="13" customHeight="1">
      <c r="A1271" s="8">
        <v>9</v>
      </c>
      <c r="B1271" t="s" s="9">
        <v>37</v>
      </c>
      <c r="C1271" t="s" s="9">
        <v>66</v>
      </c>
      <c r="D1271" t="s" s="9">
        <v>38</v>
      </c>
      <c r="E1271" t="s" s="9">
        <v>33</v>
      </c>
      <c r="F1271" s="10">
        <v>577</v>
      </c>
      <c r="G1271" s="10">
        <v>1874281</v>
      </c>
      <c r="H1271" s="11" cm="1">
        <f t="array" ref="H1271">F1271/G1271*100000</f>
        <v>30.7851384077414</v>
      </c>
    </row>
    <row r="1272" ht="13" customHeight="1">
      <c r="A1272" s="8">
        <v>10</v>
      </c>
      <c r="B1272" t="s" s="9">
        <v>41</v>
      </c>
      <c r="C1272" t="s" s="9">
        <v>66</v>
      </c>
      <c r="D1272" t="s" s="9">
        <v>38</v>
      </c>
      <c r="E1272" t="s" s="9">
        <v>33</v>
      </c>
      <c r="F1272" s="10">
        <v>465</v>
      </c>
      <c r="G1272" s="10">
        <v>1874281</v>
      </c>
      <c r="H1272" s="11" cm="1">
        <f t="array" ref="H1272">F1272/G1272*100000</f>
        <v>24.8095136214901</v>
      </c>
    </row>
    <row r="1273" ht="13" customHeight="1">
      <c r="A1273" s="8">
        <v>1</v>
      </c>
      <c r="B1273" t="s" s="9">
        <v>30</v>
      </c>
      <c r="C1273" t="s" s="9">
        <v>66</v>
      </c>
      <c r="D1273" t="s" s="9">
        <v>42</v>
      </c>
      <c r="E1273" t="s" s="9">
        <v>33</v>
      </c>
      <c r="F1273" s="10">
        <v>6808</v>
      </c>
      <c r="G1273" s="10">
        <v>5458063</v>
      </c>
      <c r="H1273" s="11" cm="1">
        <f t="array" ref="H1273">F1273/G1273*100000</f>
        <v>124.732895168121</v>
      </c>
    </row>
    <row r="1274" ht="13" customHeight="1">
      <c r="A1274" s="8">
        <v>2</v>
      </c>
      <c r="B1274" t="s" s="9">
        <v>34</v>
      </c>
      <c r="C1274" t="s" s="9">
        <v>66</v>
      </c>
      <c r="D1274" t="s" s="9">
        <v>42</v>
      </c>
      <c r="E1274" t="s" s="9">
        <v>33</v>
      </c>
      <c r="F1274" s="10">
        <v>3252</v>
      </c>
      <c r="G1274" s="10">
        <v>5458063</v>
      </c>
      <c r="H1274" s="11" cm="1">
        <f t="array" ref="H1274">F1274/G1274*100000</f>
        <v>59.581576834126</v>
      </c>
    </row>
    <row r="1275" ht="13" customHeight="1">
      <c r="A1275" s="8">
        <v>3</v>
      </c>
      <c r="B1275" t="s" s="9">
        <v>30</v>
      </c>
      <c r="C1275" t="s" s="9">
        <v>66</v>
      </c>
      <c r="D1275" t="s" s="9">
        <v>42</v>
      </c>
      <c r="E1275" t="s" s="9">
        <v>33</v>
      </c>
      <c r="F1275" s="10">
        <v>3428</v>
      </c>
      <c r="G1275" s="10">
        <v>5458063</v>
      </c>
      <c r="H1275" s="11" cm="1">
        <f t="array" ref="H1275">F1275/G1275*100000</f>
        <v>62.8061640182607</v>
      </c>
    </row>
    <row r="1276" ht="13" customHeight="1">
      <c r="A1276" s="8">
        <v>4</v>
      </c>
      <c r="B1276" t="s" s="9">
        <v>41</v>
      </c>
      <c r="C1276" t="s" s="9">
        <v>66</v>
      </c>
      <c r="D1276" t="s" s="9">
        <v>42</v>
      </c>
      <c r="E1276" t="s" s="9">
        <v>33</v>
      </c>
      <c r="F1276" s="10">
        <v>2412</v>
      </c>
      <c r="G1276" s="10">
        <v>5458063</v>
      </c>
      <c r="H1276" s="11" cm="1">
        <f t="array" ref="H1276">F1276/G1276*100000</f>
        <v>44.1915016371192</v>
      </c>
    </row>
    <row r="1277" ht="13" customHeight="1">
      <c r="A1277" s="8">
        <v>5</v>
      </c>
      <c r="B1277" t="s" s="9">
        <v>35</v>
      </c>
      <c r="C1277" t="s" s="9">
        <v>66</v>
      </c>
      <c r="D1277" t="s" s="9">
        <v>42</v>
      </c>
      <c r="E1277" t="s" s="9">
        <v>33</v>
      </c>
      <c r="F1277" s="10">
        <v>2518</v>
      </c>
      <c r="G1277" s="10">
        <v>5458063</v>
      </c>
      <c r="H1277" s="11" cm="1">
        <f t="array" ref="H1277">F1277/G1277*100000</f>
        <v>46.1335825548368</v>
      </c>
    </row>
    <row r="1278" ht="13" customHeight="1">
      <c r="A1278" s="8">
        <v>6</v>
      </c>
      <c r="B1278" t="s" s="9">
        <v>35</v>
      </c>
      <c r="C1278" t="s" s="9">
        <v>66</v>
      </c>
      <c r="D1278" t="s" s="9">
        <v>42</v>
      </c>
      <c r="E1278" t="s" s="9">
        <v>33</v>
      </c>
      <c r="F1278" s="10">
        <v>2381</v>
      </c>
      <c r="G1278" s="10">
        <v>5458063</v>
      </c>
      <c r="H1278" s="11" cm="1">
        <f t="array" ref="H1278">F1278/G1278*100000</f>
        <v>43.6235345762773</v>
      </c>
    </row>
    <row r="1279" ht="13" customHeight="1">
      <c r="A1279" s="8">
        <v>7</v>
      </c>
      <c r="B1279" t="s" s="9">
        <v>30</v>
      </c>
      <c r="C1279" t="s" s="9">
        <v>66</v>
      </c>
      <c r="D1279" t="s" s="9">
        <v>42</v>
      </c>
      <c r="E1279" t="s" s="9">
        <v>33</v>
      </c>
      <c r="F1279" s="10">
        <v>2258</v>
      </c>
      <c r="G1279" s="10">
        <v>5458063</v>
      </c>
      <c r="H1279" s="11" cm="1">
        <f t="array" ref="H1279">F1279/G1279*100000</f>
        <v>41.3699878510014</v>
      </c>
    </row>
    <row r="1280" ht="13" customHeight="1">
      <c r="A1280" s="8">
        <v>8</v>
      </c>
      <c r="B1280" t="s" s="9">
        <v>41</v>
      </c>
      <c r="C1280" t="s" s="9">
        <v>66</v>
      </c>
      <c r="D1280" t="s" s="9">
        <v>42</v>
      </c>
      <c r="E1280" t="s" s="9">
        <v>33</v>
      </c>
      <c r="F1280" s="10">
        <v>1727</v>
      </c>
      <c r="G1280" s="10">
        <v>5458063</v>
      </c>
      <c r="H1280" s="11" cm="1">
        <f t="array" ref="H1280">F1280/G1280*100000</f>
        <v>31.6412617443221</v>
      </c>
    </row>
    <row r="1281" ht="13" customHeight="1">
      <c r="A1281" s="8">
        <v>9</v>
      </c>
      <c r="B1281" t="s" s="9">
        <v>37</v>
      </c>
      <c r="C1281" t="s" s="9">
        <v>66</v>
      </c>
      <c r="D1281" t="s" s="9">
        <v>42</v>
      </c>
      <c r="E1281" t="s" s="9">
        <v>33</v>
      </c>
      <c r="F1281" s="10">
        <v>1272</v>
      </c>
      <c r="G1281" s="10">
        <v>5458063</v>
      </c>
      <c r="H1281" s="11" cm="1">
        <f t="array" ref="H1281">F1281/G1281*100000</f>
        <v>23.3049710126102</v>
      </c>
    </row>
    <row r="1282" ht="13" customHeight="1">
      <c r="A1282" s="8">
        <v>10</v>
      </c>
      <c r="B1282" t="s" s="9">
        <v>36</v>
      </c>
      <c r="C1282" t="s" s="9">
        <v>66</v>
      </c>
      <c r="D1282" t="s" s="9">
        <v>42</v>
      </c>
      <c r="E1282" t="s" s="9">
        <v>33</v>
      </c>
      <c r="F1282" s="10">
        <v>1636</v>
      </c>
      <c r="G1282" s="10">
        <v>5458063</v>
      </c>
      <c r="H1282" s="11" cm="1">
        <f t="array" ref="H1282">F1282/G1282*100000</f>
        <v>29.9740035979797</v>
      </c>
    </row>
    <row r="1283" ht="13" customHeight="1">
      <c r="A1283" s="8">
        <v>1</v>
      </c>
      <c r="B1283" t="s" s="9">
        <v>30</v>
      </c>
      <c r="C1283" t="s" s="9">
        <v>66</v>
      </c>
      <c r="D1283" t="s" s="9">
        <v>43</v>
      </c>
      <c r="E1283" t="s" s="9">
        <v>33</v>
      </c>
      <c r="F1283" s="10">
        <v>3029</v>
      </c>
      <c r="G1283" s="10">
        <v>3817144</v>
      </c>
      <c r="H1283" s="11" cm="1">
        <f t="array" ref="H1283">F1283/G1283*100000</f>
        <v>79.3525211519398</v>
      </c>
    </row>
    <row r="1284" ht="13" customHeight="1">
      <c r="A1284" s="8">
        <v>2</v>
      </c>
      <c r="B1284" t="s" s="9">
        <v>34</v>
      </c>
      <c r="C1284" t="s" s="9">
        <v>66</v>
      </c>
      <c r="D1284" t="s" s="9">
        <v>43</v>
      </c>
      <c r="E1284" t="s" s="9">
        <v>33</v>
      </c>
      <c r="F1284" s="10">
        <v>1144</v>
      </c>
      <c r="G1284" s="10">
        <v>3817144</v>
      </c>
      <c r="H1284" s="11" cm="1">
        <f t="array" ref="H1284">F1284/G1284*100000</f>
        <v>29.9700509071704</v>
      </c>
    </row>
    <row r="1285" ht="13" customHeight="1">
      <c r="A1285" s="8">
        <v>3</v>
      </c>
      <c r="B1285" t="s" s="9">
        <v>45</v>
      </c>
      <c r="C1285" t="s" s="9">
        <v>66</v>
      </c>
      <c r="D1285" t="s" s="9">
        <v>43</v>
      </c>
      <c r="E1285" t="s" s="9">
        <v>33</v>
      </c>
      <c r="F1285" s="10">
        <v>670</v>
      </c>
      <c r="G1285" s="10">
        <v>3817144</v>
      </c>
      <c r="H1285" s="11" cm="1">
        <f t="array" ref="H1285">F1285/G1285*100000</f>
        <v>17.5523899543743</v>
      </c>
    </row>
    <row r="1286" ht="13" customHeight="1">
      <c r="A1286" s="8">
        <v>4</v>
      </c>
      <c r="B1286" t="s" s="9">
        <v>30</v>
      </c>
      <c r="C1286" t="s" s="9">
        <v>66</v>
      </c>
      <c r="D1286" t="s" s="9">
        <v>43</v>
      </c>
      <c r="E1286" t="s" s="9">
        <v>33</v>
      </c>
      <c r="F1286" s="10">
        <v>555</v>
      </c>
      <c r="G1286" s="10">
        <v>3817144</v>
      </c>
      <c r="H1286" s="11" cm="1">
        <f t="array" ref="H1286">F1286/G1286*100000</f>
        <v>14.5396663054891</v>
      </c>
    </row>
    <row r="1287" ht="13" customHeight="1">
      <c r="A1287" s="8">
        <v>5</v>
      </c>
      <c r="B1287" t="s" s="9">
        <v>30</v>
      </c>
      <c r="C1287" t="s" s="9">
        <v>66</v>
      </c>
      <c r="D1287" t="s" s="9">
        <v>43</v>
      </c>
      <c r="E1287" t="s" s="9">
        <v>33</v>
      </c>
      <c r="F1287" s="10">
        <v>584</v>
      </c>
      <c r="G1287" s="10">
        <v>3817144</v>
      </c>
      <c r="H1287" s="11" cm="1">
        <f t="array" ref="H1287">F1287/G1287*100000</f>
        <v>15.2993966169471</v>
      </c>
    </row>
    <row r="1288" ht="13" customHeight="1">
      <c r="A1288" s="8">
        <v>6</v>
      </c>
      <c r="B1288" t="s" s="9">
        <v>39</v>
      </c>
      <c r="C1288" t="s" s="9">
        <v>66</v>
      </c>
      <c r="D1288" t="s" s="9">
        <v>43</v>
      </c>
      <c r="E1288" t="s" s="9">
        <v>33</v>
      </c>
      <c r="F1288" s="10">
        <v>348</v>
      </c>
      <c r="G1288" s="10">
        <v>3817144</v>
      </c>
      <c r="H1288" s="11" cm="1">
        <f t="array" ref="H1288">F1288/G1288*100000</f>
        <v>9.116763737495891</v>
      </c>
    </row>
    <row r="1289" ht="13" customHeight="1">
      <c r="A1289" s="8">
        <v>7</v>
      </c>
      <c r="B1289" t="s" s="9">
        <v>35</v>
      </c>
      <c r="C1289" t="s" s="9">
        <v>66</v>
      </c>
      <c r="D1289" t="s" s="9">
        <v>43</v>
      </c>
      <c r="E1289" t="s" s="9">
        <v>33</v>
      </c>
      <c r="F1289" s="10">
        <v>702</v>
      </c>
      <c r="G1289" s="10">
        <v>3817144</v>
      </c>
      <c r="H1289" s="11" cm="1">
        <f t="array" ref="H1289">F1289/G1289*100000</f>
        <v>18.3907130566727</v>
      </c>
    </row>
    <row r="1290" ht="13" customHeight="1">
      <c r="A1290" s="8">
        <v>8</v>
      </c>
      <c r="B1290" t="s" s="9">
        <v>36</v>
      </c>
      <c r="C1290" t="s" s="9">
        <v>66</v>
      </c>
      <c r="D1290" t="s" s="9">
        <v>43</v>
      </c>
      <c r="E1290" t="s" s="9">
        <v>33</v>
      </c>
      <c r="F1290" s="10">
        <v>493</v>
      </c>
      <c r="G1290" s="10">
        <v>3817144</v>
      </c>
      <c r="H1290" s="11" cm="1">
        <f t="array" ref="H1290">F1290/G1290*100000</f>
        <v>12.9154152947858</v>
      </c>
    </row>
    <row r="1291" ht="13" customHeight="1">
      <c r="A1291" s="8">
        <v>9</v>
      </c>
      <c r="B1291" t="s" s="9">
        <v>37</v>
      </c>
      <c r="C1291" t="s" s="9">
        <v>66</v>
      </c>
      <c r="D1291" t="s" s="9">
        <v>43</v>
      </c>
      <c r="E1291" t="s" s="9">
        <v>33</v>
      </c>
      <c r="F1291" s="10">
        <v>366</v>
      </c>
      <c r="G1291" s="10">
        <v>3817144</v>
      </c>
      <c r="H1291" s="11" cm="1">
        <f t="array" ref="H1291">F1291/G1291*100000</f>
        <v>9.58832048253878</v>
      </c>
    </row>
    <row r="1292" ht="13" customHeight="1">
      <c r="A1292" s="8">
        <v>10</v>
      </c>
      <c r="B1292" t="s" s="9">
        <v>30</v>
      </c>
      <c r="C1292" t="s" s="9">
        <v>66</v>
      </c>
      <c r="D1292" t="s" s="9">
        <v>43</v>
      </c>
      <c r="E1292" t="s" s="9">
        <v>33</v>
      </c>
      <c r="F1292" s="10">
        <v>341</v>
      </c>
      <c r="G1292" s="10">
        <v>3817144</v>
      </c>
      <c r="H1292" s="11" cm="1">
        <f t="array" ref="H1292">F1292/G1292*100000</f>
        <v>8.9333805588681</v>
      </c>
    </row>
    <row r="1293" ht="13" customHeight="1">
      <c r="A1293" s="8">
        <v>1</v>
      </c>
      <c r="B1293" t="s" s="9">
        <v>30</v>
      </c>
      <c r="C1293" t="s" s="9">
        <v>66</v>
      </c>
      <c r="D1293" t="s" s="9">
        <v>44</v>
      </c>
      <c r="E1293" t="s" s="9">
        <v>33</v>
      </c>
      <c r="F1293" s="10">
        <v>14294</v>
      </c>
      <c r="G1293" s="10">
        <v>13239670</v>
      </c>
      <c r="H1293" s="11" cm="1">
        <f t="array" ref="H1293">F1293/G1293*100000</f>
        <v>107.963416006592</v>
      </c>
    </row>
    <row r="1294" ht="13" customHeight="1">
      <c r="A1294" s="8">
        <v>2</v>
      </c>
      <c r="B1294" t="s" s="9">
        <v>34</v>
      </c>
      <c r="C1294" t="s" s="9">
        <v>66</v>
      </c>
      <c r="D1294" t="s" s="9">
        <v>44</v>
      </c>
      <c r="E1294" t="s" s="9">
        <v>33</v>
      </c>
      <c r="F1294" s="10">
        <v>7108</v>
      </c>
      <c r="G1294" s="10">
        <v>13239670</v>
      </c>
      <c r="H1294" s="11" cm="1">
        <f t="array" ref="H1294">F1294/G1294*100000</f>
        <v>53.687138727778</v>
      </c>
    </row>
    <row r="1295" ht="13" customHeight="1">
      <c r="A1295" s="8">
        <v>3</v>
      </c>
      <c r="B1295" t="s" s="9">
        <v>35</v>
      </c>
      <c r="C1295" t="s" s="9">
        <v>66</v>
      </c>
      <c r="D1295" t="s" s="9">
        <v>44</v>
      </c>
      <c r="E1295" t="s" s="9">
        <v>33</v>
      </c>
      <c r="F1295" s="10">
        <v>4355</v>
      </c>
      <c r="G1295" s="10">
        <v>13239670</v>
      </c>
      <c r="H1295" s="11" cm="1">
        <f t="array" ref="H1295">F1295/G1295*100000</f>
        <v>32.8935690995319</v>
      </c>
    </row>
    <row r="1296" ht="13" customHeight="1">
      <c r="A1296" s="8">
        <v>4</v>
      </c>
      <c r="B1296" t="s" s="9">
        <v>30</v>
      </c>
      <c r="C1296" t="s" s="9">
        <v>66</v>
      </c>
      <c r="D1296" t="s" s="9">
        <v>44</v>
      </c>
      <c r="E1296" t="s" s="9">
        <v>33</v>
      </c>
      <c r="F1296" s="10">
        <v>3387</v>
      </c>
      <c r="G1296" s="10">
        <v>13239670</v>
      </c>
      <c r="H1296" s="11" cm="1">
        <f t="array" ref="H1296">F1296/G1296*100000</f>
        <v>25.5822086200034</v>
      </c>
    </row>
    <row r="1297" ht="13" customHeight="1">
      <c r="A1297" s="8">
        <v>5</v>
      </c>
      <c r="B1297" t="s" s="9">
        <v>37</v>
      </c>
      <c r="C1297" t="s" s="9">
        <v>66</v>
      </c>
      <c r="D1297" t="s" s="9">
        <v>44</v>
      </c>
      <c r="E1297" t="s" s="9">
        <v>33</v>
      </c>
      <c r="F1297" s="10">
        <v>2585</v>
      </c>
      <c r="G1297" s="10">
        <v>13239670</v>
      </c>
      <c r="H1297" s="11" cm="1">
        <f t="array" ref="H1297">F1297/G1297*100000</f>
        <v>19.5246558260138</v>
      </c>
    </row>
    <row r="1298" ht="13" customHeight="1">
      <c r="A1298" s="8">
        <v>6</v>
      </c>
      <c r="B1298" t="s" s="9">
        <v>30</v>
      </c>
      <c r="C1298" t="s" s="9">
        <v>66</v>
      </c>
      <c r="D1298" t="s" s="9">
        <v>44</v>
      </c>
      <c r="E1298" t="s" s="9">
        <v>33</v>
      </c>
      <c r="F1298" s="10">
        <v>2611</v>
      </c>
      <c r="G1298" s="10">
        <v>13239670</v>
      </c>
      <c r="H1298" s="11" cm="1">
        <f t="array" ref="H1298">F1298/G1298*100000</f>
        <v>19.7210353430259</v>
      </c>
    </row>
    <row r="1299" ht="13" customHeight="1">
      <c r="A1299" s="8">
        <v>7</v>
      </c>
      <c r="B1299" t="s" s="9">
        <v>39</v>
      </c>
      <c r="C1299" t="s" s="9">
        <v>66</v>
      </c>
      <c r="D1299" t="s" s="9">
        <v>44</v>
      </c>
      <c r="E1299" t="s" s="9">
        <v>33</v>
      </c>
      <c r="F1299" s="10">
        <v>1500</v>
      </c>
      <c r="G1299" s="10">
        <v>13239670</v>
      </c>
      <c r="H1299" s="11" cm="1">
        <f t="array" ref="H1299">F1299/G1299*100000</f>
        <v>11.3295875199306</v>
      </c>
    </row>
    <row r="1300" ht="13" customHeight="1">
      <c r="A1300" s="8">
        <v>8</v>
      </c>
      <c r="B1300" t="s" s="9">
        <v>41</v>
      </c>
      <c r="C1300" t="s" s="9">
        <v>66</v>
      </c>
      <c r="D1300" t="s" s="9">
        <v>44</v>
      </c>
      <c r="E1300" t="s" s="9">
        <v>33</v>
      </c>
      <c r="F1300" s="10">
        <v>1279</v>
      </c>
      <c r="G1300" s="10">
        <v>13239670</v>
      </c>
      <c r="H1300" s="11" cm="1">
        <f t="array" ref="H1300">F1300/G1300*100000</f>
        <v>9.66036162532752</v>
      </c>
    </row>
    <row r="1301" ht="13" customHeight="1">
      <c r="A1301" s="8">
        <v>9</v>
      </c>
      <c r="B1301" t="s" s="9">
        <v>41</v>
      </c>
      <c r="C1301" t="s" s="9">
        <v>66</v>
      </c>
      <c r="D1301" t="s" s="9">
        <v>44</v>
      </c>
      <c r="E1301" t="s" s="9">
        <v>33</v>
      </c>
      <c r="F1301" s="10">
        <v>1654</v>
      </c>
      <c r="G1301" s="10">
        <v>13239670</v>
      </c>
      <c r="H1301" s="11" cm="1">
        <f t="array" ref="H1301">F1301/G1301*100000</f>
        <v>12.4927585053102</v>
      </c>
    </row>
    <row r="1302" ht="13" customHeight="1">
      <c r="A1302" s="8">
        <v>10</v>
      </c>
      <c r="B1302" t="s" s="9">
        <v>36</v>
      </c>
      <c r="C1302" t="s" s="9">
        <v>66</v>
      </c>
      <c r="D1302" t="s" s="9">
        <v>44</v>
      </c>
      <c r="E1302" t="s" s="9">
        <v>33</v>
      </c>
      <c r="F1302" s="10">
        <v>1667</v>
      </c>
      <c r="G1302" s="10">
        <v>13239670</v>
      </c>
      <c r="H1302" s="11" cm="1">
        <f t="array" ref="H1302">F1302/G1302*100000</f>
        <v>12.5909482638162</v>
      </c>
    </row>
    <row r="1303" ht="13" customHeight="1">
      <c r="A1303" s="8">
        <v>1</v>
      </c>
      <c r="B1303" t="s" s="9">
        <v>30</v>
      </c>
      <c r="C1303" t="s" s="9">
        <v>66</v>
      </c>
      <c r="D1303" t="s" s="9">
        <v>46</v>
      </c>
      <c r="E1303" t="s" s="9">
        <v>33</v>
      </c>
      <c r="F1303" s="10">
        <v>11105</v>
      </c>
      <c r="G1303" s="10">
        <v>17477569</v>
      </c>
      <c r="H1303" s="11" cm="1">
        <f t="array" ref="H1303">F1303/G1303*100000</f>
        <v>63.538584799751</v>
      </c>
    </row>
    <row r="1304" ht="13" customHeight="1">
      <c r="A1304" s="8">
        <v>2</v>
      </c>
      <c r="B1304" t="s" s="9">
        <v>35</v>
      </c>
      <c r="C1304" t="s" s="9">
        <v>66</v>
      </c>
      <c r="D1304" t="s" s="9">
        <v>46</v>
      </c>
      <c r="E1304" t="s" s="9">
        <v>33</v>
      </c>
      <c r="F1304" s="10">
        <v>5680</v>
      </c>
      <c r="G1304" s="10">
        <v>17477569</v>
      </c>
      <c r="H1304" s="11" cm="1">
        <f t="array" ref="H1304">F1304/G1304*100000</f>
        <v>32.4987988890217</v>
      </c>
    </row>
    <row r="1305" ht="13" customHeight="1">
      <c r="A1305" s="8">
        <v>3</v>
      </c>
      <c r="B1305" t="s" s="9">
        <v>30</v>
      </c>
      <c r="C1305" t="s" s="9">
        <v>66</v>
      </c>
      <c r="D1305" t="s" s="9">
        <v>46</v>
      </c>
      <c r="E1305" t="s" s="9">
        <v>33</v>
      </c>
      <c r="F1305" s="10">
        <v>5138</v>
      </c>
      <c r="G1305" s="10">
        <v>17477569</v>
      </c>
      <c r="H1305" s="11" cm="1">
        <f t="array" ref="H1305">F1305/G1305*100000</f>
        <v>29.3976811077101</v>
      </c>
    </row>
    <row r="1306" ht="13" customHeight="1">
      <c r="A1306" s="8">
        <v>4</v>
      </c>
      <c r="B1306" t="s" s="9">
        <v>30</v>
      </c>
      <c r="C1306" t="s" s="9">
        <v>66</v>
      </c>
      <c r="D1306" t="s" s="9">
        <v>46</v>
      </c>
      <c r="E1306" t="s" s="9">
        <v>33</v>
      </c>
      <c r="F1306" s="10">
        <v>3856</v>
      </c>
      <c r="G1306" s="10">
        <v>17477569</v>
      </c>
      <c r="H1306" s="11" cm="1">
        <f t="array" ref="H1306">F1306/G1306*100000</f>
        <v>22.0625648795894</v>
      </c>
    </row>
    <row r="1307" ht="13" customHeight="1">
      <c r="A1307" s="8">
        <v>5</v>
      </c>
      <c r="B1307" t="s" s="9">
        <v>34</v>
      </c>
      <c r="C1307" t="s" s="9">
        <v>66</v>
      </c>
      <c r="D1307" t="s" s="9">
        <v>46</v>
      </c>
      <c r="E1307" t="s" s="9">
        <v>33</v>
      </c>
      <c r="F1307" s="10">
        <v>2848</v>
      </c>
      <c r="G1307" s="10">
        <v>17477569</v>
      </c>
      <c r="H1307" s="11" cm="1">
        <f t="array" ref="H1307">F1307/G1307*100000</f>
        <v>16.2951724006926</v>
      </c>
    </row>
    <row r="1308" ht="13" customHeight="1">
      <c r="A1308" s="8">
        <v>6</v>
      </c>
      <c r="B1308" t="s" s="9">
        <v>39</v>
      </c>
      <c r="C1308" t="s" s="9">
        <v>66</v>
      </c>
      <c r="D1308" t="s" s="9">
        <v>46</v>
      </c>
      <c r="E1308" t="s" s="9">
        <v>33</v>
      </c>
      <c r="F1308" s="10">
        <v>2239</v>
      </c>
      <c r="G1308" s="10">
        <v>17477569</v>
      </c>
      <c r="H1308" s="11" cm="1">
        <f t="array" ref="H1308">F1308/G1308*100000</f>
        <v>12.8107061113591</v>
      </c>
    </row>
    <row r="1309" ht="13" customHeight="1">
      <c r="A1309" s="8">
        <v>7</v>
      </c>
      <c r="B1309" t="s" s="9">
        <v>41</v>
      </c>
      <c r="C1309" t="s" s="9">
        <v>66</v>
      </c>
      <c r="D1309" t="s" s="9">
        <v>46</v>
      </c>
      <c r="E1309" t="s" s="9">
        <v>33</v>
      </c>
      <c r="F1309" s="10">
        <v>2097</v>
      </c>
      <c r="G1309" s="10">
        <v>17477569</v>
      </c>
      <c r="H1309" s="11" cm="1">
        <f t="array" ref="H1309">F1309/G1309*100000</f>
        <v>11.9982361391335</v>
      </c>
    </row>
    <row r="1310" ht="13" customHeight="1">
      <c r="A1310" s="8">
        <v>8</v>
      </c>
      <c r="B1310" t="s" s="9">
        <v>37</v>
      </c>
      <c r="C1310" t="s" s="9">
        <v>66</v>
      </c>
      <c r="D1310" t="s" s="9">
        <v>46</v>
      </c>
      <c r="E1310" t="s" s="9">
        <v>33</v>
      </c>
      <c r="F1310" s="10">
        <v>934</v>
      </c>
      <c r="G1310" s="10">
        <v>17477569</v>
      </c>
      <c r="H1310" s="11" cm="1">
        <f t="array" ref="H1310">F1310/G1310*100000</f>
        <v>5.34399263421589</v>
      </c>
    </row>
    <row r="1311" ht="13" customHeight="1">
      <c r="A1311" s="8">
        <v>9</v>
      </c>
      <c r="B1311" t="s" s="9">
        <v>45</v>
      </c>
      <c r="C1311" t="s" s="9">
        <v>66</v>
      </c>
      <c r="D1311" t="s" s="9">
        <v>46</v>
      </c>
      <c r="E1311" t="s" s="9">
        <v>33</v>
      </c>
      <c r="F1311" s="10">
        <v>1139</v>
      </c>
      <c r="G1311" s="10">
        <v>17477569</v>
      </c>
      <c r="H1311" s="11" cm="1">
        <f t="array" ref="H1311">F1311/G1311*100000</f>
        <v>6.51692463637248</v>
      </c>
    </row>
    <row r="1312" ht="13" customHeight="1">
      <c r="A1312" s="8">
        <v>10</v>
      </c>
      <c r="B1312" t="s" s="9">
        <v>35</v>
      </c>
      <c r="C1312" t="s" s="9">
        <v>66</v>
      </c>
      <c r="D1312" t="s" s="9">
        <v>46</v>
      </c>
      <c r="E1312" t="s" s="9">
        <v>33</v>
      </c>
      <c r="F1312" s="10">
        <v>1134</v>
      </c>
      <c r="G1312" s="10">
        <v>17477569</v>
      </c>
      <c r="H1312" s="11" cm="1">
        <f t="array" ref="H1312">F1312/G1312*100000</f>
        <v>6.48831653875891</v>
      </c>
    </row>
    <row r="1313" ht="13" customHeight="1">
      <c r="A1313" s="8">
        <v>1</v>
      </c>
      <c r="B1313" t="s" s="9">
        <v>30</v>
      </c>
      <c r="C1313" t="s" s="9">
        <v>66</v>
      </c>
      <c r="D1313" t="s" s="9">
        <v>47</v>
      </c>
      <c r="E1313" t="s" s="9">
        <v>33</v>
      </c>
      <c r="F1313" s="10">
        <v>2302</v>
      </c>
      <c r="G1313" s="10">
        <v>3342831</v>
      </c>
      <c r="H1313" s="11" cm="1">
        <f t="array" ref="H1313">F1313/G1313*100000</f>
        <v>68.8637864133724</v>
      </c>
    </row>
    <row r="1314" ht="13" customHeight="1">
      <c r="A1314" s="8">
        <v>2</v>
      </c>
      <c r="B1314" t="s" s="9">
        <v>35</v>
      </c>
      <c r="C1314" t="s" s="9">
        <v>66</v>
      </c>
      <c r="D1314" t="s" s="9">
        <v>47</v>
      </c>
      <c r="E1314" t="s" s="9">
        <v>33</v>
      </c>
      <c r="F1314" s="10">
        <v>1950</v>
      </c>
      <c r="G1314" s="10">
        <v>3342831</v>
      </c>
      <c r="H1314" s="11" cm="1">
        <f t="array" ref="H1314">F1314/G1314*100000</f>
        <v>58.3337895334822</v>
      </c>
    </row>
    <row r="1315" ht="13" customHeight="1">
      <c r="A1315" s="8">
        <v>3</v>
      </c>
      <c r="B1315" t="s" s="9">
        <v>34</v>
      </c>
      <c r="C1315" t="s" s="9">
        <v>66</v>
      </c>
      <c r="D1315" t="s" s="9">
        <v>47</v>
      </c>
      <c r="E1315" t="s" s="9">
        <v>33</v>
      </c>
      <c r="F1315" s="10">
        <v>486</v>
      </c>
      <c r="G1315" s="10">
        <v>3342831</v>
      </c>
      <c r="H1315" s="11" cm="1">
        <f t="array" ref="H1315">F1315/G1315*100000</f>
        <v>14.5385752375756</v>
      </c>
    </row>
    <row r="1316" ht="13" customHeight="1">
      <c r="A1316" s="8">
        <v>4</v>
      </c>
      <c r="B1316" t="s" s="9">
        <v>39</v>
      </c>
      <c r="C1316" t="s" s="9">
        <v>66</v>
      </c>
      <c r="D1316" t="s" s="9">
        <v>47</v>
      </c>
      <c r="E1316" t="s" s="9">
        <v>33</v>
      </c>
      <c r="F1316" s="10">
        <v>352</v>
      </c>
      <c r="G1316" s="10">
        <v>3342831</v>
      </c>
      <c r="H1316" s="11" cm="1">
        <f t="array" ref="H1316">F1316/G1316*100000</f>
        <v>10.5299968798901</v>
      </c>
    </row>
    <row r="1317" ht="13" customHeight="1">
      <c r="A1317" s="8">
        <v>5</v>
      </c>
      <c r="B1317" t="s" s="9">
        <v>45</v>
      </c>
      <c r="C1317" t="s" s="9">
        <v>66</v>
      </c>
      <c r="D1317" t="s" s="9">
        <v>47</v>
      </c>
      <c r="E1317" t="s" s="9">
        <v>33</v>
      </c>
      <c r="F1317" s="10">
        <v>524</v>
      </c>
      <c r="G1317" s="10">
        <v>3342831</v>
      </c>
      <c r="H1317" s="11" cm="1">
        <f t="array" ref="H1317">F1317/G1317*100000</f>
        <v>15.6753362643819</v>
      </c>
    </row>
    <row r="1318" ht="13" customHeight="1">
      <c r="A1318" s="8">
        <v>6</v>
      </c>
      <c r="B1318" t="s" s="9">
        <v>30</v>
      </c>
      <c r="C1318" t="s" s="9">
        <v>66</v>
      </c>
      <c r="D1318" t="s" s="9">
        <v>47</v>
      </c>
      <c r="E1318" t="s" s="9">
        <v>33</v>
      </c>
      <c r="F1318" s="10">
        <v>438</v>
      </c>
      <c r="G1318" s="10">
        <v>3342831</v>
      </c>
      <c r="H1318" s="11" cm="1">
        <f t="array" ref="H1318">F1318/G1318*100000</f>
        <v>13.102666572136</v>
      </c>
    </row>
    <row r="1319" ht="13" customHeight="1">
      <c r="A1319" s="8">
        <v>7</v>
      </c>
      <c r="B1319" t="s" s="9">
        <v>30</v>
      </c>
      <c r="C1319" t="s" s="9">
        <v>66</v>
      </c>
      <c r="D1319" t="s" s="9">
        <v>47</v>
      </c>
      <c r="E1319" t="s" s="9">
        <v>33</v>
      </c>
      <c r="F1319" s="10">
        <v>322</v>
      </c>
      <c r="G1319" s="10">
        <v>3342831</v>
      </c>
      <c r="H1319" s="11" cm="1">
        <f t="array" ref="H1319">F1319/G1319*100000</f>
        <v>9.6325539639904</v>
      </c>
    </row>
    <row r="1320" ht="13" customHeight="1">
      <c r="A1320" s="8">
        <v>8</v>
      </c>
      <c r="B1320" t="s" s="9">
        <v>35</v>
      </c>
      <c r="C1320" t="s" s="9">
        <v>66</v>
      </c>
      <c r="D1320" t="s" s="9">
        <v>47</v>
      </c>
      <c r="E1320" t="s" s="9">
        <v>33</v>
      </c>
      <c r="F1320" s="10">
        <v>324</v>
      </c>
      <c r="G1320" s="10">
        <v>3342831</v>
      </c>
      <c r="H1320" s="11" cm="1">
        <f t="array" ref="H1320">F1320/G1320*100000</f>
        <v>9.692383491717051</v>
      </c>
    </row>
    <row r="1321" ht="13" customHeight="1">
      <c r="A1321" s="8">
        <v>9</v>
      </c>
      <c r="B1321" t="s" s="9">
        <v>30</v>
      </c>
      <c r="C1321" t="s" s="9">
        <v>66</v>
      </c>
      <c r="D1321" t="s" s="9">
        <v>47</v>
      </c>
      <c r="E1321" t="s" s="9">
        <v>33</v>
      </c>
      <c r="F1321" s="10">
        <v>240</v>
      </c>
      <c r="G1321" s="10">
        <v>3342831</v>
      </c>
      <c r="H1321" s="11" cm="1">
        <f t="array" ref="H1321">F1321/G1321*100000</f>
        <v>7.17954332719782</v>
      </c>
    </row>
    <row r="1322" ht="13" customHeight="1">
      <c r="A1322" s="8">
        <v>10</v>
      </c>
      <c r="B1322" t="s" s="9">
        <v>41</v>
      </c>
      <c r="C1322" t="s" s="9">
        <v>66</v>
      </c>
      <c r="D1322" t="s" s="9">
        <v>47</v>
      </c>
      <c r="E1322" t="s" s="9">
        <v>33</v>
      </c>
      <c r="F1322" s="10">
        <v>141</v>
      </c>
      <c r="G1322" s="10">
        <v>3342831</v>
      </c>
      <c r="H1322" s="11" cm="1">
        <f t="array" ref="H1322">F1322/G1322*100000</f>
        <v>4.21798170472872</v>
      </c>
    </row>
    <row r="1323" ht="13" customHeight="1">
      <c r="A1323" s="8">
        <v>1</v>
      </c>
      <c r="B1323" t="s" s="9">
        <v>30</v>
      </c>
      <c r="C1323" t="s" s="9">
        <v>66</v>
      </c>
      <c r="D1323" t="s" s="9">
        <v>49</v>
      </c>
      <c r="E1323" t="s" s="9">
        <v>33</v>
      </c>
      <c r="F1323" s="10">
        <v>4576</v>
      </c>
      <c r="G1323" s="10">
        <v>6397690</v>
      </c>
      <c r="H1323" s="11" cm="1">
        <f t="array" ref="H1323">F1323/G1323*100000</f>
        <v>71.5258163493386</v>
      </c>
    </row>
    <row r="1324" ht="13" customHeight="1">
      <c r="A1324" s="8">
        <v>2</v>
      </c>
      <c r="B1324" t="s" s="9">
        <v>34</v>
      </c>
      <c r="C1324" t="s" s="9">
        <v>66</v>
      </c>
      <c r="D1324" t="s" s="9">
        <v>49</v>
      </c>
      <c r="E1324" t="s" s="9">
        <v>33</v>
      </c>
      <c r="F1324" s="10">
        <v>2913</v>
      </c>
      <c r="G1324" s="10">
        <v>6397690</v>
      </c>
      <c r="H1324" s="11" cm="1">
        <f t="array" ref="H1324">F1324/G1324*100000</f>
        <v>45.5320592276275</v>
      </c>
    </row>
    <row r="1325" ht="13" customHeight="1">
      <c r="A1325" s="8">
        <v>3</v>
      </c>
      <c r="B1325" t="s" s="9">
        <v>35</v>
      </c>
      <c r="C1325" t="s" s="9">
        <v>66</v>
      </c>
      <c r="D1325" t="s" s="9">
        <v>49</v>
      </c>
      <c r="E1325" t="s" s="9">
        <v>33</v>
      </c>
      <c r="F1325" s="10">
        <v>1948</v>
      </c>
      <c r="G1325" s="10">
        <v>6397690</v>
      </c>
      <c r="H1325" s="11" cm="1">
        <f t="array" ref="H1325">F1325/G1325*100000</f>
        <v>30.448490001860</v>
      </c>
    </row>
    <row r="1326" ht="13" customHeight="1">
      <c r="A1326" s="8">
        <v>4</v>
      </c>
      <c r="B1326" t="s" s="9">
        <v>39</v>
      </c>
      <c r="C1326" t="s" s="9">
        <v>66</v>
      </c>
      <c r="D1326" t="s" s="9">
        <v>49</v>
      </c>
      <c r="E1326" t="s" s="9">
        <v>33</v>
      </c>
      <c r="F1326" s="10">
        <v>815</v>
      </c>
      <c r="G1326" s="10">
        <v>6397690</v>
      </c>
      <c r="H1326" s="11" cm="1">
        <f t="array" ref="H1326">F1326/G1326*100000</f>
        <v>12.7389729730575</v>
      </c>
    </row>
    <row r="1327" ht="13" customHeight="1">
      <c r="A1327" s="8">
        <v>5</v>
      </c>
      <c r="B1327" t="s" s="9">
        <v>36</v>
      </c>
      <c r="C1327" t="s" s="9">
        <v>66</v>
      </c>
      <c r="D1327" t="s" s="9">
        <v>49</v>
      </c>
      <c r="E1327" t="s" s="9">
        <v>33</v>
      </c>
      <c r="F1327" s="10">
        <v>899</v>
      </c>
      <c r="G1327" s="10">
        <v>6397690</v>
      </c>
      <c r="H1327" s="11" cm="1">
        <f t="array" ref="H1327">F1327/G1327*100000</f>
        <v>14.051946874575</v>
      </c>
    </row>
    <row r="1328" ht="13" customHeight="1">
      <c r="A1328" s="8">
        <v>6</v>
      </c>
      <c r="B1328" t="s" s="9">
        <v>37</v>
      </c>
      <c r="C1328" t="s" s="9">
        <v>66</v>
      </c>
      <c r="D1328" t="s" s="9">
        <v>49</v>
      </c>
      <c r="E1328" t="s" s="9">
        <v>33</v>
      </c>
      <c r="F1328" s="10">
        <v>649</v>
      </c>
      <c r="G1328" s="10">
        <v>6397690</v>
      </c>
      <c r="H1328" s="11" cm="1">
        <f t="array" ref="H1328">F1328/G1328*100000</f>
        <v>10.1442864533918</v>
      </c>
    </row>
    <row r="1329" ht="13" customHeight="1">
      <c r="A1329" s="8">
        <v>7</v>
      </c>
      <c r="B1329" t="s" s="9">
        <v>30</v>
      </c>
      <c r="C1329" t="s" s="9">
        <v>66</v>
      </c>
      <c r="D1329" t="s" s="9">
        <v>49</v>
      </c>
      <c r="E1329" t="s" s="9">
        <v>33</v>
      </c>
      <c r="F1329" s="10">
        <v>763</v>
      </c>
      <c r="G1329" s="10">
        <v>6397690</v>
      </c>
      <c r="H1329" s="11" cm="1">
        <f t="array" ref="H1329">F1329/G1329*100000</f>
        <v>11.9261796054513</v>
      </c>
    </row>
    <row r="1330" ht="13" customHeight="1">
      <c r="A1330" s="8">
        <v>8</v>
      </c>
      <c r="B1330" t="s" s="9">
        <v>36</v>
      </c>
      <c r="C1330" t="s" s="9">
        <v>66</v>
      </c>
      <c r="D1330" t="s" s="9">
        <v>49</v>
      </c>
      <c r="E1330" t="s" s="9">
        <v>33</v>
      </c>
      <c r="F1330" s="10">
        <v>845</v>
      </c>
      <c r="G1330" s="10">
        <v>6397690</v>
      </c>
      <c r="H1330" s="11" cm="1">
        <f t="array" ref="H1330">F1330/G1330*100000</f>
        <v>13.2078922235995</v>
      </c>
    </row>
    <row r="1331" ht="13" customHeight="1">
      <c r="A1331" s="8">
        <v>9</v>
      </c>
      <c r="B1331" t="s" s="9">
        <v>41</v>
      </c>
      <c r="C1331" t="s" s="9">
        <v>66</v>
      </c>
      <c r="D1331" t="s" s="9">
        <v>49</v>
      </c>
      <c r="E1331" t="s" s="9">
        <v>33</v>
      </c>
      <c r="F1331" s="10">
        <v>686</v>
      </c>
      <c r="G1331" s="10">
        <v>6397690</v>
      </c>
      <c r="H1331" s="11" cm="1">
        <f t="array" ref="H1331">F1331/G1331*100000</f>
        <v>10.7226201957269</v>
      </c>
    </row>
    <row r="1332" ht="13" customHeight="1">
      <c r="A1332" s="8">
        <v>10</v>
      </c>
      <c r="B1332" t="s" s="9">
        <v>30</v>
      </c>
      <c r="C1332" t="s" s="9">
        <v>66</v>
      </c>
      <c r="D1332" t="s" s="9">
        <v>49</v>
      </c>
      <c r="E1332" t="s" s="9">
        <v>33</v>
      </c>
      <c r="F1332" s="10">
        <v>750</v>
      </c>
      <c r="G1332" s="10">
        <v>6397690</v>
      </c>
      <c r="H1332" s="11" cm="1">
        <f t="array" ref="H1332">F1332/G1332*100000</f>
        <v>11.7229812635498</v>
      </c>
    </row>
    <row r="1333" ht="13.65" customHeight="1">
      <c r="A1333" s="8">
        <v>1</v>
      </c>
      <c r="B1333" t="s" s="9">
        <v>30</v>
      </c>
      <c r="C1333" t="s" s="9">
        <v>66</v>
      </c>
      <c r="D1333" t="s" s="9">
        <v>51</v>
      </c>
      <c r="E1333" t="s" s="9">
        <v>33</v>
      </c>
      <c r="F1333" s="10">
        <v>2328</v>
      </c>
      <c r="G1333" s="12"/>
      <c r="H1333" s="13"/>
    </row>
    <row r="1334" ht="13.65" customHeight="1">
      <c r="A1334" s="8">
        <v>2</v>
      </c>
      <c r="B1334" t="s" s="9">
        <v>34</v>
      </c>
      <c r="C1334" t="s" s="9">
        <v>66</v>
      </c>
      <c r="D1334" t="s" s="9">
        <v>51</v>
      </c>
      <c r="E1334" t="s" s="9">
        <v>33</v>
      </c>
      <c r="F1334" s="10">
        <v>1413</v>
      </c>
      <c r="G1334" s="14"/>
      <c r="H1334" s="15"/>
    </row>
    <row r="1335" ht="13.65" customHeight="1">
      <c r="A1335" s="8">
        <v>3</v>
      </c>
      <c r="B1335" t="s" s="9">
        <v>30</v>
      </c>
      <c r="C1335" t="s" s="9">
        <v>66</v>
      </c>
      <c r="D1335" t="s" s="9">
        <v>51</v>
      </c>
      <c r="E1335" t="s" s="9">
        <v>33</v>
      </c>
      <c r="F1335" s="10">
        <v>1000</v>
      </c>
      <c r="G1335" s="14"/>
      <c r="H1335" s="15"/>
    </row>
    <row r="1336" ht="13.65" customHeight="1">
      <c r="A1336" s="8">
        <v>4</v>
      </c>
      <c r="B1336" t="s" s="9">
        <v>35</v>
      </c>
      <c r="C1336" t="s" s="9">
        <v>66</v>
      </c>
      <c r="D1336" t="s" s="9">
        <v>51</v>
      </c>
      <c r="E1336" t="s" s="9">
        <v>33</v>
      </c>
      <c r="F1336" s="10">
        <v>947</v>
      </c>
      <c r="G1336" s="14"/>
      <c r="H1336" s="15"/>
    </row>
    <row r="1337" ht="13.65" customHeight="1">
      <c r="A1337" s="8">
        <v>5</v>
      </c>
      <c r="B1337" t="s" s="9">
        <v>45</v>
      </c>
      <c r="C1337" t="s" s="9">
        <v>66</v>
      </c>
      <c r="D1337" t="s" s="9">
        <v>51</v>
      </c>
      <c r="E1337" t="s" s="9">
        <v>33</v>
      </c>
      <c r="F1337" s="10">
        <v>819</v>
      </c>
      <c r="G1337" s="14"/>
      <c r="H1337" s="15"/>
    </row>
    <row r="1338" ht="13.65" customHeight="1">
      <c r="A1338" s="8">
        <v>6</v>
      </c>
      <c r="B1338" t="s" s="9">
        <v>39</v>
      </c>
      <c r="C1338" t="s" s="9">
        <v>66</v>
      </c>
      <c r="D1338" t="s" s="9">
        <v>51</v>
      </c>
      <c r="E1338" t="s" s="9">
        <v>33</v>
      </c>
      <c r="F1338" s="10">
        <v>449</v>
      </c>
      <c r="G1338" s="14"/>
      <c r="H1338" s="15"/>
    </row>
    <row r="1339" ht="13.65" customHeight="1">
      <c r="A1339" s="8">
        <v>7</v>
      </c>
      <c r="B1339" t="s" s="9">
        <v>35</v>
      </c>
      <c r="C1339" t="s" s="9">
        <v>66</v>
      </c>
      <c r="D1339" t="s" s="9">
        <v>51</v>
      </c>
      <c r="E1339" t="s" s="9">
        <v>33</v>
      </c>
      <c r="F1339" s="10">
        <v>650</v>
      </c>
      <c r="G1339" s="14"/>
      <c r="H1339" s="15"/>
    </row>
    <row r="1340" ht="13.65" customHeight="1">
      <c r="A1340" s="8">
        <v>8</v>
      </c>
      <c r="B1340" t="s" s="9">
        <v>37</v>
      </c>
      <c r="C1340" t="s" s="9">
        <v>66</v>
      </c>
      <c r="D1340" t="s" s="9">
        <v>51</v>
      </c>
      <c r="E1340" t="s" s="9">
        <v>33</v>
      </c>
      <c r="F1340" s="10">
        <v>305</v>
      </c>
      <c r="G1340" s="14"/>
      <c r="H1340" s="15"/>
    </row>
    <row r="1341" ht="13.65" customHeight="1">
      <c r="A1341" s="8">
        <v>9</v>
      </c>
      <c r="B1341" t="s" s="9">
        <v>41</v>
      </c>
      <c r="C1341" t="s" s="9">
        <v>66</v>
      </c>
      <c r="D1341" t="s" s="9">
        <v>51</v>
      </c>
      <c r="E1341" t="s" s="9">
        <v>33</v>
      </c>
      <c r="F1341" s="10">
        <v>303</v>
      </c>
      <c r="G1341" s="14"/>
      <c r="H1341" s="15"/>
    </row>
    <row r="1342" ht="13.65" customHeight="1">
      <c r="A1342" s="8">
        <v>10</v>
      </c>
      <c r="B1342" t="s" s="9">
        <v>30</v>
      </c>
      <c r="C1342" t="s" s="9">
        <v>66</v>
      </c>
      <c r="D1342" t="s" s="9">
        <v>51</v>
      </c>
      <c r="E1342" t="s" s="9">
        <v>33</v>
      </c>
      <c r="F1342" s="10">
        <v>526</v>
      </c>
      <c r="G1342" s="14"/>
      <c r="H1342" s="15"/>
    </row>
    <row r="1343" ht="13.65" customHeight="1">
      <c r="A1343" s="8">
        <v>1</v>
      </c>
      <c r="B1343" t="s" s="9">
        <v>35</v>
      </c>
      <c r="C1343" t="s" s="9">
        <v>66</v>
      </c>
      <c r="D1343" t="s" s="9">
        <v>52</v>
      </c>
      <c r="E1343" t="s" s="9">
        <v>33</v>
      </c>
      <c r="F1343" s="10">
        <v>6570</v>
      </c>
      <c r="G1343" s="14"/>
      <c r="H1343" s="15"/>
    </row>
    <row r="1344" ht="13.65" customHeight="1">
      <c r="A1344" s="8">
        <v>2</v>
      </c>
      <c r="B1344" t="s" s="9">
        <v>30</v>
      </c>
      <c r="C1344" t="s" s="9">
        <v>66</v>
      </c>
      <c r="D1344" t="s" s="9">
        <v>52</v>
      </c>
      <c r="E1344" t="s" s="9">
        <v>33</v>
      </c>
      <c r="F1344" s="10">
        <v>2854</v>
      </c>
      <c r="G1344" s="14"/>
      <c r="H1344" s="15"/>
    </row>
    <row r="1345" ht="13.65" customHeight="1">
      <c r="A1345" s="8">
        <v>3</v>
      </c>
      <c r="B1345" t="s" s="9">
        <v>34</v>
      </c>
      <c r="C1345" t="s" s="9">
        <v>66</v>
      </c>
      <c r="D1345" t="s" s="9">
        <v>52</v>
      </c>
      <c r="E1345" t="s" s="9">
        <v>33</v>
      </c>
      <c r="F1345" s="10">
        <v>1544</v>
      </c>
      <c r="G1345" s="14"/>
      <c r="H1345" s="15"/>
    </row>
    <row r="1346" ht="13.65" customHeight="1">
      <c r="A1346" s="8">
        <v>4</v>
      </c>
      <c r="B1346" t="s" s="9">
        <v>30</v>
      </c>
      <c r="C1346" t="s" s="9">
        <v>66</v>
      </c>
      <c r="D1346" t="s" s="9">
        <v>52</v>
      </c>
      <c r="E1346" t="s" s="9">
        <v>33</v>
      </c>
      <c r="F1346" s="10">
        <v>1317</v>
      </c>
      <c r="G1346" s="14"/>
      <c r="H1346" s="15"/>
    </row>
    <row r="1347" ht="13.65" customHeight="1">
      <c r="A1347" s="8">
        <v>5</v>
      </c>
      <c r="B1347" t="s" s="9">
        <v>39</v>
      </c>
      <c r="C1347" t="s" s="9">
        <v>66</v>
      </c>
      <c r="D1347" t="s" s="9">
        <v>52</v>
      </c>
      <c r="E1347" t="s" s="9">
        <v>33</v>
      </c>
      <c r="F1347" s="10">
        <v>467</v>
      </c>
      <c r="G1347" s="14"/>
      <c r="H1347" s="15"/>
    </row>
    <row r="1348" ht="13.65" customHeight="1">
      <c r="A1348" s="8">
        <v>6</v>
      </c>
      <c r="B1348" t="s" s="9">
        <v>35</v>
      </c>
      <c r="C1348" t="s" s="9">
        <v>66</v>
      </c>
      <c r="D1348" t="s" s="9">
        <v>52</v>
      </c>
      <c r="E1348" t="s" s="9">
        <v>33</v>
      </c>
      <c r="F1348" s="10">
        <v>877</v>
      </c>
      <c r="G1348" s="14"/>
      <c r="H1348" s="15"/>
    </row>
    <row r="1349" ht="13.65" customHeight="1">
      <c r="A1349" s="8">
        <v>7</v>
      </c>
      <c r="B1349" t="s" s="9">
        <v>36</v>
      </c>
      <c r="C1349" t="s" s="9">
        <v>66</v>
      </c>
      <c r="D1349" t="s" s="9">
        <v>52</v>
      </c>
      <c r="E1349" t="s" s="9">
        <v>33</v>
      </c>
      <c r="F1349" s="10">
        <v>744</v>
      </c>
      <c r="G1349" s="14"/>
      <c r="H1349" s="15"/>
    </row>
    <row r="1350" ht="13.65" customHeight="1">
      <c r="A1350" s="8">
        <v>8</v>
      </c>
      <c r="B1350" t="s" s="9">
        <v>37</v>
      </c>
      <c r="C1350" t="s" s="9">
        <v>66</v>
      </c>
      <c r="D1350" t="s" s="9">
        <v>52</v>
      </c>
      <c r="E1350" t="s" s="9">
        <v>33</v>
      </c>
      <c r="F1350" s="10">
        <v>399</v>
      </c>
      <c r="G1350" s="14"/>
      <c r="H1350" s="15"/>
    </row>
    <row r="1351" ht="13.65" customHeight="1">
      <c r="A1351" s="8">
        <v>9</v>
      </c>
      <c r="B1351" t="s" s="9">
        <v>30</v>
      </c>
      <c r="C1351" t="s" s="9">
        <v>66</v>
      </c>
      <c r="D1351" t="s" s="9">
        <v>52</v>
      </c>
      <c r="E1351" t="s" s="9">
        <v>33</v>
      </c>
      <c r="F1351" s="10">
        <v>405</v>
      </c>
      <c r="G1351" s="14"/>
      <c r="H1351" s="15"/>
    </row>
    <row r="1352" ht="13.65" customHeight="1">
      <c r="A1352" s="8">
        <v>10</v>
      </c>
      <c r="B1352" t="s" s="9">
        <v>45</v>
      </c>
      <c r="C1352" t="s" s="9">
        <v>66</v>
      </c>
      <c r="D1352" t="s" s="9">
        <v>52</v>
      </c>
      <c r="E1352" t="s" s="9">
        <v>33</v>
      </c>
      <c r="F1352" s="10">
        <v>419</v>
      </c>
      <c r="G1352" s="16"/>
      <c r="H1352" s="17"/>
    </row>
    <row r="1353" ht="13" customHeight="1">
      <c r="A1353" s="8">
        <v>1</v>
      </c>
      <c r="B1353" t="s" s="9">
        <v>30</v>
      </c>
      <c r="C1353" t="s" s="9">
        <v>66</v>
      </c>
      <c r="D1353" t="s" s="9">
        <v>53</v>
      </c>
      <c r="E1353" t="s" s="9">
        <v>33</v>
      </c>
      <c r="F1353" s="10">
        <v>4376</v>
      </c>
      <c r="G1353" s="10">
        <v>5049226</v>
      </c>
      <c r="H1353" s="11" cm="1">
        <f t="array" ref="H1353">F1353/G1353*100000</f>
        <v>86.6667485273981</v>
      </c>
    </row>
    <row r="1354" ht="13" customHeight="1">
      <c r="A1354" s="8">
        <v>2</v>
      </c>
      <c r="B1354" t="s" s="9">
        <v>34</v>
      </c>
      <c r="C1354" t="s" s="9">
        <v>66</v>
      </c>
      <c r="D1354" t="s" s="9">
        <v>53</v>
      </c>
      <c r="E1354" t="s" s="9">
        <v>33</v>
      </c>
      <c r="F1354" s="10">
        <v>2093</v>
      </c>
      <c r="G1354" s="10">
        <v>5049226</v>
      </c>
      <c r="H1354" s="11" cm="1">
        <f t="array" ref="H1354">F1354/G1354*100000</f>
        <v>41.4518977760156</v>
      </c>
    </row>
    <row r="1355" ht="13" customHeight="1">
      <c r="A1355" s="8">
        <v>3</v>
      </c>
      <c r="B1355" t="s" s="9">
        <v>30</v>
      </c>
      <c r="C1355" t="s" s="9">
        <v>66</v>
      </c>
      <c r="D1355" t="s" s="9">
        <v>53</v>
      </c>
      <c r="E1355" t="s" s="9">
        <v>33</v>
      </c>
      <c r="F1355" s="10">
        <v>1650</v>
      </c>
      <c r="G1355" s="10">
        <v>5049226</v>
      </c>
      <c r="H1355" s="11" cm="1">
        <f t="array" ref="H1355">F1355/G1355*100000</f>
        <v>32.6782758387127</v>
      </c>
    </row>
    <row r="1356" ht="13" customHeight="1">
      <c r="A1356" s="8">
        <v>4</v>
      </c>
      <c r="B1356" t="s" s="9">
        <v>35</v>
      </c>
      <c r="C1356" t="s" s="9">
        <v>66</v>
      </c>
      <c r="D1356" t="s" s="9">
        <v>53</v>
      </c>
      <c r="E1356" t="s" s="9">
        <v>33</v>
      </c>
      <c r="F1356" s="10">
        <v>1636</v>
      </c>
      <c r="G1356" s="10">
        <v>5049226</v>
      </c>
      <c r="H1356" s="11" cm="1">
        <f t="array" ref="H1356">F1356/G1356*100000</f>
        <v>32.4010056194751</v>
      </c>
    </row>
    <row r="1357" ht="13" customHeight="1">
      <c r="A1357" s="8">
        <v>5</v>
      </c>
      <c r="B1357" t="s" s="9">
        <v>39</v>
      </c>
      <c r="C1357" t="s" s="9">
        <v>66</v>
      </c>
      <c r="D1357" t="s" s="9">
        <v>53</v>
      </c>
      <c r="E1357" t="s" s="9">
        <v>33</v>
      </c>
      <c r="F1357" s="10">
        <v>607</v>
      </c>
      <c r="G1357" s="10">
        <v>5049226</v>
      </c>
      <c r="H1357" s="11" cm="1">
        <f t="array" ref="H1357">F1357/G1357*100000</f>
        <v>12.0216445055143</v>
      </c>
    </row>
    <row r="1358" ht="13" customHeight="1">
      <c r="A1358" s="8">
        <v>6</v>
      </c>
      <c r="B1358" t="s" s="9">
        <v>36</v>
      </c>
      <c r="C1358" t="s" s="9">
        <v>66</v>
      </c>
      <c r="D1358" t="s" s="9">
        <v>53</v>
      </c>
      <c r="E1358" t="s" s="9">
        <v>33</v>
      </c>
      <c r="F1358" s="10">
        <v>634</v>
      </c>
      <c r="G1358" s="10">
        <v>5049226</v>
      </c>
      <c r="H1358" s="11" cm="1">
        <f t="array" ref="H1358">F1358/G1358*100000</f>
        <v>12.5563799283296</v>
      </c>
    </row>
    <row r="1359" ht="13" customHeight="1">
      <c r="A1359" s="8">
        <v>7</v>
      </c>
      <c r="B1359" t="s" s="9">
        <v>35</v>
      </c>
      <c r="C1359" t="s" s="9">
        <v>66</v>
      </c>
      <c r="D1359" t="s" s="9">
        <v>53</v>
      </c>
      <c r="E1359" t="s" s="9">
        <v>33</v>
      </c>
      <c r="F1359" s="10">
        <v>855</v>
      </c>
      <c r="G1359" s="10">
        <v>5049226</v>
      </c>
      <c r="H1359" s="11" cm="1">
        <f t="array" ref="H1359">F1359/G1359*100000</f>
        <v>16.9332883891511</v>
      </c>
    </row>
    <row r="1360" ht="13" customHeight="1">
      <c r="A1360" s="8">
        <v>8</v>
      </c>
      <c r="B1360" t="s" s="9">
        <v>36</v>
      </c>
      <c r="C1360" t="s" s="9">
        <v>66</v>
      </c>
      <c r="D1360" t="s" s="9">
        <v>53</v>
      </c>
      <c r="E1360" t="s" s="9">
        <v>33</v>
      </c>
      <c r="F1360" s="10">
        <v>630</v>
      </c>
      <c r="G1360" s="10">
        <v>5049226</v>
      </c>
      <c r="H1360" s="11" cm="1">
        <f t="array" ref="H1360">F1360/G1360*100000</f>
        <v>12.4771598656903</v>
      </c>
    </row>
    <row r="1361" ht="13" customHeight="1">
      <c r="A1361" s="8">
        <v>9</v>
      </c>
      <c r="B1361" t="s" s="9">
        <v>30</v>
      </c>
      <c r="C1361" t="s" s="9">
        <v>66</v>
      </c>
      <c r="D1361" t="s" s="9">
        <v>53</v>
      </c>
      <c r="E1361" t="s" s="9">
        <v>33</v>
      </c>
      <c r="F1361" s="10">
        <v>501</v>
      </c>
      <c r="G1361" s="10">
        <v>5049226</v>
      </c>
      <c r="H1361" s="11" cm="1">
        <f t="array" ref="H1361">F1361/G1361*100000</f>
        <v>9.922312845572771</v>
      </c>
    </row>
    <row r="1362" ht="13" customHeight="1">
      <c r="A1362" s="8">
        <v>10</v>
      </c>
      <c r="B1362" t="s" s="9">
        <v>41</v>
      </c>
      <c r="C1362" t="s" s="9">
        <v>66</v>
      </c>
      <c r="D1362" t="s" s="9">
        <v>53</v>
      </c>
      <c r="E1362" t="s" s="9">
        <v>33</v>
      </c>
      <c r="F1362" s="10">
        <v>444</v>
      </c>
      <c r="G1362" s="10">
        <v>5049226</v>
      </c>
      <c r="H1362" s="11" cm="1">
        <f t="array" ref="H1362">F1362/G1362*100000</f>
        <v>8.79342695296269</v>
      </c>
    </row>
    <row r="1363" ht="13" customHeight="1">
      <c r="A1363" s="8">
        <v>1</v>
      </c>
      <c r="B1363" t="s" s="9">
        <v>30</v>
      </c>
      <c r="C1363" t="s" s="9">
        <v>66</v>
      </c>
      <c r="D1363" t="s" s="9">
        <v>54</v>
      </c>
      <c r="E1363" t="s" s="9">
        <v>33</v>
      </c>
      <c r="F1363" s="10">
        <v>634</v>
      </c>
      <c r="G1363" s="10">
        <v>3901529</v>
      </c>
      <c r="H1363" s="11" cm="1">
        <f t="array" ref="H1363">F1363/G1363*100000</f>
        <v>16.2500394076271</v>
      </c>
    </row>
    <row r="1364" ht="13" customHeight="1">
      <c r="A1364" s="8">
        <v>2</v>
      </c>
      <c r="B1364" t="s" s="9">
        <v>35</v>
      </c>
      <c r="C1364" t="s" s="9">
        <v>66</v>
      </c>
      <c r="D1364" t="s" s="9">
        <v>54</v>
      </c>
      <c r="E1364" t="s" s="9">
        <v>33</v>
      </c>
      <c r="F1364" s="10">
        <v>663</v>
      </c>
      <c r="G1364" s="10">
        <v>3901529</v>
      </c>
      <c r="H1364" s="11" cm="1">
        <f t="array" ref="H1364">F1364/G1364*100000</f>
        <v>16.9933377401526</v>
      </c>
    </row>
    <row r="1365" ht="13" customHeight="1">
      <c r="A1365" s="8">
        <v>3</v>
      </c>
      <c r="B1365" t="s" s="9">
        <v>34</v>
      </c>
      <c r="C1365" t="s" s="9">
        <v>66</v>
      </c>
      <c r="D1365" t="s" s="9">
        <v>54</v>
      </c>
      <c r="E1365" t="s" s="9">
        <v>33</v>
      </c>
      <c r="F1365" s="10">
        <v>237</v>
      </c>
      <c r="G1365" s="10">
        <v>3901529</v>
      </c>
      <c r="H1365" s="11" cm="1">
        <f t="array" ref="H1365">F1365/G1365*100000</f>
        <v>6.07454154512244</v>
      </c>
    </row>
    <row r="1366" ht="13" customHeight="1">
      <c r="A1366" s="8">
        <v>4</v>
      </c>
      <c r="B1366" t="s" s="9">
        <v>30</v>
      </c>
      <c r="C1366" t="s" s="9">
        <v>66</v>
      </c>
      <c r="D1366" t="s" s="9">
        <v>54</v>
      </c>
      <c r="E1366" t="s" s="9">
        <v>33</v>
      </c>
      <c r="F1366" s="10">
        <v>248</v>
      </c>
      <c r="G1366" s="10">
        <v>3901529</v>
      </c>
      <c r="H1366" s="11" cm="1">
        <f t="array" ref="H1366">F1366/G1366*100000</f>
        <v>6.35648229194247</v>
      </c>
    </row>
    <row r="1367" ht="13" customHeight="1">
      <c r="A1367" s="8">
        <v>5</v>
      </c>
      <c r="B1367" t="s" s="9">
        <v>39</v>
      </c>
      <c r="C1367" t="s" s="9">
        <v>66</v>
      </c>
      <c r="D1367" t="s" s="9">
        <v>54</v>
      </c>
      <c r="E1367" t="s" s="9">
        <v>33</v>
      </c>
      <c r="F1367" s="10">
        <v>140</v>
      </c>
      <c r="G1367" s="10">
        <v>3901529</v>
      </c>
      <c r="H1367" s="11" cm="1">
        <f t="array" ref="H1367">F1367/G1367*100000</f>
        <v>3.58833677770946</v>
      </c>
    </row>
    <row r="1368" ht="13" customHeight="1">
      <c r="A1368" s="8">
        <v>6</v>
      </c>
      <c r="B1368" t="s" s="9">
        <v>39</v>
      </c>
      <c r="C1368" t="s" s="9">
        <v>66</v>
      </c>
      <c r="D1368" t="s" s="9">
        <v>54</v>
      </c>
      <c r="E1368" t="s" s="9">
        <v>33</v>
      </c>
      <c r="F1368" s="10">
        <v>138</v>
      </c>
      <c r="G1368" s="10">
        <v>3901529</v>
      </c>
      <c r="H1368" s="11" cm="1">
        <f t="array" ref="H1368">F1368/G1368*100000</f>
        <v>3.53707482374218</v>
      </c>
    </row>
    <row r="1369" ht="13" customHeight="1">
      <c r="A1369" s="8">
        <v>7</v>
      </c>
      <c r="B1369" t="s" s="9">
        <v>41</v>
      </c>
      <c r="C1369" t="s" s="9">
        <v>66</v>
      </c>
      <c r="D1369" t="s" s="9">
        <v>54</v>
      </c>
      <c r="E1369" t="s" s="9">
        <v>33</v>
      </c>
      <c r="F1369" s="10">
        <v>161</v>
      </c>
      <c r="G1369" s="10">
        <v>3901529</v>
      </c>
      <c r="H1369" s="11" cm="1">
        <f t="array" ref="H1369">F1369/G1369*100000</f>
        <v>4.12658729436588</v>
      </c>
    </row>
    <row r="1370" ht="13" customHeight="1">
      <c r="A1370" s="8">
        <v>8</v>
      </c>
      <c r="B1370" t="s" s="9">
        <v>35</v>
      </c>
      <c r="C1370" t="s" s="9">
        <v>66</v>
      </c>
      <c r="D1370" t="s" s="9">
        <v>54</v>
      </c>
      <c r="E1370" t="s" s="9">
        <v>33</v>
      </c>
      <c r="F1370" s="10">
        <v>240</v>
      </c>
      <c r="G1370" s="10">
        <v>3901529</v>
      </c>
      <c r="H1370" s="11" cm="1">
        <f t="array" ref="H1370">F1370/G1370*100000</f>
        <v>6.15143447607335</v>
      </c>
    </row>
    <row r="1371" ht="13" customHeight="1">
      <c r="A1371" s="8">
        <v>9</v>
      </c>
      <c r="B1371" t="s" s="9">
        <v>30</v>
      </c>
      <c r="C1371" t="s" s="9">
        <v>66</v>
      </c>
      <c r="D1371" t="s" s="9">
        <v>54</v>
      </c>
      <c r="E1371" t="s" s="9">
        <v>33</v>
      </c>
      <c r="F1371" s="10">
        <v>138</v>
      </c>
      <c r="G1371" s="10">
        <v>3901529</v>
      </c>
      <c r="H1371" s="11" cm="1">
        <f t="array" ref="H1371">F1371/G1371*100000</f>
        <v>3.53707482374218</v>
      </c>
    </row>
    <row r="1372" ht="13" customHeight="1">
      <c r="A1372" s="8">
        <v>10</v>
      </c>
      <c r="B1372" t="s" s="9">
        <v>45</v>
      </c>
      <c r="C1372" t="s" s="9">
        <v>66</v>
      </c>
      <c r="D1372" t="s" s="9">
        <v>54</v>
      </c>
      <c r="E1372" t="s" s="9">
        <v>33</v>
      </c>
      <c r="F1372" s="10">
        <v>131</v>
      </c>
      <c r="G1372" s="10">
        <v>3901529</v>
      </c>
      <c r="H1372" s="11" cm="1">
        <f t="array" ref="H1372">F1372/G1372*100000</f>
        <v>3.35765798485671</v>
      </c>
    </row>
    <row r="1373" ht="13" customHeight="1">
      <c r="A1373" s="8">
        <v>1</v>
      </c>
      <c r="B1373" t="s" s="9">
        <v>30</v>
      </c>
      <c r="C1373" t="s" s="9">
        <v>66</v>
      </c>
      <c r="D1373" t="s" s="9">
        <v>55</v>
      </c>
      <c r="E1373" t="s" s="9">
        <v>33</v>
      </c>
      <c r="F1373" s="10">
        <v>3584</v>
      </c>
      <c r="G1373" s="10">
        <v>5273604</v>
      </c>
      <c r="H1373" s="11" cm="1">
        <f t="array" ref="H1373">F1373/G1373*100000</f>
        <v>67.961113500369</v>
      </c>
    </row>
    <row r="1374" ht="13" customHeight="1">
      <c r="A1374" s="8">
        <v>2</v>
      </c>
      <c r="B1374" t="s" s="9">
        <v>35</v>
      </c>
      <c r="C1374" t="s" s="9">
        <v>66</v>
      </c>
      <c r="D1374" t="s" s="9">
        <v>55</v>
      </c>
      <c r="E1374" t="s" s="9">
        <v>33</v>
      </c>
      <c r="F1374" s="10">
        <v>2079</v>
      </c>
      <c r="G1374" s="10">
        <v>5273604</v>
      </c>
      <c r="H1374" s="11" cm="1">
        <f t="array" ref="H1374">F1374/G1374*100000</f>
        <v>39.4227552922062</v>
      </c>
    </row>
    <row r="1375" ht="13" customHeight="1">
      <c r="A1375" s="8">
        <v>3</v>
      </c>
      <c r="B1375" t="s" s="9">
        <v>34</v>
      </c>
      <c r="C1375" t="s" s="9">
        <v>66</v>
      </c>
      <c r="D1375" t="s" s="9">
        <v>55</v>
      </c>
      <c r="E1375" t="s" s="9">
        <v>33</v>
      </c>
      <c r="F1375" s="10">
        <v>1735</v>
      </c>
      <c r="G1375" s="10">
        <v>5273604</v>
      </c>
      <c r="H1375" s="11" cm="1">
        <f t="array" ref="H1375">F1375/G1375*100000</f>
        <v>32.8997019874833</v>
      </c>
    </row>
    <row r="1376" ht="13" customHeight="1">
      <c r="A1376" s="8">
        <v>4</v>
      </c>
      <c r="B1376" t="s" s="9">
        <v>35</v>
      </c>
      <c r="C1376" t="s" s="9">
        <v>66</v>
      </c>
      <c r="D1376" t="s" s="9">
        <v>55</v>
      </c>
      <c r="E1376" t="s" s="9">
        <v>33</v>
      </c>
      <c r="F1376" s="10">
        <v>1652</v>
      </c>
      <c r="G1376" s="10">
        <v>5273604</v>
      </c>
      <c r="H1376" s="11" cm="1">
        <f t="array" ref="H1376">F1376/G1376*100000</f>
        <v>31.3258257540763</v>
      </c>
    </row>
    <row r="1377" ht="13" customHeight="1">
      <c r="A1377" s="8">
        <v>5</v>
      </c>
      <c r="B1377" t="s" s="9">
        <v>30</v>
      </c>
      <c r="C1377" t="s" s="9">
        <v>66</v>
      </c>
      <c r="D1377" t="s" s="9">
        <v>55</v>
      </c>
      <c r="E1377" t="s" s="9">
        <v>33</v>
      </c>
      <c r="F1377" s="10">
        <v>1319</v>
      </c>
      <c r="G1377" s="10">
        <v>5273604</v>
      </c>
      <c r="H1377" s="11" cm="1">
        <f t="array" ref="H1377">F1377/G1377*100000</f>
        <v>25.0113584561905</v>
      </c>
    </row>
    <row r="1378" ht="13" customHeight="1">
      <c r="A1378" s="8">
        <v>6</v>
      </c>
      <c r="B1378" t="s" s="9">
        <v>36</v>
      </c>
      <c r="C1378" t="s" s="9">
        <v>66</v>
      </c>
      <c r="D1378" t="s" s="9">
        <v>55</v>
      </c>
      <c r="E1378" t="s" s="9">
        <v>33</v>
      </c>
      <c r="F1378" s="10">
        <v>524</v>
      </c>
      <c r="G1378" s="10">
        <v>5273604</v>
      </c>
      <c r="H1378" s="11" cm="1">
        <f t="array" ref="H1378">F1378/G1378*100000</f>
        <v>9.936278871147699</v>
      </c>
    </row>
    <row r="1379" ht="13" customHeight="1">
      <c r="A1379" s="8">
        <v>7</v>
      </c>
      <c r="B1379" t="s" s="9">
        <v>39</v>
      </c>
      <c r="C1379" t="s" s="9">
        <v>66</v>
      </c>
      <c r="D1379" t="s" s="9">
        <v>55</v>
      </c>
      <c r="E1379" t="s" s="9">
        <v>33</v>
      </c>
      <c r="F1379" s="10">
        <v>380</v>
      </c>
      <c r="G1379" s="10">
        <v>5273604</v>
      </c>
      <c r="H1379" s="11" cm="1">
        <f t="array" ref="H1379">F1379/G1379*100000</f>
        <v>7.20569841800787</v>
      </c>
    </row>
    <row r="1380" ht="13" customHeight="1">
      <c r="A1380" s="8">
        <v>8</v>
      </c>
      <c r="B1380" t="s" s="9">
        <v>45</v>
      </c>
      <c r="C1380" t="s" s="9">
        <v>66</v>
      </c>
      <c r="D1380" t="s" s="9">
        <v>55</v>
      </c>
      <c r="E1380" t="s" s="9">
        <v>33</v>
      </c>
      <c r="F1380" s="10">
        <v>517</v>
      </c>
      <c r="G1380" s="10">
        <v>5273604</v>
      </c>
      <c r="H1380" s="11" cm="1">
        <f t="array" ref="H1380">F1380/G1380*100000</f>
        <v>9.80354232134229</v>
      </c>
    </row>
    <row r="1381" ht="13" customHeight="1">
      <c r="A1381" s="8">
        <v>9</v>
      </c>
      <c r="B1381" t="s" s="9">
        <v>37</v>
      </c>
      <c r="C1381" t="s" s="9">
        <v>66</v>
      </c>
      <c r="D1381" t="s" s="9">
        <v>55</v>
      </c>
      <c r="E1381" t="s" s="9">
        <v>33</v>
      </c>
      <c r="F1381" s="10">
        <v>389</v>
      </c>
      <c r="G1381" s="10">
        <v>5273604</v>
      </c>
      <c r="H1381" s="11" cm="1">
        <f t="array" ref="H1381">F1381/G1381*100000</f>
        <v>7.37635969632911</v>
      </c>
    </row>
    <row r="1382" ht="13" customHeight="1">
      <c r="A1382" s="8">
        <v>10</v>
      </c>
      <c r="B1382" t="s" s="9">
        <v>36</v>
      </c>
      <c r="C1382" t="s" s="9">
        <v>66</v>
      </c>
      <c r="D1382" t="s" s="9">
        <v>55</v>
      </c>
      <c r="E1382" t="s" s="9">
        <v>33</v>
      </c>
      <c r="F1382" s="10">
        <v>430</v>
      </c>
      <c r="G1382" s="10">
        <v>5273604</v>
      </c>
      <c r="H1382" s="11" cm="1">
        <f t="array" ref="H1382">F1382/G1382*100000</f>
        <v>8.15381663090365</v>
      </c>
    </row>
    <row r="1383" ht="13" customHeight="1">
      <c r="A1383" s="8">
        <v>1</v>
      </c>
      <c r="B1383" t="s" s="9">
        <v>34</v>
      </c>
      <c r="C1383" t="s" s="9">
        <v>66</v>
      </c>
      <c r="D1383" t="s" s="9">
        <v>56</v>
      </c>
      <c r="E1383" t="s" s="9">
        <v>33</v>
      </c>
      <c r="F1383" s="10">
        <v>2069</v>
      </c>
      <c r="G1383" s="10">
        <v>5691183</v>
      </c>
      <c r="H1383" s="11" cm="1">
        <f t="array" ref="H1383">F1383/G1383*100000</f>
        <v>36.3544802548082</v>
      </c>
    </row>
    <row r="1384" ht="13" customHeight="1">
      <c r="A1384" s="8">
        <v>2</v>
      </c>
      <c r="B1384" t="s" s="9">
        <v>35</v>
      </c>
      <c r="C1384" t="s" s="9">
        <v>66</v>
      </c>
      <c r="D1384" t="s" s="9">
        <v>56</v>
      </c>
      <c r="E1384" t="s" s="9">
        <v>33</v>
      </c>
      <c r="F1384" s="10">
        <v>1356</v>
      </c>
      <c r="G1384" s="10">
        <v>5691183</v>
      </c>
      <c r="H1384" s="11" cm="1">
        <f t="array" ref="H1384">F1384/G1384*100000</f>
        <v>23.8263292535137</v>
      </c>
    </row>
    <row r="1385" ht="13" customHeight="1">
      <c r="A1385" s="8">
        <v>3</v>
      </c>
      <c r="B1385" t="s" s="9">
        <v>30</v>
      </c>
      <c r="C1385" t="s" s="9">
        <v>66</v>
      </c>
      <c r="D1385" t="s" s="9">
        <v>56</v>
      </c>
      <c r="E1385" t="s" s="9">
        <v>33</v>
      </c>
      <c r="F1385" s="10">
        <v>1195</v>
      </c>
      <c r="G1385" s="10">
        <v>5691183</v>
      </c>
      <c r="H1385" s="11" cm="1">
        <f t="array" ref="H1385">F1385/G1385*100000</f>
        <v>20.9973919306408</v>
      </c>
    </row>
    <row r="1386" ht="13" customHeight="1">
      <c r="A1386" s="8">
        <v>4</v>
      </c>
      <c r="B1386" t="s" s="9">
        <v>37</v>
      </c>
      <c r="C1386" t="s" s="9">
        <v>66</v>
      </c>
      <c r="D1386" t="s" s="9">
        <v>56</v>
      </c>
      <c r="E1386" t="s" s="9">
        <v>33</v>
      </c>
      <c r="F1386" s="10">
        <v>419</v>
      </c>
      <c r="G1386" s="10">
        <v>5691183</v>
      </c>
      <c r="H1386" s="11" cm="1">
        <f t="array" ref="H1386">F1386/G1386*100000</f>
        <v>7.36226545517865</v>
      </c>
    </row>
    <row r="1387" ht="13" customHeight="1">
      <c r="A1387" s="8">
        <v>5</v>
      </c>
      <c r="B1387" t="s" s="9">
        <v>30</v>
      </c>
      <c r="C1387" t="s" s="9">
        <v>66</v>
      </c>
      <c r="D1387" t="s" s="9">
        <v>56</v>
      </c>
      <c r="E1387" t="s" s="9">
        <v>33</v>
      </c>
      <c r="F1387" s="10">
        <v>508</v>
      </c>
      <c r="G1387" s="10">
        <v>5691183</v>
      </c>
      <c r="H1387" s="11" cm="1">
        <f t="array" ref="H1387">F1387/G1387*100000</f>
        <v>8.9260879504314</v>
      </c>
    </row>
    <row r="1388" ht="13" customHeight="1">
      <c r="A1388" s="8">
        <v>6</v>
      </c>
      <c r="B1388" t="s" s="9">
        <v>35</v>
      </c>
      <c r="C1388" t="s" s="9">
        <v>66</v>
      </c>
      <c r="D1388" t="s" s="9">
        <v>56</v>
      </c>
      <c r="E1388" t="s" s="9">
        <v>33</v>
      </c>
      <c r="F1388" s="10">
        <v>536</v>
      </c>
      <c r="G1388" s="10">
        <v>5691183</v>
      </c>
      <c r="H1388" s="11" cm="1">
        <f t="array" ref="H1388">F1388/G1388*100000</f>
        <v>9.41807705006147</v>
      </c>
    </row>
    <row r="1389" ht="13" customHeight="1">
      <c r="A1389" s="8">
        <v>7</v>
      </c>
      <c r="B1389" t="s" s="9">
        <v>30</v>
      </c>
      <c r="C1389" t="s" s="9">
        <v>66</v>
      </c>
      <c r="D1389" t="s" s="9">
        <v>56</v>
      </c>
      <c r="E1389" t="s" s="9">
        <v>33</v>
      </c>
      <c r="F1389" s="10">
        <v>390</v>
      </c>
      <c r="G1389" s="10">
        <v>5691183</v>
      </c>
      <c r="H1389" s="11" cm="1">
        <f t="array" ref="H1389">F1389/G1389*100000</f>
        <v>6.85270531627607</v>
      </c>
    </row>
    <row r="1390" ht="13" customHeight="1">
      <c r="A1390" s="8">
        <v>8</v>
      </c>
      <c r="B1390" t="s" s="9">
        <v>39</v>
      </c>
      <c r="C1390" t="s" s="9">
        <v>66</v>
      </c>
      <c r="D1390" t="s" s="9">
        <v>56</v>
      </c>
      <c r="E1390" t="s" s="9">
        <v>33</v>
      </c>
      <c r="F1390" s="10">
        <v>202</v>
      </c>
      <c r="G1390" s="10">
        <v>5691183</v>
      </c>
      <c r="H1390" s="11" cm="1">
        <f t="array" ref="H1390">F1390/G1390*100000</f>
        <v>3.54934993304555</v>
      </c>
    </row>
    <row r="1391" ht="13" customHeight="1">
      <c r="A1391" s="8">
        <v>9</v>
      </c>
      <c r="B1391" t="s" s="9">
        <v>45</v>
      </c>
      <c r="C1391" t="s" s="9">
        <v>66</v>
      </c>
      <c r="D1391" t="s" s="9">
        <v>56</v>
      </c>
      <c r="E1391" t="s" s="9">
        <v>33</v>
      </c>
      <c r="F1391" s="10">
        <v>285</v>
      </c>
      <c r="G1391" s="10">
        <v>5691183</v>
      </c>
      <c r="H1391" s="11" cm="1">
        <f t="array" ref="H1391">F1391/G1391*100000</f>
        <v>5.00774619266328</v>
      </c>
    </row>
    <row r="1392" ht="13" customHeight="1">
      <c r="A1392" s="8">
        <v>10</v>
      </c>
      <c r="B1392" t="s" s="9">
        <v>36</v>
      </c>
      <c r="C1392" t="s" s="9">
        <v>66</v>
      </c>
      <c r="D1392" t="s" s="9">
        <v>56</v>
      </c>
      <c r="E1392" t="s" s="9">
        <v>33</v>
      </c>
      <c r="F1392" s="10">
        <v>201</v>
      </c>
      <c r="G1392" s="10">
        <v>5691183</v>
      </c>
      <c r="H1392" s="11" cm="1">
        <f t="array" ref="H1392">F1392/G1392*100000</f>
        <v>3.53177889377305</v>
      </c>
    </row>
    <row r="1393" ht="13" customHeight="1">
      <c r="A1393" s="8">
        <v>1</v>
      </c>
      <c r="B1393" t="s" s="9">
        <v>35</v>
      </c>
      <c r="C1393" t="s" s="9">
        <v>66</v>
      </c>
      <c r="D1393" t="s" s="9">
        <v>57</v>
      </c>
      <c r="E1393" t="s" s="9">
        <v>33</v>
      </c>
      <c r="F1393" s="10">
        <v>642</v>
      </c>
      <c r="G1393" s="10">
        <v>5214931</v>
      </c>
      <c r="H1393" s="11" cm="1">
        <f t="array" ref="H1393">F1393/G1393*100000</f>
        <v>12.3108052628117</v>
      </c>
    </row>
    <row r="1394" ht="13" customHeight="1">
      <c r="A1394" s="8">
        <v>2</v>
      </c>
      <c r="B1394" t="s" s="9">
        <v>30</v>
      </c>
      <c r="C1394" t="s" s="9">
        <v>66</v>
      </c>
      <c r="D1394" t="s" s="9">
        <v>57</v>
      </c>
      <c r="E1394" t="s" s="9">
        <v>33</v>
      </c>
      <c r="F1394" s="10">
        <v>529</v>
      </c>
      <c r="G1394" s="10">
        <v>5214931</v>
      </c>
      <c r="H1394" s="11" cm="1">
        <f t="array" ref="H1394">F1394/G1394*100000</f>
        <v>10.1439501308838</v>
      </c>
    </row>
    <row r="1395" ht="13" customHeight="1">
      <c r="A1395" s="8">
        <v>3</v>
      </c>
      <c r="B1395" t="s" s="9">
        <v>34</v>
      </c>
      <c r="C1395" t="s" s="9">
        <v>66</v>
      </c>
      <c r="D1395" t="s" s="9">
        <v>57</v>
      </c>
      <c r="E1395" t="s" s="9">
        <v>33</v>
      </c>
      <c r="F1395" s="10">
        <v>112</v>
      </c>
      <c r="G1395" s="10">
        <v>5214931</v>
      </c>
      <c r="H1395" s="11" cm="1">
        <f t="array" ref="H1395">F1395/G1395*100000</f>
        <v>2.14767942279581</v>
      </c>
    </row>
    <row r="1396" ht="13" customHeight="1">
      <c r="A1396" s="8">
        <v>4</v>
      </c>
      <c r="B1396" t="s" s="9">
        <v>30</v>
      </c>
      <c r="C1396" t="s" s="9">
        <v>66</v>
      </c>
      <c r="D1396" t="s" s="9">
        <v>57</v>
      </c>
      <c r="E1396" t="s" s="9">
        <v>33</v>
      </c>
      <c r="F1396" s="10">
        <v>98</v>
      </c>
      <c r="G1396" s="10">
        <v>5214931</v>
      </c>
      <c r="H1396" s="11" cm="1">
        <f t="array" ref="H1396">F1396/G1396*100000</f>
        <v>1.87921949494634</v>
      </c>
    </row>
    <row r="1397" ht="13" customHeight="1">
      <c r="A1397" s="8">
        <v>5</v>
      </c>
      <c r="B1397" t="s" s="9">
        <v>41</v>
      </c>
      <c r="C1397" t="s" s="9">
        <v>66</v>
      </c>
      <c r="D1397" t="s" s="9">
        <v>57</v>
      </c>
      <c r="E1397" t="s" s="9">
        <v>33</v>
      </c>
      <c r="F1397" s="10">
        <v>77</v>
      </c>
      <c r="G1397" s="10">
        <v>5214931</v>
      </c>
      <c r="H1397" s="11" cm="1">
        <f t="array" ref="H1397">F1397/G1397*100000</f>
        <v>1.47652960317212</v>
      </c>
    </row>
    <row r="1398" ht="13" customHeight="1">
      <c r="A1398" s="8">
        <v>6</v>
      </c>
      <c r="B1398" t="s" s="9">
        <v>30</v>
      </c>
      <c r="C1398" t="s" s="9">
        <v>66</v>
      </c>
      <c r="D1398" t="s" s="9">
        <v>57</v>
      </c>
      <c r="E1398" t="s" s="9">
        <v>33</v>
      </c>
      <c r="F1398" s="10">
        <v>83</v>
      </c>
      <c r="G1398" s="10">
        <v>5214931</v>
      </c>
      <c r="H1398" s="11" cm="1">
        <f t="array" ref="H1398">F1398/G1398*100000</f>
        <v>1.59158385796476</v>
      </c>
    </row>
    <row r="1399" ht="13" customHeight="1">
      <c r="A1399" s="8">
        <v>7</v>
      </c>
      <c r="B1399" t="s" s="9">
        <v>30</v>
      </c>
      <c r="C1399" t="s" s="9">
        <v>66</v>
      </c>
      <c r="D1399" t="s" s="9">
        <v>57</v>
      </c>
      <c r="E1399" t="s" s="9">
        <v>33</v>
      </c>
      <c r="F1399" s="10">
        <v>65</v>
      </c>
      <c r="G1399" s="10">
        <v>5214931</v>
      </c>
      <c r="H1399" s="11" cm="1">
        <f t="array" ref="H1399">F1399/G1399*100000</f>
        <v>1.24642109358686</v>
      </c>
    </row>
    <row r="1400" ht="13" customHeight="1">
      <c r="A1400" s="8">
        <v>8</v>
      </c>
      <c r="B1400" t="s" s="9">
        <v>30</v>
      </c>
      <c r="C1400" t="s" s="9">
        <v>66</v>
      </c>
      <c r="D1400" t="s" s="9">
        <v>57</v>
      </c>
      <c r="E1400" t="s" s="9">
        <v>33</v>
      </c>
      <c r="F1400" s="10">
        <v>74</v>
      </c>
      <c r="G1400" s="10">
        <v>5214931</v>
      </c>
      <c r="H1400" s="11" cm="1">
        <f t="array" ref="H1400">F1400/G1400*100000</f>
        <v>1.41900247577581</v>
      </c>
    </row>
    <row r="1401" ht="13" customHeight="1">
      <c r="A1401" s="8">
        <v>9</v>
      </c>
      <c r="B1401" t="s" s="9">
        <v>39</v>
      </c>
      <c r="C1401" t="s" s="9">
        <v>66</v>
      </c>
      <c r="D1401" t="s" s="9">
        <v>57</v>
      </c>
      <c r="E1401" t="s" s="9">
        <v>33</v>
      </c>
      <c r="F1401" s="10">
        <v>33</v>
      </c>
      <c r="G1401" s="10">
        <v>5214931</v>
      </c>
      <c r="H1401" s="11" cm="1">
        <f t="array" ref="H1401">F1401/G1401*100000</f>
        <v>0.632798401359481</v>
      </c>
    </row>
    <row r="1402" ht="13" customHeight="1">
      <c r="A1402" s="8">
        <v>10</v>
      </c>
      <c r="B1402" t="s" s="9">
        <v>36</v>
      </c>
      <c r="C1402" t="s" s="9">
        <v>66</v>
      </c>
      <c r="D1402" t="s" s="9">
        <v>57</v>
      </c>
      <c r="E1402" t="s" s="9">
        <v>33</v>
      </c>
      <c r="F1402" s="10">
        <v>48</v>
      </c>
      <c r="G1402" s="10">
        <v>5214931</v>
      </c>
      <c r="H1402" s="11" cm="1">
        <f t="array" ref="H1402">F1402/G1402*100000</f>
        <v>0.920434038341063</v>
      </c>
    </row>
    <row r="1403" ht="13" customHeight="1">
      <c r="A1403" s="8">
        <v>1</v>
      </c>
      <c r="B1403" t="s" s="9">
        <v>30</v>
      </c>
      <c r="C1403" t="s" s="9">
        <v>66</v>
      </c>
      <c r="D1403" t="s" s="9">
        <v>20</v>
      </c>
      <c r="E1403" t="s" s="9">
        <v>33</v>
      </c>
      <c r="F1403" s="10">
        <v>2446</v>
      </c>
      <c r="G1403" s="10">
        <v>2889689</v>
      </c>
      <c r="H1403" s="11" cm="1">
        <f t="array" ref="H1403">F1403/G1403*100000</f>
        <v>84.6457871417997</v>
      </c>
    </row>
    <row r="1404" ht="13" customHeight="1">
      <c r="A1404" s="8">
        <v>2</v>
      </c>
      <c r="B1404" t="s" s="9">
        <v>35</v>
      </c>
      <c r="C1404" t="s" s="9">
        <v>66</v>
      </c>
      <c r="D1404" t="s" s="9">
        <v>20</v>
      </c>
      <c r="E1404" t="s" s="9">
        <v>33</v>
      </c>
      <c r="F1404" s="10">
        <v>1057</v>
      </c>
      <c r="G1404" s="10">
        <v>2889689</v>
      </c>
      <c r="H1404" s="11" cm="1">
        <f t="array" ref="H1404">F1404/G1404*100000</f>
        <v>36.5783307477033</v>
      </c>
    </row>
    <row r="1405" ht="13" customHeight="1">
      <c r="A1405" s="8">
        <v>3</v>
      </c>
      <c r="B1405" t="s" s="9">
        <v>34</v>
      </c>
      <c r="C1405" t="s" s="9">
        <v>66</v>
      </c>
      <c r="D1405" t="s" s="9">
        <v>20</v>
      </c>
      <c r="E1405" t="s" s="9">
        <v>33</v>
      </c>
      <c r="F1405" s="10">
        <v>731</v>
      </c>
      <c r="G1405" s="10">
        <v>2889689</v>
      </c>
      <c r="H1405" s="11" cm="1">
        <f t="array" ref="H1405">F1405/G1405*100000</f>
        <v>25.2968399021486</v>
      </c>
    </row>
    <row r="1406" ht="13" customHeight="1">
      <c r="A1406" s="8">
        <v>4</v>
      </c>
      <c r="B1406" t="s" s="9">
        <v>39</v>
      </c>
      <c r="C1406" t="s" s="9">
        <v>66</v>
      </c>
      <c r="D1406" t="s" s="9">
        <v>20</v>
      </c>
      <c r="E1406" t="s" s="9">
        <v>33</v>
      </c>
      <c r="F1406" s="10">
        <v>430</v>
      </c>
      <c r="G1406" s="10">
        <v>2889689</v>
      </c>
      <c r="H1406" s="11" cm="1">
        <f t="array" ref="H1406">F1406/G1406*100000</f>
        <v>14.8804940600874</v>
      </c>
    </row>
    <row r="1407" ht="13" customHeight="1">
      <c r="A1407" s="8">
        <v>5</v>
      </c>
      <c r="B1407" t="s" s="9">
        <v>30</v>
      </c>
      <c r="C1407" t="s" s="9">
        <v>66</v>
      </c>
      <c r="D1407" t="s" s="9">
        <v>20</v>
      </c>
      <c r="E1407" t="s" s="9">
        <v>33</v>
      </c>
      <c r="F1407" s="10">
        <v>656</v>
      </c>
      <c r="G1407" s="10">
        <v>2889689</v>
      </c>
      <c r="H1407" s="11" cm="1">
        <f t="array" ref="H1407">F1407/G1407*100000</f>
        <v>22.7014048916683</v>
      </c>
    </row>
    <row r="1408" ht="13" customHeight="1">
      <c r="A1408" s="8">
        <v>6</v>
      </c>
      <c r="B1408" t="s" s="9">
        <v>35</v>
      </c>
      <c r="C1408" t="s" s="9">
        <v>66</v>
      </c>
      <c r="D1408" t="s" s="9">
        <v>20</v>
      </c>
      <c r="E1408" t="s" s="9">
        <v>33</v>
      </c>
      <c r="F1408" s="10">
        <v>380</v>
      </c>
      <c r="G1408" s="10">
        <v>2889689</v>
      </c>
      <c r="H1408" s="11" cm="1">
        <f t="array" ref="H1408">F1408/G1408*100000</f>
        <v>13.1502040531005</v>
      </c>
    </row>
    <row r="1409" ht="13" customHeight="1">
      <c r="A1409" s="8">
        <v>7</v>
      </c>
      <c r="B1409" t="s" s="9">
        <v>36</v>
      </c>
      <c r="C1409" t="s" s="9">
        <v>66</v>
      </c>
      <c r="D1409" t="s" s="9">
        <v>20</v>
      </c>
      <c r="E1409" t="s" s="9">
        <v>33</v>
      </c>
      <c r="F1409" s="10">
        <v>392</v>
      </c>
      <c r="G1409" s="10">
        <v>2889689</v>
      </c>
      <c r="H1409" s="11" cm="1">
        <f t="array" ref="H1409">F1409/G1409*100000</f>
        <v>13.5654736547774</v>
      </c>
    </row>
    <row r="1410" ht="13" customHeight="1">
      <c r="A1410" s="8">
        <v>8</v>
      </c>
      <c r="B1410" t="s" s="9">
        <v>37</v>
      </c>
      <c r="C1410" t="s" s="9">
        <v>66</v>
      </c>
      <c r="D1410" t="s" s="9">
        <v>20</v>
      </c>
      <c r="E1410" t="s" s="9">
        <v>33</v>
      </c>
      <c r="F1410" s="10">
        <v>248</v>
      </c>
      <c r="G1410" s="10">
        <v>2889689</v>
      </c>
      <c r="H1410" s="11" cm="1">
        <f t="array" ref="H1410">F1410/G1410*100000</f>
        <v>8.58223843465508</v>
      </c>
    </row>
    <row r="1411" ht="13" customHeight="1">
      <c r="A1411" s="8">
        <v>9</v>
      </c>
      <c r="B1411" t="s" s="9">
        <v>45</v>
      </c>
      <c r="C1411" t="s" s="9">
        <v>66</v>
      </c>
      <c r="D1411" t="s" s="9">
        <v>20</v>
      </c>
      <c r="E1411" t="s" s="9">
        <v>33</v>
      </c>
      <c r="F1411" s="10">
        <v>315</v>
      </c>
      <c r="G1411" s="10">
        <v>2889689</v>
      </c>
      <c r="H1411" s="11" cm="1">
        <f t="array" ref="H1411">F1411/G1411*100000</f>
        <v>10.9008270440175</v>
      </c>
    </row>
    <row r="1412" ht="13" customHeight="1">
      <c r="A1412" s="8">
        <v>10</v>
      </c>
      <c r="B1412" t="s" s="9">
        <v>37</v>
      </c>
      <c r="C1412" t="s" s="9">
        <v>66</v>
      </c>
      <c r="D1412" t="s" s="9">
        <v>20</v>
      </c>
      <c r="E1412" t="s" s="9">
        <v>33</v>
      </c>
      <c r="F1412" s="10">
        <v>205</v>
      </c>
      <c r="G1412" s="10">
        <v>2889689</v>
      </c>
      <c r="H1412" s="11" cm="1">
        <f t="array" ref="H1412">F1412/G1412*100000</f>
        <v>7.09418902864634</v>
      </c>
    </row>
    <row r="1413" ht="13" customHeight="1">
      <c r="A1413" s="8">
        <v>1</v>
      </c>
      <c r="B1413" t="s" s="9">
        <v>30</v>
      </c>
      <c r="C1413" t="s" s="9">
        <v>66</v>
      </c>
      <c r="D1413" t="s" s="9">
        <v>21</v>
      </c>
      <c r="E1413" t="s" s="9">
        <v>33</v>
      </c>
      <c r="F1413" s="10">
        <v>3834</v>
      </c>
      <c r="G1413" s="10">
        <v>4635519</v>
      </c>
      <c r="H1413" s="11" cm="1">
        <f t="array" ref="H1413">F1413/G1413*100000</f>
        <v>82.7091853145247</v>
      </c>
    </row>
    <row r="1414" ht="13" customHeight="1">
      <c r="A1414" s="8">
        <v>2</v>
      </c>
      <c r="B1414" t="s" s="9">
        <v>36</v>
      </c>
      <c r="C1414" t="s" s="9">
        <v>66</v>
      </c>
      <c r="D1414" t="s" s="9">
        <v>21</v>
      </c>
      <c r="E1414" t="s" s="9">
        <v>33</v>
      </c>
      <c r="F1414" s="10">
        <v>1667</v>
      </c>
      <c r="G1414" s="10">
        <v>4635519</v>
      </c>
      <c r="H1414" s="11" cm="1">
        <f t="array" ref="H1414">F1414/G1414*100000</f>
        <v>35.9614532914222</v>
      </c>
    </row>
    <row r="1415" ht="13" customHeight="1">
      <c r="A1415" s="8">
        <v>3</v>
      </c>
      <c r="B1415" t="s" s="9">
        <v>30</v>
      </c>
      <c r="C1415" t="s" s="9">
        <v>66</v>
      </c>
      <c r="D1415" t="s" s="9">
        <v>21</v>
      </c>
      <c r="E1415" t="s" s="9">
        <v>33</v>
      </c>
      <c r="F1415" s="10">
        <v>1614</v>
      </c>
      <c r="G1415" s="10">
        <v>4635519</v>
      </c>
      <c r="H1415" s="11" cm="1">
        <f t="array" ref="H1415">F1415/G1415*100000</f>
        <v>34.8181077458641</v>
      </c>
    </row>
    <row r="1416" ht="13" customHeight="1">
      <c r="A1416" s="8">
        <v>4</v>
      </c>
      <c r="B1416" t="s" s="9">
        <v>34</v>
      </c>
      <c r="C1416" t="s" s="9">
        <v>66</v>
      </c>
      <c r="D1416" t="s" s="9">
        <v>21</v>
      </c>
      <c r="E1416" t="s" s="9">
        <v>33</v>
      </c>
      <c r="F1416" s="10">
        <v>1354</v>
      </c>
      <c r="G1416" s="10">
        <v>4635519</v>
      </c>
      <c r="H1416" s="11" cm="1">
        <f t="array" ref="H1416">F1416/G1416*100000</f>
        <v>29.2092428053903</v>
      </c>
    </row>
    <row r="1417" ht="13" customHeight="1">
      <c r="A1417" s="8">
        <v>5</v>
      </c>
      <c r="B1417" t="s" s="9">
        <v>36</v>
      </c>
      <c r="C1417" t="s" s="9">
        <v>66</v>
      </c>
      <c r="D1417" t="s" s="9">
        <v>21</v>
      </c>
      <c r="E1417" t="s" s="9">
        <v>33</v>
      </c>
      <c r="F1417" s="10">
        <v>634</v>
      </c>
      <c r="G1417" s="10">
        <v>4635519</v>
      </c>
      <c r="H1417" s="11" cm="1">
        <f t="array" ref="H1417">F1417/G1417*100000</f>
        <v>13.6770014317706</v>
      </c>
    </row>
    <row r="1418" ht="13" customHeight="1">
      <c r="A1418" s="8">
        <v>6</v>
      </c>
      <c r="B1418" t="s" s="9">
        <v>41</v>
      </c>
      <c r="C1418" t="s" s="9">
        <v>66</v>
      </c>
      <c r="D1418" t="s" s="9">
        <v>21</v>
      </c>
      <c r="E1418" t="s" s="9">
        <v>33</v>
      </c>
      <c r="F1418" s="10">
        <v>598</v>
      </c>
      <c r="G1418" s="10">
        <v>4635519</v>
      </c>
      <c r="H1418" s="11" cm="1">
        <f t="array" ref="H1418">F1418/G1418*100000</f>
        <v>12.9003893630897</v>
      </c>
    </row>
    <row r="1419" ht="13" customHeight="1">
      <c r="A1419" s="8">
        <v>7</v>
      </c>
      <c r="B1419" t="s" s="9">
        <v>30</v>
      </c>
      <c r="C1419" t="s" s="9">
        <v>66</v>
      </c>
      <c r="D1419" t="s" s="9">
        <v>21</v>
      </c>
      <c r="E1419" t="s" s="9">
        <v>33</v>
      </c>
      <c r="F1419" s="10">
        <v>540</v>
      </c>
      <c r="G1419" s="10">
        <v>4635519</v>
      </c>
      <c r="H1419" s="11" cm="1">
        <f t="array" ref="H1419">F1419/G1419*100000</f>
        <v>11.6491810302147</v>
      </c>
    </row>
    <row r="1420" ht="13" customHeight="1">
      <c r="A1420" s="8">
        <v>8</v>
      </c>
      <c r="B1420" t="s" s="9">
        <v>45</v>
      </c>
      <c r="C1420" t="s" s="9">
        <v>66</v>
      </c>
      <c r="D1420" t="s" s="9">
        <v>21</v>
      </c>
      <c r="E1420" t="s" s="9">
        <v>33</v>
      </c>
      <c r="F1420" s="10">
        <v>528</v>
      </c>
      <c r="G1420" s="10">
        <v>4635519</v>
      </c>
      <c r="H1420" s="11" cm="1">
        <f t="array" ref="H1420">F1420/G1420*100000</f>
        <v>11.3903103406544</v>
      </c>
    </row>
    <row r="1421" ht="13" customHeight="1">
      <c r="A1421" s="8">
        <v>9</v>
      </c>
      <c r="B1421" t="s" s="9">
        <v>30</v>
      </c>
      <c r="C1421" t="s" s="9">
        <v>66</v>
      </c>
      <c r="D1421" t="s" s="9">
        <v>21</v>
      </c>
      <c r="E1421" t="s" s="9">
        <v>33</v>
      </c>
      <c r="F1421" s="10">
        <v>465</v>
      </c>
      <c r="G1421" s="10">
        <v>4635519</v>
      </c>
      <c r="H1421" s="11" cm="1">
        <f t="array" ref="H1421">F1421/G1421*100000</f>
        <v>10.0312392204627</v>
      </c>
    </row>
    <row r="1422" ht="13" customHeight="1">
      <c r="A1422" s="8">
        <v>10</v>
      </c>
      <c r="B1422" t="s" s="9">
        <v>37</v>
      </c>
      <c r="C1422" t="s" s="9">
        <v>66</v>
      </c>
      <c r="D1422" t="s" s="9">
        <v>21</v>
      </c>
      <c r="E1422" t="s" s="9">
        <v>33</v>
      </c>
      <c r="F1422" s="10">
        <v>392</v>
      </c>
      <c r="G1422" s="10">
        <v>4635519</v>
      </c>
      <c r="H1422" s="11" cm="1">
        <f t="array" ref="H1422">F1422/G1422*100000</f>
        <v>8.456442525637369</v>
      </c>
    </row>
    <row r="1423" ht="13.65" customHeight="1">
      <c r="A1423" s="8">
        <v>1</v>
      </c>
      <c r="B1423" t="s" s="9">
        <v>35</v>
      </c>
      <c r="C1423" t="s" s="9">
        <v>66</v>
      </c>
      <c r="D1423" t="s" s="9">
        <v>58</v>
      </c>
      <c r="E1423" t="s" s="9">
        <v>33</v>
      </c>
      <c r="F1423" s="10">
        <v>2602</v>
      </c>
      <c r="G1423" s="12"/>
      <c r="H1423" s="13"/>
    </row>
    <row r="1424" ht="13.65" customHeight="1">
      <c r="A1424" s="8">
        <v>2</v>
      </c>
      <c r="B1424" t="s" s="9">
        <v>30</v>
      </c>
      <c r="C1424" t="s" s="9">
        <v>66</v>
      </c>
      <c r="D1424" t="s" s="9">
        <v>58</v>
      </c>
      <c r="E1424" t="s" s="9">
        <v>33</v>
      </c>
      <c r="F1424" s="10">
        <v>1472</v>
      </c>
      <c r="G1424" s="14"/>
      <c r="H1424" s="15"/>
    </row>
    <row r="1425" ht="13.65" customHeight="1">
      <c r="A1425" s="8">
        <v>3</v>
      </c>
      <c r="B1425" t="s" s="9">
        <v>30</v>
      </c>
      <c r="C1425" t="s" s="9">
        <v>66</v>
      </c>
      <c r="D1425" t="s" s="9">
        <v>58</v>
      </c>
      <c r="E1425" t="s" s="9">
        <v>33</v>
      </c>
      <c r="F1425" s="10">
        <v>923</v>
      </c>
      <c r="G1425" s="14"/>
      <c r="H1425" s="15"/>
    </row>
    <row r="1426" ht="13.65" customHeight="1">
      <c r="A1426" s="8">
        <v>4</v>
      </c>
      <c r="B1426" t="s" s="9">
        <v>34</v>
      </c>
      <c r="C1426" t="s" s="9">
        <v>66</v>
      </c>
      <c r="D1426" t="s" s="9">
        <v>58</v>
      </c>
      <c r="E1426" t="s" s="9">
        <v>33</v>
      </c>
      <c r="F1426" s="10">
        <v>520</v>
      </c>
      <c r="G1426" s="14"/>
      <c r="H1426" s="15"/>
    </row>
    <row r="1427" ht="13.65" customHeight="1">
      <c r="A1427" s="8">
        <v>5</v>
      </c>
      <c r="B1427" t="s" s="9">
        <v>35</v>
      </c>
      <c r="C1427" t="s" s="9">
        <v>66</v>
      </c>
      <c r="D1427" t="s" s="9">
        <v>58</v>
      </c>
      <c r="E1427" t="s" s="9">
        <v>33</v>
      </c>
      <c r="F1427" s="10">
        <v>620</v>
      </c>
      <c r="G1427" s="14"/>
      <c r="H1427" s="15"/>
    </row>
    <row r="1428" ht="13.65" customHeight="1">
      <c r="A1428" s="8">
        <v>6</v>
      </c>
      <c r="B1428" t="s" s="9">
        <v>39</v>
      </c>
      <c r="C1428" t="s" s="9">
        <v>66</v>
      </c>
      <c r="D1428" t="s" s="9">
        <v>58</v>
      </c>
      <c r="E1428" t="s" s="9">
        <v>33</v>
      </c>
      <c r="F1428" s="10">
        <v>292</v>
      </c>
      <c r="G1428" s="14"/>
      <c r="H1428" s="15"/>
    </row>
    <row r="1429" ht="13.65" customHeight="1">
      <c r="A1429" s="8">
        <v>7</v>
      </c>
      <c r="B1429" t="s" s="9">
        <v>30</v>
      </c>
      <c r="C1429" t="s" s="9">
        <v>66</v>
      </c>
      <c r="D1429" t="s" s="9">
        <v>58</v>
      </c>
      <c r="E1429" t="s" s="9">
        <v>33</v>
      </c>
      <c r="F1429" s="10">
        <v>603</v>
      </c>
      <c r="G1429" s="14"/>
      <c r="H1429" s="15"/>
    </row>
    <row r="1430" ht="13.65" customHeight="1">
      <c r="A1430" s="8">
        <v>8</v>
      </c>
      <c r="B1430" t="s" s="9">
        <v>36</v>
      </c>
      <c r="C1430" t="s" s="9">
        <v>66</v>
      </c>
      <c r="D1430" t="s" s="9">
        <v>58</v>
      </c>
      <c r="E1430" t="s" s="9">
        <v>33</v>
      </c>
      <c r="F1430" s="10">
        <v>464</v>
      </c>
      <c r="G1430" s="14"/>
      <c r="H1430" s="15"/>
    </row>
    <row r="1431" ht="13.65" customHeight="1">
      <c r="A1431" s="8">
        <v>9</v>
      </c>
      <c r="B1431" t="s" s="9">
        <v>30</v>
      </c>
      <c r="C1431" t="s" s="9">
        <v>66</v>
      </c>
      <c r="D1431" t="s" s="9">
        <v>58</v>
      </c>
      <c r="E1431" t="s" s="9">
        <v>33</v>
      </c>
      <c r="F1431" s="10">
        <v>328</v>
      </c>
      <c r="G1431" s="14"/>
      <c r="H1431" s="15"/>
    </row>
    <row r="1432" ht="13.65" customHeight="1">
      <c r="A1432" s="8">
        <v>10</v>
      </c>
      <c r="B1432" t="s" s="9">
        <v>45</v>
      </c>
      <c r="C1432" t="s" s="9">
        <v>66</v>
      </c>
      <c r="D1432" t="s" s="9">
        <v>58</v>
      </c>
      <c r="E1432" t="s" s="9">
        <v>33</v>
      </c>
      <c r="F1432" s="10">
        <v>379</v>
      </c>
      <c r="G1432" s="16"/>
      <c r="H1432" s="17"/>
    </row>
    <row r="1433" ht="13" customHeight="1">
      <c r="A1433" s="8">
        <v>1</v>
      </c>
      <c r="B1433" t="s" s="9">
        <v>30</v>
      </c>
      <c r="C1433" t="s" s="9">
        <v>67</v>
      </c>
      <c r="D1433" t="s" s="9">
        <v>32</v>
      </c>
      <c r="E1433" t="s" s="9">
        <v>33</v>
      </c>
      <c r="F1433" s="10">
        <v>19104</v>
      </c>
      <c r="G1433" s="10">
        <v>14521657</v>
      </c>
      <c r="H1433" s="11" cm="1">
        <f t="array" ref="H1433">F1433/G1433*100000</f>
        <v>131.555235053410</v>
      </c>
    </row>
    <row r="1434" ht="13" customHeight="1">
      <c r="A1434" s="8">
        <v>2</v>
      </c>
      <c r="B1434" t="s" s="9">
        <v>34</v>
      </c>
      <c r="C1434" t="s" s="9">
        <v>67</v>
      </c>
      <c r="D1434" t="s" s="9">
        <v>32</v>
      </c>
      <c r="E1434" t="s" s="9">
        <v>33</v>
      </c>
      <c r="F1434" s="10">
        <v>11152</v>
      </c>
      <c r="G1434" s="10">
        <v>14521657</v>
      </c>
      <c r="H1434" s="11" cm="1">
        <f t="array" ref="H1434">F1434/G1434*100000</f>
        <v>76.7956439130879</v>
      </c>
    </row>
    <row r="1435" ht="13" customHeight="1">
      <c r="A1435" s="8">
        <v>3</v>
      </c>
      <c r="B1435" t="s" s="9">
        <v>37</v>
      </c>
      <c r="C1435" t="s" s="9">
        <v>67</v>
      </c>
      <c r="D1435" t="s" s="9">
        <v>32</v>
      </c>
      <c r="E1435" t="s" s="9">
        <v>33</v>
      </c>
      <c r="F1435" s="10">
        <v>5119</v>
      </c>
      <c r="G1435" s="10">
        <v>14521657</v>
      </c>
      <c r="H1435" s="11" cm="1">
        <f t="array" ref="H1435">F1435/G1435*100000</f>
        <v>35.2507981699334</v>
      </c>
    </row>
    <row r="1436" ht="13" customHeight="1">
      <c r="A1436" s="8">
        <v>4</v>
      </c>
      <c r="B1436" t="s" s="9">
        <v>35</v>
      </c>
      <c r="C1436" t="s" s="9">
        <v>67</v>
      </c>
      <c r="D1436" t="s" s="9">
        <v>32</v>
      </c>
      <c r="E1436" t="s" s="9">
        <v>33</v>
      </c>
      <c r="F1436" s="10">
        <v>4280</v>
      </c>
      <c r="G1436" s="10">
        <v>14521657</v>
      </c>
      <c r="H1436" s="11" cm="1">
        <f t="array" ref="H1436">F1436/G1436*100000</f>
        <v>29.4732205835739</v>
      </c>
    </row>
    <row r="1437" ht="13" customHeight="1">
      <c r="A1437" s="8">
        <v>5</v>
      </c>
      <c r="B1437" t="s" s="9">
        <v>37</v>
      </c>
      <c r="C1437" t="s" s="9">
        <v>67</v>
      </c>
      <c r="D1437" t="s" s="9">
        <v>32</v>
      </c>
      <c r="E1437" t="s" s="9">
        <v>33</v>
      </c>
      <c r="F1437" s="10">
        <v>2530</v>
      </c>
      <c r="G1437" s="10">
        <v>14521657</v>
      </c>
      <c r="H1437" s="11" cm="1">
        <f t="array" ref="H1437">F1437/G1437*100000</f>
        <v>17.4222542234677</v>
      </c>
    </row>
    <row r="1438" ht="13" customHeight="1">
      <c r="A1438" s="8">
        <v>6</v>
      </c>
      <c r="B1438" t="s" s="9">
        <v>39</v>
      </c>
      <c r="C1438" t="s" s="9">
        <v>67</v>
      </c>
      <c r="D1438" t="s" s="9">
        <v>32</v>
      </c>
      <c r="E1438" t="s" s="9">
        <v>33</v>
      </c>
      <c r="F1438" s="10">
        <v>1866</v>
      </c>
      <c r="G1438" s="10">
        <v>14521657</v>
      </c>
      <c r="H1438" s="11" cm="1">
        <f t="array" ref="H1438">F1438/G1438*100000</f>
        <v>12.8497732731189</v>
      </c>
    </row>
    <row r="1439" ht="13" customHeight="1">
      <c r="A1439" s="8">
        <v>7</v>
      </c>
      <c r="B1439" t="s" s="9">
        <v>30</v>
      </c>
      <c r="C1439" t="s" s="9">
        <v>67</v>
      </c>
      <c r="D1439" t="s" s="9">
        <v>32</v>
      </c>
      <c r="E1439" t="s" s="9">
        <v>33</v>
      </c>
      <c r="F1439" s="10">
        <v>1983</v>
      </c>
      <c r="G1439" s="10">
        <v>14521657</v>
      </c>
      <c r="H1439" s="11" cm="1">
        <f t="array" ref="H1439">F1439/G1439*100000</f>
        <v>13.6554664526231</v>
      </c>
    </row>
    <row r="1440" ht="13" customHeight="1">
      <c r="A1440" s="8">
        <v>8</v>
      </c>
      <c r="B1440" t="s" s="9">
        <v>30</v>
      </c>
      <c r="C1440" t="s" s="9">
        <v>67</v>
      </c>
      <c r="D1440" t="s" s="9">
        <v>32</v>
      </c>
      <c r="E1440" t="s" s="9">
        <v>33</v>
      </c>
      <c r="F1440" s="10">
        <v>2222</v>
      </c>
      <c r="G1440" s="10">
        <v>14521657</v>
      </c>
      <c r="H1440" s="11" cm="1">
        <f t="array" ref="H1440">F1440/G1440*100000</f>
        <v>15.3012841440891</v>
      </c>
    </row>
    <row r="1441" ht="13" customHeight="1">
      <c r="A1441" s="8">
        <v>9</v>
      </c>
      <c r="B1441" t="s" s="9">
        <v>30</v>
      </c>
      <c r="C1441" t="s" s="9">
        <v>67</v>
      </c>
      <c r="D1441" t="s" s="9">
        <v>32</v>
      </c>
      <c r="E1441" t="s" s="9">
        <v>33</v>
      </c>
      <c r="F1441" s="10">
        <v>2281</v>
      </c>
      <c r="G1441" s="10">
        <v>14521657</v>
      </c>
      <c r="H1441" s="11" cm="1">
        <f t="array" ref="H1441">F1441/G1441*100000</f>
        <v>15.7075738670869</v>
      </c>
    </row>
    <row r="1442" ht="13" customHeight="1">
      <c r="A1442" s="8">
        <v>10</v>
      </c>
      <c r="B1442" t="s" s="9">
        <v>30</v>
      </c>
      <c r="C1442" t="s" s="9">
        <v>67</v>
      </c>
      <c r="D1442" t="s" s="9">
        <v>32</v>
      </c>
      <c r="E1442" t="s" s="9">
        <v>33</v>
      </c>
      <c r="F1442" s="10">
        <v>1798</v>
      </c>
      <c r="G1442" s="10">
        <v>14521657</v>
      </c>
      <c r="H1442" s="11" cm="1">
        <f t="array" ref="H1442">F1442/G1442*100000</f>
        <v>12.3815071516976</v>
      </c>
    </row>
    <row r="1443" ht="13" customHeight="1">
      <c r="A1443" s="8">
        <v>1</v>
      </c>
      <c r="B1443" t="s" s="9">
        <v>30</v>
      </c>
      <c r="C1443" t="s" s="9">
        <v>67</v>
      </c>
      <c r="D1443" t="s" s="9">
        <v>38</v>
      </c>
      <c r="E1443" t="s" s="9">
        <v>33</v>
      </c>
      <c r="F1443" s="10">
        <v>9249</v>
      </c>
      <c r="G1443" s="10">
        <v>1874281</v>
      </c>
      <c r="H1443" s="11" cm="1">
        <f t="array" ref="H1443">F1443/G1443*100000</f>
        <v>493.469229000347</v>
      </c>
    </row>
    <row r="1444" ht="13" customHeight="1">
      <c r="A1444" s="8">
        <v>2</v>
      </c>
      <c r="B1444" t="s" s="9">
        <v>34</v>
      </c>
      <c r="C1444" t="s" s="9">
        <v>67</v>
      </c>
      <c r="D1444" t="s" s="9">
        <v>38</v>
      </c>
      <c r="E1444" t="s" s="9">
        <v>33</v>
      </c>
      <c r="F1444" s="10">
        <v>2113</v>
      </c>
      <c r="G1444" s="10">
        <v>1874281</v>
      </c>
      <c r="H1444" s="11" cm="1">
        <f t="array" ref="H1444">F1444/G1444*100000</f>
        <v>112.736564047760</v>
      </c>
    </row>
    <row r="1445" ht="13" customHeight="1">
      <c r="A1445" s="8">
        <v>3</v>
      </c>
      <c r="B1445" t="s" s="9">
        <v>41</v>
      </c>
      <c r="C1445" t="s" s="9">
        <v>67</v>
      </c>
      <c r="D1445" t="s" s="9">
        <v>38</v>
      </c>
      <c r="E1445" t="s" s="9">
        <v>33</v>
      </c>
      <c r="F1445" s="10">
        <v>1847</v>
      </c>
      <c r="G1445" s="10">
        <v>1874281</v>
      </c>
      <c r="H1445" s="11" cm="1">
        <f t="array" ref="H1445">F1445/G1445*100000</f>
        <v>98.54445518041319</v>
      </c>
    </row>
    <row r="1446" ht="13" customHeight="1">
      <c r="A1446" s="8">
        <v>4</v>
      </c>
      <c r="B1446" t="s" s="9">
        <v>30</v>
      </c>
      <c r="C1446" t="s" s="9">
        <v>67</v>
      </c>
      <c r="D1446" t="s" s="9">
        <v>38</v>
      </c>
      <c r="E1446" t="s" s="9">
        <v>33</v>
      </c>
      <c r="F1446" s="10">
        <v>1529</v>
      </c>
      <c r="G1446" s="10">
        <v>1874281</v>
      </c>
      <c r="H1446" s="11" cm="1">
        <f t="array" ref="H1446">F1446/G1446*100000</f>
        <v>81.57794909087799</v>
      </c>
    </row>
    <row r="1447" ht="13" customHeight="1">
      <c r="A1447" s="8">
        <v>5</v>
      </c>
      <c r="B1447" t="s" s="9">
        <v>35</v>
      </c>
      <c r="C1447" t="s" s="9">
        <v>67</v>
      </c>
      <c r="D1447" t="s" s="9">
        <v>38</v>
      </c>
      <c r="E1447" t="s" s="9">
        <v>33</v>
      </c>
      <c r="F1447" s="10">
        <v>1344</v>
      </c>
      <c r="G1447" s="10">
        <v>1874281</v>
      </c>
      <c r="H1447" s="11" cm="1">
        <f t="array" ref="H1447">F1447/G1447*100000</f>
        <v>71.70749743501641</v>
      </c>
    </row>
    <row r="1448" ht="13" customHeight="1">
      <c r="A1448" s="8">
        <v>6</v>
      </c>
      <c r="B1448" t="s" s="9">
        <v>39</v>
      </c>
      <c r="C1448" t="s" s="9">
        <v>67</v>
      </c>
      <c r="D1448" t="s" s="9">
        <v>38</v>
      </c>
      <c r="E1448" t="s" s="9">
        <v>33</v>
      </c>
      <c r="F1448" s="10">
        <v>864</v>
      </c>
      <c r="G1448" s="10">
        <v>1874281</v>
      </c>
      <c r="H1448" s="11" cm="1">
        <f t="array" ref="H1448">F1448/G1448*100000</f>
        <v>46.0976769225106</v>
      </c>
    </row>
    <row r="1449" ht="13" customHeight="1">
      <c r="A1449" s="8">
        <v>7</v>
      </c>
      <c r="B1449" t="s" s="9">
        <v>30</v>
      </c>
      <c r="C1449" t="s" s="9">
        <v>67</v>
      </c>
      <c r="D1449" t="s" s="9">
        <v>38</v>
      </c>
      <c r="E1449" t="s" s="9">
        <v>33</v>
      </c>
      <c r="F1449" s="10">
        <v>879</v>
      </c>
      <c r="G1449" s="10">
        <v>1874281</v>
      </c>
      <c r="H1449" s="11" cm="1">
        <f t="array" ref="H1449">F1449/G1449*100000</f>
        <v>46.8979838135264</v>
      </c>
    </row>
    <row r="1450" ht="13" customHeight="1">
      <c r="A1450" s="8">
        <v>8</v>
      </c>
      <c r="B1450" t="s" s="9">
        <v>41</v>
      </c>
      <c r="C1450" t="s" s="9">
        <v>67</v>
      </c>
      <c r="D1450" t="s" s="9">
        <v>38</v>
      </c>
      <c r="E1450" t="s" s="9">
        <v>33</v>
      </c>
      <c r="F1450" s="10">
        <v>548</v>
      </c>
      <c r="G1450" s="10">
        <v>1874281</v>
      </c>
      <c r="H1450" s="11" cm="1">
        <f t="array" ref="H1450">F1450/G1450*100000</f>
        <v>29.2378784184442</v>
      </c>
    </row>
    <row r="1451" ht="13" customHeight="1">
      <c r="A1451" s="8">
        <v>9</v>
      </c>
      <c r="B1451" t="s" s="9">
        <v>35</v>
      </c>
      <c r="C1451" t="s" s="9">
        <v>67</v>
      </c>
      <c r="D1451" t="s" s="9">
        <v>38</v>
      </c>
      <c r="E1451" t="s" s="9">
        <v>33</v>
      </c>
      <c r="F1451" s="10">
        <v>1080</v>
      </c>
      <c r="G1451" s="10">
        <v>1874281</v>
      </c>
      <c r="H1451" s="11" cm="1">
        <f t="array" ref="H1451">F1451/G1451*100000</f>
        <v>57.6220961531382</v>
      </c>
    </row>
    <row r="1452" ht="13" customHeight="1">
      <c r="A1452" s="8">
        <v>10</v>
      </c>
      <c r="B1452" t="s" s="9">
        <v>37</v>
      </c>
      <c r="C1452" t="s" s="9">
        <v>67</v>
      </c>
      <c r="D1452" t="s" s="9">
        <v>38</v>
      </c>
      <c r="E1452" t="s" s="9">
        <v>33</v>
      </c>
      <c r="F1452" s="10">
        <v>687</v>
      </c>
      <c r="G1452" s="10">
        <v>1874281</v>
      </c>
      <c r="H1452" s="11" cm="1">
        <f t="array" ref="H1452">F1452/G1452*100000</f>
        <v>36.654055608524</v>
      </c>
    </row>
    <row r="1453" ht="13" customHeight="1">
      <c r="A1453" s="8">
        <v>1</v>
      </c>
      <c r="B1453" t="s" s="9">
        <v>30</v>
      </c>
      <c r="C1453" t="s" s="9">
        <v>67</v>
      </c>
      <c r="D1453" t="s" s="9">
        <v>42</v>
      </c>
      <c r="E1453" t="s" s="9">
        <v>33</v>
      </c>
      <c r="F1453" s="10">
        <v>10990</v>
      </c>
      <c r="G1453" s="10">
        <v>5458063</v>
      </c>
      <c r="H1453" s="11" cm="1">
        <f t="array" ref="H1453">F1453/G1453*100000</f>
        <v>201.353483827504</v>
      </c>
    </row>
    <row r="1454" ht="13" customHeight="1">
      <c r="A1454" s="8">
        <v>2</v>
      </c>
      <c r="B1454" t="s" s="9">
        <v>30</v>
      </c>
      <c r="C1454" t="s" s="9">
        <v>67</v>
      </c>
      <c r="D1454" t="s" s="9">
        <v>42</v>
      </c>
      <c r="E1454" t="s" s="9">
        <v>33</v>
      </c>
      <c r="F1454" s="10">
        <v>4981</v>
      </c>
      <c r="G1454" s="10">
        <v>5458063</v>
      </c>
      <c r="H1454" s="11" cm="1">
        <f t="array" ref="H1454">F1454/G1454*100000</f>
        <v>91.2594816146314</v>
      </c>
    </row>
    <row r="1455" ht="13" customHeight="1">
      <c r="A1455" s="8">
        <v>3</v>
      </c>
      <c r="B1455" t="s" s="9">
        <v>30</v>
      </c>
      <c r="C1455" t="s" s="9">
        <v>67</v>
      </c>
      <c r="D1455" t="s" s="9">
        <v>42</v>
      </c>
      <c r="E1455" t="s" s="9">
        <v>33</v>
      </c>
      <c r="F1455" s="10">
        <v>4433</v>
      </c>
      <c r="G1455" s="10">
        <v>5458063</v>
      </c>
      <c r="H1455" s="11" cm="1">
        <f t="array" ref="H1455">F1455/G1455*100000</f>
        <v>81.2192897003937</v>
      </c>
    </row>
    <row r="1456" ht="13" customHeight="1">
      <c r="A1456" s="8">
        <v>4</v>
      </c>
      <c r="B1456" t="s" s="9">
        <v>34</v>
      </c>
      <c r="C1456" t="s" s="9">
        <v>67</v>
      </c>
      <c r="D1456" t="s" s="9">
        <v>42</v>
      </c>
      <c r="E1456" t="s" s="9">
        <v>33</v>
      </c>
      <c r="F1456" s="10">
        <v>3092</v>
      </c>
      <c r="G1456" s="10">
        <v>5458063</v>
      </c>
      <c r="H1456" s="11" cm="1">
        <f t="array" ref="H1456">F1456/G1456*100000</f>
        <v>56.650133939458</v>
      </c>
    </row>
    <row r="1457" ht="13" customHeight="1">
      <c r="A1457" s="8">
        <v>5</v>
      </c>
      <c r="B1457" t="s" s="9">
        <v>41</v>
      </c>
      <c r="C1457" t="s" s="9">
        <v>67</v>
      </c>
      <c r="D1457" t="s" s="9">
        <v>42</v>
      </c>
      <c r="E1457" t="s" s="9">
        <v>33</v>
      </c>
      <c r="F1457" s="10">
        <v>2411</v>
      </c>
      <c r="G1457" s="10">
        <v>5458063</v>
      </c>
      <c r="H1457" s="11" cm="1">
        <f t="array" ref="H1457">F1457/G1457*100000</f>
        <v>44.1731801190276</v>
      </c>
    </row>
    <row r="1458" ht="13" customHeight="1">
      <c r="A1458" s="8">
        <v>6</v>
      </c>
      <c r="B1458" t="s" s="9">
        <v>35</v>
      </c>
      <c r="C1458" t="s" s="9">
        <v>67</v>
      </c>
      <c r="D1458" t="s" s="9">
        <v>42</v>
      </c>
      <c r="E1458" t="s" s="9">
        <v>33</v>
      </c>
      <c r="F1458" s="10">
        <v>2451</v>
      </c>
      <c r="G1458" s="10">
        <v>5458063</v>
      </c>
      <c r="H1458" s="11" cm="1">
        <f t="array" ref="H1458">F1458/G1458*100000</f>
        <v>44.9060408426946</v>
      </c>
    </row>
    <row r="1459" ht="13" customHeight="1">
      <c r="A1459" s="8">
        <v>7</v>
      </c>
      <c r="B1459" t="s" s="9">
        <v>30</v>
      </c>
      <c r="C1459" t="s" s="9">
        <v>67</v>
      </c>
      <c r="D1459" t="s" s="9">
        <v>42</v>
      </c>
      <c r="E1459" t="s" s="9">
        <v>33</v>
      </c>
      <c r="F1459" s="10">
        <v>2227</v>
      </c>
      <c r="G1459" s="10">
        <v>5458063</v>
      </c>
      <c r="H1459" s="11" cm="1">
        <f t="array" ref="H1459">F1459/G1459*100000</f>
        <v>40.8020207901594</v>
      </c>
    </row>
    <row r="1460" ht="13" customHeight="1">
      <c r="A1460" s="8">
        <v>8</v>
      </c>
      <c r="B1460" t="s" s="9">
        <v>41</v>
      </c>
      <c r="C1460" t="s" s="9">
        <v>67</v>
      </c>
      <c r="D1460" t="s" s="9">
        <v>42</v>
      </c>
      <c r="E1460" t="s" s="9">
        <v>33</v>
      </c>
      <c r="F1460" s="10">
        <v>1653</v>
      </c>
      <c r="G1460" s="10">
        <v>5458063</v>
      </c>
      <c r="H1460" s="11" cm="1">
        <f t="array" ref="H1460">F1460/G1460*100000</f>
        <v>30.2854694055382</v>
      </c>
    </row>
    <row r="1461" ht="13" customHeight="1">
      <c r="A1461" s="8">
        <v>9</v>
      </c>
      <c r="B1461" t="s" s="9">
        <v>35</v>
      </c>
      <c r="C1461" t="s" s="9">
        <v>67</v>
      </c>
      <c r="D1461" t="s" s="9">
        <v>42</v>
      </c>
      <c r="E1461" t="s" s="9">
        <v>33</v>
      </c>
      <c r="F1461" s="10">
        <v>1829</v>
      </c>
      <c r="G1461" s="10">
        <v>5458063</v>
      </c>
      <c r="H1461" s="11" cm="1">
        <f t="array" ref="H1461">F1461/G1461*100000</f>
        <v>33.5100565896729</v>
      </c>
    </row>
    <row r="1462" ht="13" customHeight="1">
      <c r="A1462" s="8">
        <v>10</v>
      </c>
      <c r="B1462" t="s" s="9">
        <v>37</v>
      </c>
      <c r="C1462" t="s" s="9">
        <v>67</v>
      </c>
      <c r="D1462" t="s" s="9">
        <v>42</v>
      </c>
      <c r="E1462" t="s" s="9">
        <v>33</v>
      </c>
      <c r="F1462" s="10">
        <v>1247</v>
      </c>
      <c r="G1462" s="10">
        <v>5458063</v>
      </c>
      <c r="H1462" s="11" cm="1">
        <f t="array" ref="H1462">F1462/G1462*100000</f>
        <v>22.8469330603183</v>
      </c>
    </row>
    <row r="1463" ht="13" customHeight="1">
      <c r="A1463" s="8">
        <v>1</v>
      </c>
      <c r="B1463" t="s" s="9">
        <v>30</v>
      </c>
      <c r="C1463" t="s" s="9">
        <v>67</v>
      </c>
      <c r="D1463" t="s" s="9">
        <v>43</v>
      </c>
      <c r="E1463" t="s" s="9">
        <v>33</v>
      </c>
      <c r="F1463" s="10">
        <v>6020</v>
      </c>
      <c r="G1463" s="10">
        <v>3817144</v>
      </c>
      <c r="H1463" s="11" cm="1">
        <f t="array" ref="H1463">F1463/G1463*100000</f>
        <v>157.7095336199</v>
      </c>
    </row>
    <row r="1464" ht="13" customHeight="1">
      <c r="A1464" s="8">
        <v>2</v>
      </c>
      <c r="B1464" t="s" s="9">
        <v>34</v>
      </c>
      <c r="C1464" t="s" s="9">
        <v>67</v>
      </c>
      <c r="D1464" t="s" s="9">
        <v>43</v>
      </c>
      <c r="E1464" t="s" s="9">
        <v>33</v>
      </c>
      <c r="F1464" s="10">
        <v>2212</v>
      </c>
      <c r="G1464" s="10">
        <v>3817144</v>
      </c>
      <c r="H1464" s="11" cm="1">
        <f t="array" ref="H1464">F1464/G1464*100000</f>
        <v>57.9490844463819</v>
      </c>
    </row>
    <row r="1465" ht="13" customHeight="1">
      <c r="A1465" s="8">
        <v>3</v>
      </c>
      <c r="B1465" t="s" s="9">
        <v>30</v>
      </c>
      <c r="C1465" t="s" s="9">
        <v>67</v>
      </c>
      <c r="D1465" t="s" s="9">
        <v>43</v>
      </c>
      <c r="E1465" t="s" s="9">
        <v>33</v>
      </c>
      <c r="F1465" s="10">
        <v>1246</v>
      </c>
      <c r="G1465" s="10">
        <v>3817144</v>
      </c>
      <c r="H1465" s="11" cm="1">
        <f t="array" ref="H1465">F1465/G1465*100000</f>
        <v>32.6422057957468</v>
      </c>
    </row>
    <row r="1466" ht="13" customHeight="1">
      <c r="A1466" s="8">
        <v>4</v>
      </c>
      <c r="B1466" t="s" s="9">
        <v>45</v>
      </c>
      <c r="C1466" t="s" s="9">
        <v>67</v>
      </c>
      <c r="D1466" t="s" s="9">
        <v>43</v>
      </c>
      <c r="E1466" t="s" s="9">
        <v>33</v>
      </c>
      <c r="F1466" s="10">
        <v>1047</v>
      </c>
      <c r="G1466" s="10">
        <v>3817144</v>
      </c>
      <c r="H1466" s="11" cm="1">
        <f t="array" ref="H1466">F1466/G1466*100000</f>
        <v>27.4288840033281</v>
      </c>
    </row>
    <row r="1467" ht="13" customHeight="1">
      <c r="A1467" s="8">
        <v>5</v>
      </c>
      <c r="B1467" t="s" s="9">
        <v>30</v>
      </c>
      <c r="C1467" t="s" s="9">
        <v>67</v>
      </c>
      <c r="D1467" t="s" s="9">
        <v>43</v>
      </c>
      <c r="E1467" t="s" s="9">
        <v>33</v>
      </c>
      <c r="F1467" s="10">
        <v>883</v>
      </c>
      <c r="G1467" s="10">
        <v>3817144</v>
      </c>
      <c r="H1467" s="11" cm="1">
        <f t="array" ref="H1467">F1467/G1467*100000</f>
        <v>23.1324781040485</v>
      </c>
    </row>
    <row r="1468" ht="13" customHeight="1">
      <c r="A1468" s="8">
        <v>6</v>
      </c>
      <c r="B1468" t="s" s="9">
        <v>36</v>
      </c>
      <c r="C1468" t="s" s="9">
        <v>67</v>
      </c>
      <c r="D1468" t="s" s="9">
        <v>43</v>
      </c>
      <c r="E1468" t="s" s="9">
        <v>33</v>
      </c>
      <c r="F1468" s="10">
        <v>744</v>
      </c>
      <c r="G1468" s="10">
        <v>3817144</v>
      </c>
      <c r="H1468" s="11" cm="1">
        <f t="array" ref="H1468">F1468/G1468*100000</f>
        <v>19.4910121284395</v>
      </c>
    </row>
    <row r="1469" ht="13" customHeight="1">
      <c r="A1469" s="8">
        <v>7</v>
      </c>
      <c r="B1469" t="s" s="9">
        <v>37</v>
      </c>
      <c r="C1469" t="s" s="9">
        <v>67</v>
      </c>
      <c r="D1469" t="s" s="9">
        <v>43</v>
      </c>
      <c r="E1469" t="s" s="9">
        <v>33</v>
      </c>
      <c r="F1469" s="10">
        <v>617</v>
      </c>
      <c r="G1469" s="10">
        <v>3817144</v>
      </c>
      <c r="H1469" s="11" cm="1">
        <f t="array" ref="H1469">F1469/G1469*100000</f>
        <v>16.1639173161924</v>
      </c>
    </row>
    <row r="1470" ht="13" customHeight="1">
      <c r="A1470" s="8">
        <v>8</v>
      </c>
      <c r="B1470" t="s" s="9">
        <v>39</v>
      </c>
      <c r="C1470" t="s" s="9">
        <v>67</v>
      </c>
      <c r="D1470" t="s" s="9">
        <v>43</v>
      </c>
      <c r="E1470" t="s" s="9">
        <v>33</v>
      </c>
      <c r="F1470" s="10">
        <v>402</v>
      </c>
      <c r="G1470" s="10">
        <v>3817144</v>
      </c>
      <c r="H1470" s="11" cm="1">
        <f t="array" ref="H1470">F1470/G1470*100000</f>
        <v>10.5314339726246</v>
      </c>
    </row>
    <row r="1471" ht="13" customHeight="1">
      <c r="A1471" s="8">
        <v>9</v>
      </c>
      <c r="B1471" t="s" s="9">
        <v>35</v>
      </c>
      <c r="C1471" t="s" s="9">
        <v>67</v>
      </c>
      <c r="D1471" t="s" s="9">
        <v>43</v>
      </c>
      <c r="E1471" t="s" s="9">
        <v>33</v>
      </c>
      <c r="F1471" s="10">
        <v>667</v>
      </c>
      <c r="G1471" s="10">
        <v>3817144</v>
      </c>
      <c r="H1471" s="11" cm="1">
        <f t="array" ref="H1471">F1471/G1471*100000</f>
        <v>17.4737971635338</v>
      </c>
    </row>
    <row r="1472" ht="13" customHeight="1">
      <c r="A1472" s="8">
        <v>10</v>
      </c>
      <c r="B1472" t="s" s="9">
        <v>45</v>
      </c>
      <c r="C1472" t="s" s="9">
        <v>67</v>
      </c>
      <c r="D1472" t="s" s="9">
        <v>43</v>
      </c>
      <c r="E1472" t="s" s="9">
        <v>33</v>
      </c>
      <c r="F1472" s="10">
        <v>492</v>
      </c>
      <c r="G1472" s="10">
        <v>3817144</v>
      </c>
      <c r="H1472" s="11" cm="1">
        <f t="array" ref="H1472">F1472/G1472*100000</f>
        <v>12.889217697839</v>
      </c>
    </row>
    <row r="1473" ht="13" customHeight="1">
      <c r="A1473" s="8">
        <v>1</v>
      </c>
      <c r="B1473" t="s" s="9">
        <v>30</v>
      </c>
      <c r="C1473" t="s" s="9">
        <v>67</v>
      </c>
      <c r="D1473" t="s" s="9">
        <v>44</v>
      </c>
      <c r="E1473" t="s" s="9">
        <v>33</v>
      </c>
      <c r="F1473" s="10">
        <v>23363</v>
      </c>
      <c r="G1473" s="10">
        <v>13239670</v>
      </c>
      <c r="H1473" s="11" cm="1">
        <f t="array" ref="H1473">F1473/G1473*100000</f>
        <v>176.462102152093</v>
      </c>
    </row>
    <row r="1474" ht="13" customHeight="1">
      <c r="A1474" s="8">
        <v>2</v>
      </c>
      <c r="B1474" t="s" s="9">
        <v>34</v>
      </c>
      <c r="C1474" t="s" s="9">
        <v>67</v>
      </c>
      <c r="D1474" t="s" s="9">
        <v>44</v>
      </c>
      <c r="E1474" t="s" s="9">
        <v>33</v>
      </c>
      <c r="F1474" s="10">
        <v>9208</v>
      </c>
      <c r="G1474" s="10">
        <v>13239670</v>
      </c>
      <c r="H1474" s="11" cm="1">
        <f t="array" ref="H1474">F1474/G1474*100000</f>
        <v>69.5485612556808</v>
      </c>
    </row>
    <row r="1475" ht="13" customHeight="1">
      <c r="A1475" s="8">
        <v>3</v>
      </c>
      <c r="B1475" t="s" s="9">
        <v>35</v>
      </c>
      <c r="C1475" t="s" s="9">
        <v>67</v>
      </c>
      <c r="D1475" t="s" s="9">
        <v>44</v>
      </c>
      <c r="E1475" t="s" s="9">
        <v>33</v>
      </c>
      <c r="F1475" s="10">
        <v>5518</v>
      </c>
      <c r="G1475" s="10">
        <v>13239670</v>
      </c>
      <c r="H1475" s="11" cm="1">
        <f t="array" ref="H1475">F1475/G1475*100000</f>
        <v>41.6777759566515</v>
      </c>
    </row>
    <row r="1476" ht="13" customHeight="1">
      <c r="A1476" s="8">
        <v>4</v>
      </c>
      <c r="B1476" t="s" s="9">
        <v>37</v>
      </c>
      <c r="C1476" t="s" s="9">
        <v>67</v>
      </c>
      <c r="D1476" t="s" s="9">
        <v>44</v>
      </c>
      <c r="E1476" t="s" s="9">
        <v>33</v>
      </c>
      <c r="F1476" s="10">
        <v>3211</v>
      </c>
      <c r="G1476" s="10">
        <v>13239670</v>
      </c>
      <c r="H1476" s="11" cm="1">
        <f t="array" ref="H1476">F1476/G1476*100000</f>
        <v>24.2528703509982</v>
      </c>
    </row>
    <row r="1477" ht="13" customHeight="1">
      <c r="A1477" s="8">
        <v>5</v>
      </c>
      <c r="B1477" t="s" s="9">
        <v>39</v>
      </c>
      <c r="C1477" t="s" s="9">
        <v>67</v>
      </c>
      <c r="D1477" t="s" s="9">
        <v>44</v>
      </c>
      <c r="E1477" t="s" s="9">
        <v>33</v>
      </c>
      <c r="F1477" s="10">
        <v>2348</v>
      </c>
      <c r="G1477" s="10">
        <v>13239670</v>
      </c>
      <c r="H1477" s="11" cm="1">
        <f t="array" ref="H1477">F1477/G1477*100000</f>
        <v>17.7345809978648</v>
      </c>
    </row>
    <row r="1478" ht="13" customHeight="1">
      <c r="A1478" s="8">
        <v>6</v>
      </c>
      <c r="B1478" t="s" s="9">
        <v>30</v>
      </c>
      <c r="C1478" t="s" s="9">
        <v>67</v>
      </c>
      <c r="D1478" t="s" s="9">
        <v>44</v>
      </c>
      <c r="E1478" t="s" s="9">
        <v>33</v>
      </c>
      <c r="F1478" s="10">
        <v>2299</v>
      </c>
      <c r="G1478" s="10">
        <v>13239670</v>
      </c>
      <c r="H1478" s="11" cm="1">
        <f t="array" ref="H1478">F1478/G1478*100000</f>
        <v>17.3644811388803</v>
      </c>
    </row>
    <row r="1479" ht="13" customHeight="1">
      <c r="A1479" s="8">
        <v>7</v>
      </c>
      <c r="B1479" t="s" s="9">
        <v>41</v>
      </c>
      <c r="C1479" t="s" s="9">
        <v>67</v>
      </c>
      <c r="D1479" t="s" s="9">
        <v>44</v>
      </c>
      <c r="E1479" t="s" s="9">
        <v>33</v>
      </c>
      <c r="F1479" s="10">
        <v>2093</v>
      </c>
      <c r="G1479" s="10">
        <v>13239670</v>
      </c>
      <c r="H1479" s="11" cm="1">
        <f t="array" ref="H1479">F1479/G1479*100000</f>
        <v>15.8085511194765</v>
      </c>
    </row>
    <row r="1480" ht="13" customHeight="1">
      <c r="A1480" s="8">
        <v>8</v>
      </c>
      <c r="B1480" t="s" s="9">
        <v>30</v>
      </c>
      <c r="C1480" t="s" s="9">
        <v>67</v>
      </c>
      <c r="D1480" t="s" s="9">
        <v>44</v>
      </c>
      <c r="E1480" t="s" s="9">
        <v>33</v>
      </c>
      <c r="F1480" s="10">
        <v>1934</v>
      </c>
      <c r="G1480" s="10">
        <v>13239670</v>
      </c>
      <c r="H1480" s="11" cm="1">
        <f t="array" ref="H1480">F1480/G1480*100000</f>
        <v>14.6076148423639</v>
      </c>
    </row>
    <row r="1481" ht="13" customHeight="1">
      <c r="A1481" s="8">
        <v>9</v>
      </c>
      <c r="B1481" t="s" s="9">
        <v>36</v>
      </c>
      <c r="C1481" t="s" s="9">
        <v>67</v>
      </c>
      <c r="D1481" t="s" s="9">
        <v>44</v>
      </c>
      <c r="E1481" t="s" s="9">
        <v>33</v>
      </c>
      <c r="F1481" s="10">
        <v>1758</v>
      </c>
      <c r="G1481" s="10">
        <v>13239670</v>
      </c>
      <c r="H1481" s="11" cm="1">
        <f t="array" ref="H1481">F1481/G1481*100000</f>
        <v>13.2782765733587</v>
      </c>
    </row>
    <row r="1482" ht="13" customHeight="1">
      <c r="A1482" s="8">
        <v>10</v>
      </c>
      <c r="B1482" t="s" s="9">
        <v>30</v>
      </c>
      <c r="C1482" t="s" s="9">
        <v>67</v>
      </c>
      <c r="D1482" t="s" s="9">
        <v>44</v>
      </c>
      <c r="E1482" t="s" s="9">
        <v>33</v>
      </c>
      <c r="F1482" s="10">
        <v>1647</v>
      </c>
      <c r="G1482" s="10">
        <v>13239670</v>
      </c>
      <c r="H1482" s="11" cm="1">
        <f t="array" ref="H1482">F1482/G1482*100000</f>
        <v>12.4398870968838</v>
      </c>
    </row>
    <row r="1483" ht="13" customHeight="1">
      <c r="A1483" s="8">
        <v>1</v>
      </c>
      <c r="B1483" t="s" s="9">
        <v>30</v>
      </c>
      <c r="C1483" t="s" s="9">
        <v>67</v>
      </c>
      <c r="D1483" t="s" s="9">
        <v>46</v>
      </c>
      <c r="E1483" t="s" s="9">
        <v>33</v>
      </c>
      <c r="F1483" s="10">
        <v>19161</v>
      </c>
      <c r="G1483" s="10">
        <v>17477569</v>
      </c>
      <c r="H1483" s="11" cm="1">
        <f t="array" ref="H1483">F1483/G1483*100000</f>
        <v>109.631951674744</v>
      </c>
    </row>
    <row r="1484" ht="13" customHeight="1">
      <c r="A1484" s="8">
        <v>2</v>
      </c>
      <c r="B1484" t="s" s="9">
        <v>30</v>
      </c>
      <c r="C1484" t="s" s="9">
        <v>67</v>
      </c>
      <c r="D1484" t="s" s="9">
        <v>46</v>
      </c>
      <c r="E1484" t="s" s="9">
        <v>33</v>
      </c>
      <c r="F1484" s="10">
        <v>7183</v>
      </c>
      <c r="G1484" s="10">
        <v>17477569</v>
      </c>
      <c r="H1484" s="11" cm="1">
        <f t="array" ref="H1484">F1484/G1484*100000</f>
        <v>41.0983930316625</v>
      </c>
    </row>
    <row r="1485" ht="13" customHeight="1">
      <c r="A1485" s="8">
        <v>3</v>
      </c>
      <c r="B1485" t="s" s="9">
        <v>34</v>
      </c>
      <c r="C1485" t="s" s="9">
        <v>67</v>
      </c>
      <c r="D1485" t="s" s="9">
        <v>46</v>
      </c>
      <c r="E1485" t="s" s="9">
        <v>33</v>
      </c>
      <c r="F1485" s="10">
        <v>4743</v>
      </c>
      <c r="G1485" s="10">
        <v>17477569</v>
      </c>
      <c r="H1485" s="11" cm="1">
        <f t="array" ref="H1485">F1485/G1485*100000</f>
        <v>27.1376413962377</v>
      </c>
    </row>
    <row r="1486" ht="13" customHeight="1">
      <c r="A1486" s="8">
        <v>4</v>
      </c>
      <c r="B1486" t="s" s="9">
        <v>30</v>
      </c>
      <c r="C1486" t="s" s="9">
        <v>67</v>
      </c>
      <c r="D1486" t="s" s="9">
        <v>46</v>
      </c>
      <c r="E1486" t="s" s="9">
        <v>33</v>
      </c>
      <c r="F1486" s="10">
        <v>5305</v>
      </c>
      <c r="G1486" s="10">
        <v>17477569</v>
      </c>
      <c r="H1486" s="11" cm="1">
        <f t="array" ref="H1486">F1486/G1486*100000</f>
        <v>30.3531915680035</v>
      </c>
    </row>
    <row r="1487" ht="13" customHeight="1">
      <c r="A1487" s="8">
        <v>5</v>
      </c>
      <c r="B1487" t="s" s="9">
        <v>35</v>
      </c>
      <c r="C1487" t="s" s="9">
        <v>67</v>
      </c>
      <c r="D1487" t="s" s="9">
        <v>46</v>
      </c>
      <c r="E1487" t="s" s="9">
        <v>33</v>
      </c>
      <c r="F1487" s="10">
        <v>5096</v>
      </c>
      <c r="G1487" s="10">
        <v>17477569</v>
      </c>
      <c r="H1487" s="11" cm="1">
        <f t="array" ref="H1487">F1487/G1487*100000</f>
        <v>29.1573730877561</v>
      </c>
    </row>
    <row r="1488" ht="13" customHeight="1">
      <c r="A1488" s="8">
        <v>6</v>
      </c>
      <c r="B1488" t="s" s="9">
        <v>39</v>
      </c>
      <c r="C1488" t="s" s="9">
        <v>67</v>
      </c>
      <c r="D1488" t="s" s="9">
        <v>46</v>
      </c>
      <c r="E1488" t="s" s="9">
        <v>33</v>
      </c>
      <c r="F1488" s="10">
        <v>2663</v>
      </c>
      <c r="G1488" s="10">
        <v>17477569</v>
      </c>
      <c r="H1488" s="11" cm="1">
        <f t="array" ref="H1488">F1488/G1488*100000</f>
        <v>15.2366727889903</v>
      </c>
    </row>
    <row r="1489" ht="13" customHeight="1">
      <c r="A1489" s="8">
        <v>7</v>
      </c>
      <c r="B1489" t="s" s="9">
        <v>41</v>
      </c>
      <c r="C1489" t="s" s="9">
        <v>67</v>
      </c>
      <c r="D1489" t="s" s="9">
        <v>46</v>
      </c>
      <c r="E1489" t="s" s="9">
        <v>33</v>
      </c>
      <c r="F1489" s="10">
        <v>2786</v>
      </c>
      <c r="G1489" s="10">
        <v>17477569</v>
      </c>
      <c r="H1489" s="11" cm="1">
        <f t="array" ref="H1489">F1489/G1489*100000</f>
        <v>15.9404319902842</v>
      </c>
    </row>
    <row r="1490" ht="13" customHeight="1">
      <c r="A1490" s="8">
        <v>8</v>
      </c>
      <c r="B1490" t="s" s="9">
        <v>37</v>
      </c>
      <c r="C1490" t="s" s="9">
        <v>67</v>
      </c>
      <c r="D1490" t="s" s="9">
        <v>46</v>
      </c>
      <c r="E1490" t="s" s="9">
        <v>33</v>
      </c>
      <c r="F1490" s="10">
        <v>1492</v>
      </c>
      <c r="G1490" s="10">
        <v>17477569</v>
      </c>
      <c r="H1490" s="11" cm="1">
        <f t="array" ref="H1490">F1490/G1490*100000</f>
        <v>8.53665632789091</v>
      </c>
    </row>
    <row r="1491" ht="13" customHeight="1">
      <c r="A1491" s="8">
        <v>9</v>
      </c>
      <c r="B1491" t="s" s="9">
        <v>45</v>
      </c>
      <c r="C1491" t="s" s="9">
        <v>67</v>
      </c>
      <c r="D1491" t="s" s="9">
        <v>46</v>
      </c>
      <c r="E1491" t="s" s="9">
        <v>33</v>
      </c>
      <c r="F1491" s="10">
        <v>1650</v>
      </c>
      <c r="G1491" s="10">
        <v>17477569</v>
      </c>
      <c r="H1491" s="11" cm="1">
        <f t="array" ref="H1491">F1491/G1491*100000</f>
        <v>9.440672212479891</v>
      </c>
    </row>
    <row r="1492" ht="13" customHeight="1">
      <c r="A1492" s="8">
        <v>10</v>
      </c>
      <c r="B1492" t="s" s="9">
        <v>30</v>
      </c>
      <c r="C1492" t="s" s="9">
        <v>67</v>
      </c>
      <c r="D1492" t="s" s="9">
        <v>46</v>
      </c>
      <c r="E1492" t="s" s="9">
        <v>33</v>
      </c>
      <c r="F1492" s="10">
        <v>1316</v>
      </c>
      <c r="G1492" s="10">
        <v>17477569</v>
      </c>
      <c r="H1492" s="11" cm="1">
        <f t="array" ref="H1492">F1492/G1492*100000</f>
        <v>7.52965129189305</v>
      </c>
    </row>
    <row r="1493" ht="13" customHeight="1">
      <c r="A1493" s="8">
        <v>1</v>
      </c>
      <c r="B1493" t="s" s="9">
        <v>30</v>
      </c>
      <c r="C1493" t="s" s="9">
        <v>67</v>
      </c>
      <c r="D1493" t="s" s="9">
        <v>47</v>
      </c>
      <c r="E1493" t="s" s="9">
        <v>33</v>
      </c>
      <c r="F1493" s="10">
        <v>2200</v>
      </c>
      <c r="G1493" s="10">
        <v>3342831</v>
      </c>
      <c r="H1493" s="11" cm="1">
        <f t="array" ref="H1493">F1493/G1493*100000</f>
        <v>65.8124804993133</v>
      </c>
    </row>
    <row r="1494" ht="13" customHeight="1">
      <c r="A1494" s="8">
        <v>2</v>
      </c>
      <c r="B1494" t="s" s="9">
        <v>35</v>
      </c>
      <c r="C1494" t="s" s="9">
        <v>67</v>
      </c>
      <c r="D1494" t="s" s="9">
        <v>47</v>
      </c>
      <c r="E1494" t="s" s="9">
        <v>33</v>
      </c>
      <c r="F1494" s="10">
        <v>1805</v>
      </c>
      <c r="G1494" s="10">
        <v>3342831</v>
      </c>
      <c r="H1494" s="11" cm="1">
        <f t="array" ref="H1494">F1494/G1494*100000</f>
        <v>53.9961487733002</v>
      </c>
    </row>
    <row r="1495" ht="13" customHeight="1">
      <c r="A1495" s="8">
        <v>3</v>
      </c>
      <c r="B1495" t="s" s="9">
        <v>34</v>
      </c>
      <c r="C1495" t="s" s="9">
        <v>67</v>
      </c>
      <c r="D1495" t="s" s="9">
        <v>47</v>
      </c>
      <c r="E1495" t="s" s="9">
        <v>33</v>
      </c>
      <c r="F1495" s="10">
        <v>408</v>
      </c>
      <c r="G1495" s="10">
        <v>3342831</v>
      </c>
      <c r="H1495" s="11" cm="1">
        <f t="array" ref="H1495">F1495/G1495*100000</f>
        <v>12.2052236562363</v>
      </c>
    </row>
    <row r="1496" ht="13" customHeight="1">
      <c r="A1496" s="8">
        <v>4</v>
      </c>
      <c r="B1496" t="s" s="9">
        <v>30</v>
      </c>
      <c r="C1496" t="s" s="9">
        <v>67</v>
      </c>
      <c r="D1496" t="s" s="9">
        <v>47</v>
      </c>
      <c r="E1496" t="s" s="9">
        <v>33</v>
      </c>
      <c r="F1496" s="10">
        <v>479</v>
      </c>
      <c r="G1496" s="10">
        <v>3342831</v>
      </c>
      <c r="H1496" s="11" cm="1">
        <f t="array" ref="H1496">F1496/G1496*100000</f>
        <v>14.3291718905323</v>
      </c>
    </row>
    <row r="1497" ht="13" customHeight="1">
      <c r="A1497" s="8">
        <v>5</v>
      </c>
      <c r="B1497" t="s" s="9">
        <v>39</v>
      </c>
      <c r="C1497" t="s" s="9">
        <v>67</v>
      </c>
      <c r="D1497" t="s" s="9">
        <v>47</v>
      </c>
      <c r="E1497" t="s" s="9">
        <v>33</v>
      </c>
      <c r="F1497" s="10">
        <v>270</v>
      </c>
      <c r="G1497" s="10">
        <v>3342831</v>
      </c>
      <c r="H1497" s="11" cm="1">
        <f t="array" ref="H1497">F1497/G1497*100000</f>
        <v>8.07698624309754</v>
      </c>
    </row>
    <row r="1498" ht="13" customHeight="1">
      <c r="A1498" s="8">
        <v>6</v>
      </c>
      <c r="B1498" t="s" s="9">
        <v>30</v>
      </c>
      <c r="C1498" t="s" s="9">
        <v>67</v>
      </c>
      <c r="D1498" t="s" s="9">
        <v>47</v>
      </c>
      <c r="E1498" t="s" s="9">
        <v>33</v>
      </c>
      <c r="F1498" s="10">
        <v>451</v>
      </c>
      <c r="G1498" s="10">
        <v>3342831</v>
      </c>
      <c r="H1498" s="11" cm="1">
        <f t="array" ref="H1498">F1498/G1498*100000</f>
        <v>13.4915585023592</v>
      </c>
    </row>
    <row r="1499" ht="13" customHeight="1">
      <c r="A1499" s="8">
        <v>7</v>
      </c>
      <c r="B1499" t="s" s="9">
        <v>35</v>
      </c>
      <c r="C1499" t="s" s="9">
        <v>67</v>
      </c>
      <c r="D1499" t="s" s="9">
        <v>47</v>
      </c>
      <c r="E1499" t="s" s="9">
        <v>33</v>
      </c>
      <c r="F1499" s="10">
        <v>470</v>
      </c>
      <c r="G1499" s="10">
        <v>3342831</v>
      </c>
      <c r="H1499" s="11" cm="1">
        <f t="array" ref="H1499">F1499/G1499*100000</f>
        <v>14.0599390157624</v>
      </c>
    </row>
    <row r="1500" ht="13" customHeight="1">
      <c r="A1500" s="8">
        <v>8</v>
      </c>
      <c r="B1500" t="s" s="9">
        <v>45</v>
      </c>
      <c r="C1500" t="s" s="9">
        <v>67</v>
      </c>
      <c r="D1500" t="s" s="9">
        <v>47</v>
      </c>
      <c r="E1500" t="s" s="9">
        <v>33</v>
      </c>
      <c r="F1500" s="10">
        <v>294</v>
      </c>
      <c r="G1500" s="10">
        <v>3342831</v>
      </c>
      <c r="H1500" s="11" cm="1">
        <f t="array" ref="H1500">F1500/G1500*100000</f>
        <v>8.79494057581732</v>
      </c>
    </row>
    <row r="1501" ht="13" customHeight="1">
      <c r="A1501" s="8">
        <v>9</v>
      </c>
      <c r="B1501" t="s" s="9">
        <v>41</v>
      </c>
      <c r="C1501" t="s" s="9">
        <v>67</v>
      </c>
      <c r="D1501" t="s" s="9">
        <v>47</v>
      </c>
      <c r="E1501" t="s" s="9">
        <v>33</v>
      </c>
      <c r="F1501" s="10">
        <v>208</v>
      </c>
      <c r="G1501" s="10">
        <v>3342831</v>
      </c>
      <c r="H1501" s="11" cm="1">
        <f t="array" ref="H1501">F1501/G1501*100000</f>
        <v>6.22227088357144</v>
      </c>
    </row>
    <row r="1502" ht="13" customHeight="1">
      <c r="A1502" s="8">
        <v>10</v>
      </c>
      <c r="B1502" t="s" s="9">
        <v>37</v>
      </c>
      <c r="C1502" t="s" s="9">
        <v>67</v>
      </c>
      <c r="D1502" t="s" s="9">
        <v>47</v>
      </c>
      <c r="E1502" t="s" s="9">
        <v>33</v>
      </c>
      <c r="F1502" s="10">
        <v>127</v>
      </c>
      <c r="G1502" s="10">
        <v>3342831</v>
      </c>
      <c r="H1502" s="11" cm="1">
        <f t="array" ref="H1502">F1502/G1502*100000</f>
        <v>3.79917501064218</v>
      </c>
    </row>
    <row r="1503" ht="13" customHeight="1">
      <c r="A1503" s="8">
        <v>1</v>
      </c>
      <c r="B1503" t="s" s="9">
        <v>30</v>
      </c>
      <c r="C1503" t="s" s="9">
        <v>67</v>
      </c>
      <c r="D1503" t="s" s="9">
        <v>49</v>
      </c>
      <c r="E1503" t="s" s="9">
        <v>33</v>
      </c>
      <c r="F1503" s="10">
        <v>5266</v>
      </c>
      <c r="G1503" s="10">
        <v>6397690</v>
      </c>
      <c r="H1503" s="11" cm="1">
        <f t="array" ref="H1503">F1503/G1503*100000</f>
        <v>82.31095911180439</v>
      </c>
    </row>
    <row r="1504" ht="13" customHeight="1">
      <c r="A1504" s="8">
        <v>2</v>
      </c>
      <c r="B1504" t="s" s="9">
        <v>34</v>
      </c>
      <c r="C1504" t="s" s="9">
        <v>67</v>
      </c>
      <c r="D1504" t="s" s="9">
        <v>49</v>
      </c>
      <c r="E1504" t="s" s="9">
        <v>33</v>
      </c>
      <c r="F1504" s="10">
        <v>2957</v>
      </c>
      <c r="G1504" s="10">
        <v>6397690</v>
      </c>
      <c r="H1504" s="11" cm="1">
        <f t="array" ref="H1504">F1504/G1504*100000</f>
        <v>46.2198074617557</v>
      </c>
    </row>
    <row r="1505" ht="13" customHeight="1">
      <c r="A1505" s="8">
        <v>3</v>
      </c>
      <c r="B1505" t="s" s="9">
        <v>35</v>
      </c>
      <c r="C1505" t="s" s="9">
        <v>67</v>
      </c>
      <c r="D1505" t="s" s="9">
        <v>49</v>
      </c>
      <c r="E1505" t="s" s="9">
        <v>33</v>
      </c>
      <c r="F1505" s="10">
        <v>1788</v>
      </c>
      <c r="G1505" s="10">
        <v>6397690</v>
      </c>
      <c r="H1505" s="11" cm="1">
        <f t="array" ref="H1505">F1505/G1505*100000</f>
        <v>27.9475873323028</v>
      </c>
    </row>
    <row r="1506" ht="13" customHeight="1">
      <c r="A1506" s="8">
        <v>4</v>
      </c>
      <c r="B1506" t="s" s="9">
        <v>37</v>
      </c>
      <c r="C1506" t="s" s="9">
        <v>67</v>
      </c>
      <c r="D1506" t="s" s="9">
        <v>49</v>
      </c>
      <c r="E1506" t="s" s="9">
        <v>33</v>
      </c>
      <c r="F1506" s="10">
        <v>1040</v>
      </c>
      <c r="G1506" s="10">
        <v>6397690</v>
      </c>
      <c r="H1506" s="11" cm="1">
        <f t="array" ref="H1506">F1506/G1506*100000</f>
        <v>16.2558673521224</v>
      </c>
    </row>
    <row r="1507" ht="13" customHeight="1">
      <c r="A1507" s="8">
        <v>5</v>
      </c>
      <c r="B1507" t="s" s="9">
        <v>30</v>
      </c>
      <c r="C1507" t="s" s="9">
        <v>67</v>
      </c>
      <c r="D1507" t="s" s="9">
        <v>49</v>
      </c>
      <c r="E1507" t="s" s="9">
        <v>33</v>
      </c>
      <c r="F1507" s="10">
        <v>1195</v>
      </c>
      <c r="G1507" s="10">
        <v>6397690</v>
      </c>
      <c r="H1507" s="11" cm="1">
        <f t="array" ref="H1507">F1507/G1507*100000</f>
        <v>18.678616813256</v>
      </c>
    </row>
    <row r="1508" ht="13" customHeight="1">
      <c r="A1508" s="8">
        <v>6</v>
      </c>
      <c r="B1508" t="s" s="9">
        <v>39</v>
      </c>
      <c r="C1508" t="s" s="9">
        <v>67</v>
      </c>
      <c r="D1508" t="s" s="9">
        <v>49</v>
      </c>
      <c r="E1508" t="s" s="9">
        <v>33</v>
      </c>
      <c r="F1508" s="10">
        <v>691</v>
      </c>
      <c r="G1508" s="10">
        <v>6397690</v>
      </c>
      <c r="H1508" s="11" cm="1">
        <f t="array" ref="H1508">F1508/G1508*100000</f>
        <v>10.8007734041506</v>
      </c>
    </row>
    <row r="1509" ht="13" customHeight="1">
      <c r="A1509" s="8">
        <v>7</v>
      </c>
      <c r="B1509" t="s" s="9">
        <v>30</v>
      </c>
      <c r="C1509" t="s" s="9">
        <v>67</v>
      </c>
      <c r="D1509" t="s" s="9">
        <v>49</v>
      </c>
      <c r="E1509" t="s" s="9">
        <v>33</v>
      </c>
      <c r="F1509" s="10">
        <v>916</v>
      </c>
      <c r="G1509" s="10">
        <v>6397690</v>
      </c>
      <c r="H1509" s="11" cm="1">
        <f t="array" ref="H1509">F1509/G1509*100000</f>
        <v>14.3176677832155</v>
      </c>
    </row>
    <row r="1510" ht="13" customHeight="1">
      <c r="A1510" s="8">
        <v>8</v>
      </c>
      <c r="B1510" t="s" s="9">
        <v>36</v>
      </c>
      <c r="C1510" t="s" s="9">
        <v>67</v>
      </c>
      <c r="D1510" t="s" s="9">
        <v>49</v>
      </c>
      <c r="E1510" t="s" s="9">
        <v>33</v>
      </c>
      <c r="F1510" s="10">
        <v>917</v>
      </c>
      <c r="G1510" s="10">
        <v>6397690</v>
      </c>
      <c r="H1510" s="11" cm="1">
        <f t="array" ref="H1510">F1510/G1510*100000</f>
        <v>14.3332984249002</v>
      </c>
    </row>
    <row r="1511" ht="13" customHeight="1">
      <c r="A1511" s="8">
        <v>9</v>
      </c>
      <c r="B1511" t="s" s="9">
        <v>36</v>
      </c>
      <c r="C1511" t="s" s="9">
        <v>67</v>
      </c>
      <c r="D1511" t="s" s="9">
        <v>49</v>
      </c>
      <c r="E1511" t="s" s="9">
        <v>33</v>
      </c>
      <c r="F1511" s="10">
        <v>707</v>
      </c>
      <c r="G1511" s="10">
        <v>6397690</v>
      </c>
      <c r="H1511" s="11" cm="1">
        <f t="array" ref="H1511">F1511/G1511*100000</f>
        <v>11.0508636711063</v>
      </c>
    </row>
    <row r="1512" ht="13" customHeight="1">
      <c r="A1512" s="8">
        <v>10</v>
      </c>
      <c r="B1512" t="s" s="9">
        <v>41</v>
      </c>
      <c r="C1512" t="s" s="9">
        <v>67</v>
      </c>
      <c r="D1512" t="s" s="9">
        <v>49</v>
      </c>
      <c r="E1512" t="s" s="9">
        <v>33</v>
      </c>
      <c r="F1512" s="10">
        <v>657</v>
      </c>
      <c r="G1512" s="10">
        <v>6397690</v>
      </c>
      <c r="H1512" s="11" cm="1">
        <f t="array" ref="H1512">F1512/G1512*100000</f>
        <v>10.2693315868696</v>
      </c>
    </row>
    <row r="1513" ht="13.65" customHeight="1">
      <c r="A1513" s="8">
        <v>1</v>
      </c>
      <c r="B1513" t="s" s="9">
        <v>30</v>
      </c>
      <c r="C1513" t="s" s="9">
        <v>67</v>
      </c>
      <c r="D1513" t="s" s="9">
        <v>51</v>
      </c>
      <c r="E1513" t="s" s="9">
        <v>33</v>
      </c>
      <c r="F1513" s="10">
        <v>3529</v>
      </c>
      <c r="G1513" s="12"/>
      <c r="H1513" s="13"/>
    </row>
    <row r="1514" ht="13.65" customHeight="1">
      <c r="A1514" s="8">
        <v>2</v>
      </c>
      <c r="B1514" t="s" s="9">
        <v>34</v>
      </c>
      <c r="C1514" t="s" s="9">
        <v>67</v>
      </c>
      <c r="D1514" t="s" s="9">
        <v>51</v>
      </c>
      <c r="E1514" t="s" s="9">
        <v>33</v>
      </c>
      <c r="F1514" s="10">
        <v>1958</v>
      </c>
      <c r="G1514" s="14"/>
      <c r="H1514" s="15"/>
    </row>
    <row r="1515" ht="13.65" customHeight="1">
      <c r="A1515" s="8">
        <v>3</v>
      </c>
      <c r="B1515" t="s" s="9">
        <v>35</v>
      </c>
      <c r="C1515" t="s" s="9">
        <v>67</v>
      </c>
      <c r="D1515" t="s" s="9">
        <v>51</v>
      </c>
      <c r="E1515" t="s" s="9">
        <v>33</v>
      </c>
      <c r="F1515" s="10">
        <v>1301</v>
      </c>
      <c r="G1515" s="14"/>
      <c r="H1515" s="15"/>
    </row>
    <row r="1516" ht="13.65" customHeight="1">
      <c r="A1516" s="8">
        <v>4</v>
      </c>
      <c r="B1516" t="s" s="9">
        <v>30</v>
      </c>
      <c r="C1516" t="s" s="9">
        <v>67</v>
      </c>
      <c r="D1516" t="s" s="9">
        <v>51</v>
      </c>
      <c r="E1516" t="s" s="9">
        <v>33</v>
      </c>
      <c r="F1516" s="10">
        <v>1211</v>
      </c>
      <c r="G1516" s="14"/>
      <c r="H1516" s="15"/>
    </row>
    <row r="1517" ht="13.65" customHeight="1">
      <c r="A1517" s="8">
        <v>5</v>
      </c>
      <c r="B1517" t="s" s="9">
        <v>39</v>
      </c>
      <c r="C1517" t="s" s="9">
        <v>67</v>
      </c>
      <c r="D1517" t="s" s="9">
        <v>51</v>
      </c>
      <c r="E1517" t="s" s="9">
        <v>33</v>
      </c>
      <c r="F1517" s="10">
        <v>387</v>
      </c>
      <c r="G1517" s="14"/>
      <c r="H1517" s="15"/>
    </row>
    <row r="1518" ht="13.65" customHeight="1">
      <c r="A1518" s="8">
        <v>6</v>
      </c>
      <c r="B1518" t="s" s="9">
        <v>45</v>
      </c>
      <c r="C1518" t="s" s="9">
        <v>67</v>
      </c>
      <c r="D1518" t="s" s="9">
        <v>51</v>
      </c>
      <c r="E1518" t="s" s="9">
        <v>33</v>
      </c>
      <c r="F1518" s="10">
        <v>628</v>
      </c>
      <c r="G1518" s="14"/>
      <c r="H1518" s="15"/>
    </row>
    <row r="1519" ht="13.65" customHeight="1">
      <c r="A1519" s="8">
        <v>7</v>
      </c>
      <c r="B1519" t="s" s="9">
        <v>41</v>
      </c>
      <c r="C1519" t="s" s="9">
        <v>67</v>
      </c>
      <c r="D1519" t="s" s="9">
        <v>51</v>
      </c>
      <c r="E1519" t="s" s="9">
        <v>33</v>
      </c>
      <c r="F1519" s="10">
        <v>434</v>
      </c>
      <c r="G1519" s="14"/>
      <c r="H1519" s="15"/>
    </row>
    <row r="1520" ht="13.65" customHeight="1">
      <c r="A1520" s="8">
        <v>8</v>
      </c>
      <c r="B1520" t="s" s="9">
        <v>37</v>
      </c>
      <c r="C1520" t="s" s="9">
        <v>67</v>
      </c>
      <c r="D1520" t="s" s="9">
        <v>51</v>
      </c>
      <c r="E1520" t="s" s="9">
        <v>33</v>
      </c>
      <c r="F1520" s="10">
        <v>375</v>
      </c>
      <c r="G1520" s="14"/>
      <c r="H1520" s="15"/>
    </row>
    <row r="1521" ht="13.65" customHeight="1">
      <c r="A1521" s="8">
        <v>9</v>
      </c>
      <c r="B1521" t="s" s="9">
        <v>35</v>
      </c>
      <c r="C1521" t="s" s="9">
        <v>67</v>
      </c>
      <c r="D1521" t="s" s="9">
        <v>51</v>
      </c>
      <c r="E1521" t="s" s="9">
        <v>33</v>
      </c>
      <c r="F1521" s="10">
        <v>637</v>
      </c>
      <c r="G1521" s="14"/>
      <c r="H1521" s="15"/>
    </row>
    <row r="1522" ht="13.65" customHeight="1">
      <c r="A1522" s="8">
        <v>10</v>
      </c>
      <c r="B1522" t="s" s="9">
        <v>30</v>
      </c>
      <c r="C1522" t="s" s="9">
        <v>67</v>
      </c>
      <c r="D1522" t="s" s="9">
        <v>51</v>
      </c>
      <c r="E1522" t="s" s="9">
        <v>33</v>
      </c>
      <c r="F1522" s="10">
        <v>419</v>
      </c>
      <c r="G1522" s="14"/>
      <c r="H1522" s="15"/>
    </row>
    <row r="1523" ht="13.65" customHeight="1">
      <c r="A1523" s="8">
        <v>1</v>
      </c>
      <c r="B1523" t="s" s="9">
        <v>35</v>
      </c>
      <c r="C1523" t="s" s="9">
        <v>67</v>
      </c>
      <c r="D1523" t="s" s="9">
        <v>52</v>
      </c>
      <c r="E1523" t="s" s="9">
        <v>33</v>
      </c>
      <c r="F1523" s="10">
        <v>5440</v>
      </c>
      <c r="G1523" s="14"/>
      <c r="H1523" s="15"/>
    </row>
    <row r="1524" ht="13.65" customHeight="1">
      <c r="A1524" s="8">
        <v>2</v>
      </c>
      <c r="B1524" t="s" s="9">
        <v>30</v>
      </c>
      <c r="C1524" t="s" s="9">
        <v>67</v>
      </c>
      <c r="D1524" t="s" s="9">
        <v>52</v>
      </c>
      <c r="E1524" t="s" s="9">
        <v>33</v>
      </c>
      <c r="F1524" s="10">
        <v>3940</v>
      </c>
      <c r="G1524" s="14"/>
      <c r="H1524" s="15"/>
    </row>
    <row r="1525" ht="13.65" customHeight="1">
      <c r="A1525" s="8">
        <v>3</v>
      </c>
      <c r="B1525" t="s" s="9">
        <v>34</v>
      </c>
      <c r="C1525" t="s" s="9">
        <v>67</v>
      </c>
      <c r="D1525" t="s" s="9">
        <v>52</v>
      </c>
      <c r="E1525" t="s" s="9">
        <v>33</v>
      </c>
      <c r="F1525" s="10">
        <v>1600</v>
      </c>
      <c r="G1525" s="14"/>
      <c r="H1525" s="15"/>
    </row>
    <row r="1526" ht="13.65" customHeight="1">
      <c r="A1526" s="8">
        <v>4</v>
      </c>
      <c r="B1526" t="s" s="9">
        <v>30</v>
      </c>
      <c r="C1526" t="s" s="9">
        <v>67</v>
      </c>
      <c r="D1526" t="s" s="9">
        <v>52</v>
      </c>
      <c r="E1526" t="s" s="9">
        <v>33</v>
      </c>
      <c r="F1526" s="10">
        <v>1570</v>
      </c>
      <c r="G1526" s="14"/>
      <c r="H1526" s="15"/>
    </row>
    <row r="1527" ht="13.65" customHeight="1">
      <c r="A1527" s="8">
        <v>5</v>
      </c>
      <c r="B1527" t="s" s="9">
        <v>39</v>
      </c>
      <c r="C1527" t="s" s="9">
        <v>67</v>
      </c>
      <c r="D1527" t="s" s="9">
        <v>52</v>
      </c>
      <c r="E1527" t="s" s="9">
        <v>33</v>
      </c>
      <c r="F1527" s="10">
        <v>519</v>
      </c>
      <c r="G1527" s="14"/>
      <c r="H1527" s="15"/>
    </row>
    <row r="1528" ht="13.65" customHeight="1">
      <c r="A1528" s="8">
        <v>6</v>
      </c>
      <c r="B1528" t="s" s="9">
        <v>35</v>
      </c>
      <c r="C1528" t="s" s="9">
        <v>67</v>
      </c>
      <c r="D1528" t="s" s="9">
        <v>52</v>
      </c>
      <c r="E1528" t="s" s="9">
        <v>33</v>
      </c>
      <c r="F1528" s="10">
        <v>988</v>
      </c>
      <c r="G1528" s="14"/>
      <c r="H1528" s="15"/>
    </row>
    <row r="1529" ht="13.65" customHeight="1">
      <c r="A1529" s="8">
        <v>7</v>
      </c>
      <c r="B1529" t="s" s="9">
        <v>37</v>
      </c>
      <c r="C1529" t="s" s="9">
        <v>67</v>
      </c>
      <c r="D1529" t="s" s="9">
        <v>52</v>
      </c>
      <c r="E1529" t="s" s="9">
        <v>33</v>
      </c>
      <c r="F1529" s="10">
        <v>485</v>
      </c>
      <c r="G1529" s="14"/>
      <c r="H1529" s="15"/>
    </row>
    <row r="1530" ht="13.65" customHeight="1">
      <c r="A1530" s="8">
        <v>8</v>
      </c>
      <c r="B1530" t="s" s="9">
        <v>45</v>
      </c>
      <c r="C1530" t="s" s="9">
        <v>67</v>
      </c>
      <c r="D1530" t="s" s="9">
        <v>52</v>
      </c>
      <c r="E1530" t="s" s="9">
        <v>33</v>
      </c>
      <c r="F1530" s="10">
        <v>651</v>
      </c>
      <c r="G1530" s="14"/>
      <c r="H1530" s="15"/>
    </row>
    <row r="1531" ht="13.65" customHeight="1">
      <c r="A1531" s="8">
        <v>9</v>
      </c>
      <c r="B1531" t="s" s="9">
        <v>36</v>
      </c>
      <c r="C1531" t="s" s="9">
        <v>67</v>
      </c>
      <c r="D1531" t="s" s="9">
        <v>52</v>
      </c>
      <c r="E1531" t="s" s="9">
        <v>33</v>
      </c>
      <c r="F1531" s="10">
        <v>627</v>
      </c>
      <c r="G1531" s="14"/>
      <c r="H1531" s="15"/>
    </row>
    <row r="1532" ht="13.65" customHeight="1">
      <c r="A1532" s="8">
        <v>10</v>
      </c>
      <c r="B1532" t="s" s="9">
        <v>30</v>
      </c>
      <c r="C1532" t="s" s="9">
        <v>67</v>
      </c>
      <c r="D1532" t="s" s="9">
        <v>52</v>
      </c>
      <c r="E1532" t="s" s="9">
        <v>33</v>
      </c>
      <c r="F1532" s="10">
        <v>499</v>
      </c>
      <c r="G1532" s="16"/>
      <c r="H1532" s="17"/>
    </row>
    <row r="1533" ht="13" customHeight="1">
      <c r="A1533" s="8">
        <v>1</v>
      </c>
      <c r="B1533" t="s" s="9">
        <v>30</v>
      </c>
      <c r="C1533" t="s" s="9">
        <v>67</v>
      </c>
      <c r="D1533" t="s" s="9">
        <v>53</v>
      </c>
      <c r="E1533" t="s" s="9">
        <v>33</v>
      </c>
      <c r="F1533" s="10">
        <v>4458</v>
      </c>
      <c r="G1533" s="10">
        <v>5049226</v>
      </c>
      <c r="H1533" s="11" cm="1">
        <f t="array" ref="H1533">F1533/G1533*100000</f>
        <v>88.2907598115038</v>
      </c>
    </row>
    <row r="1534" ht="13" customHeight="1">
      <c r="A1534" s="8">
        <v>2</v>
      </c>
      <c r="B1534" t="s" s="9">
        <v>34</v>
      </c>
      <c r="C1534" t="s" s="9">
        <v>67</v>
      </c>
      <c r="D1534" t="s" s="9">
        <v>53</v>
      </c>
      <c r="E1534" t="s" s="9">
        <v>33</v>
      </c>
      <c r="F1534" s="10">
        <v>2167</v>
      </c>
      <c r="G1534" s="10">
        <v>5049226</v>
      </c>
      <c r="H1534" s="11" cm="1">
        <f t="array" ref="H1534">F1534/G1534*100000</f>
        <v>42.9174689348427</v>
      </c>
    </row>
    <row r="1535" ht="13" customHeight="1">
      <c r="A1535" s="8">
        <v>3</v>
      </c>
      <c r="B1535" t="s" s="9">
        <v>35</v>
      </c>
      <c r="C1535" t="s" s="9">
        <v>67</v>
      </c>
      <c r="D1535" t="s" s="9">
        <v>53</v>
      </c>
      <c r="E1535" t="s" s="9">
        <v>33</v>
      </c>
      <c r="F1535" s="10">
        <v>2017</v>
      </c>
      <c r="G1535" s="10">
        <v>5049226</v>
      </c>
      <c r="H1535" s="11" cm="1">
        <f t="array" ref="H1535">F1535/G1535*100000</f>
        <v>39.9467165858688</v>
      </c>
    </row>
    <row r="1536" ht="13" customHeight="1">
      <c r="A1536" s="8">
        <v>4</v>
      </c>
      <c r="B1536" t="s" s="9">
        <v>30</v>
      </c>
      <c r="C1536" t="s" s="9">
        <v>67</v>
      </c>
      <c r="D1536" t="s" s="9">
        <v>53</v>
      </c>
      <c r="E1536" t="s" s="9">
        <v>33</v>
      </c>
      <c r="F1536" s="10">
        <v>1827</v>
      </c>
      <c r="G1536" s="10">
        <v>5049226</v>
      </c>
      <c r="H1536" s="11" cm="1">
        <f t="array" ref="H1536">F1536/G1536*100000</f>
        <v>36.1837636105019</v>
      </c>
    </row>
    <row r="1537" ht="13" customHeight="1">
      <c r="A1537" s="8">
        <v>5</v>
      </c>
      <c r="B1537" t="s" s="9">
        <v>30</v>
      </c>
      <c r="C1537" t="s" s="9">
        <v>67</v>
      </c>
      <c r="D1537" t="s" s="9">
        <v>53</v>
      </c>
      <c r="E1537" t="s" s="9">
        <v>33</v>
      </c>
      <c r="F1537" s="10">
        <v>997</v>
      </c>
      <c r="G1537" s="10">
        <v>5049226</v>
      </c>
      <c r="H1537" s="11" cm="1">
        <f t="array" ref="H1537">F1537/G1537*100000</f>
        <v>19.7456006128464</v>
      </c>
    </row>
    <row r="1538" ht="13" customHeight="1">
      <c r="A1538" s="8">
        <v>6</v>
      </c>
      <c r="B1538" t="s" s="9">
        <v>39</v>
      </c>
      <c r="C1538" t="s" s="9">
        <v>67</v>
      </c>
      <c r="D1538" t="s" s="9">
        <v>53</v>
      </c>
      <c r="E1538" t="s" s="9">
        <v>33</v>
      </c>
      <c r="F1538" s="10">
        <v>638</v>
      </c>
      <c r="G1538" s="10">
        <v>5049226</v>
      </c>
      <c r="H1538" s="11" cm="1">
        <f t="array" ref="H1538">F1538/G1538*100000</f>
        <v>12.6355999909689</v>
      </c>
    </row>
    <row r="1539" ht="13" customHeight="1">
      <c r="A1539" s="8">
        <v>7</v>
      </c>
      <c r="B1539" t="s" s="9">
        <v>36</v>
      </c>
      <c r="C1539" t="s" s="9">
        <v>67</v>
      </c>
      <c r="D1539" t="s" s="9">
        <v>53</v>
      </c>
      <c r="E1539" t="s" s="9">
        <v>33</v>
      </c>
      <c r="F1539" s="10">
        <v>697</v>
      </c>
      <c r="G1539" s="10">
        <v>5049226</v>
      </c>
      <c r="H1539" s="11" cm="1">
        <f t="array" ref="H1539">F1539/G1539*100000</f>
        <v>13.8040959148986</v>
      </c>
    </row>
    <row r="1540" ht="13" customHeight="1">
      <c r="A1540" s="8">
        <v>8</v>
      </c>
      <c r="B1540" t="s" s="9">
        <v>35</v>
      </c>
      <c r="C1540" t="s" s="9">
        <v>67</v>
      </c>
      <c r="D1540" t="s" s="9">
        <v>53</v>
      </c>
      <c r="E1540" t="s" s="9">
        <v>33</v>
      </c>
      <c r="F1540" s="10">
        <v>764</v>
      </c>
      <c r="G1540" s="10">
        <v>5049226</v>
      </c>
      <c r="H1540" s="11" cm="1">
        <f t="array" ref="H1540">F1540/G1540*100000</f>
        <v>15.131031964107</v>
      </c>
    </row>
    <row r="1541" ht="13" customHeight="1">
      <c r="A1541" s="8">
        <v>9</v>
      </c>
      <c r="B1541" t="s" s="9">
        <v>36</v>
      </c>
      <c r="C1541" t="s" s="9">
        <v>67</v>
      </c>
      <c r="D1541" t="s" s="9">
        <v>53</v>
      </c>
      <c r="E1541" t="s" s="9">
        <v>33</v>
      </c>
      <c r="F1541" s="10">
        <v>467</v>
      </c>
      <c r="G1541" s="10">
        <v>5049226</v>
      </c>
      <c r="H1541" s="11" cm="1">
        <f t="array" ref="H1541">F1541/G1541*100000</f>
        <v>9.24894231313869</v>
      </c>
    </row>
    <row r="1542" ht="13" customHeight="1">
      <c r="A1542" s="8">
        <v>10</v>
      </c>
      <c r="B1542" t="s" s="9">
        <v>41</v>
      </c>
      <c r="C1542" t="s" s="9">
        <v>67</v>
      </c>
      <c r="D1542" t="s" s="9">
        <v>53</v>
      </c>
      <c r="E1542" t="s" s="9">
        <v>33</v>
      </c>
      <c r="F1542" s="10">
        <v>386</v>
      </c>
      <c r="G1542" s="10">
        <v>5049226</v>
      </c>
      <c r="H1542" s="11" cm="1">
        <f t="array" ref="H1542">F1542/G1542*100000</f>
        <v>7.64473604469279</v>
      </c>
    </row>
    <row r="1543" ht="13" customHeight="1">
      <c r="A1543" s="8">
        <v>1</v>
      </c>
      <c r="B1543" t="s" s="9">
        <v>30</v>
      </c>
      <c r="C1543" t="s" s="9">
        <v>67</v>
      </c>
      <c r="D1543" t="s" s="9">
        <v>54</v>
      </c>
      <c r="E1543" t="s" s="9">
        <v>33</v>
      </c>
      <c r="F1543" s="10">
        <v>2109</v>
      </c>
      <c r="G1543" s="10">
        <v>3901529</v>
      </c>
      <c r="H1543" s="11" cm="1">
        <f t="array" ref="H1543">F1543/G1543*100000</f>
        <v>54.0557304584946</v>
      </c>
    </row>
    <row r="1544" ht="13" customHeight="1">
      <c r="A1544" s="8">
        <v>2</v>
      </c>
      <c r="B1544" t="s" s="9">
        <v>41</v>
      </c>
      <c r="C1544" t="s" s="9">
        <v>67</v>
      </c>
      <c r="D1544" t="s" s="9">
        <v>54</v>
      </c>
      <c r="E1544" t="s" s="9">
        <v>33</v>
      </c>
      <c r="F1544" s="10">
        <v>911</v>
      </c>
      <c r="G1544" s="10">
        <v>3901529</v>
      </c>
      <c r="H1544" s="11" cm="1">
        <f t="array" ref="H1544">F1544/G1544*100000</f>
        <v>23.3498200320951</v>
      </c>
    </row>
    <row r="1545" ht="13" customHeight="1">
      <c r="A1545" s="8">
        <v>3</v>
      </c>
      <c r="B1545" t="s" s="9">
        <v>34</v>
      </c>
      <c r="C1545" t="s" s="9">
        <v>67</v>
      </c>
      <c r="D1545" t="s" s="9">
        <v>54</v>
      </c>
      <c r="E1545" t="s" s="9">
        <v>33</v>
      </c>
      <c r="F1545" s="10">
        <v>776</v>
      </c>
      <c r="G1545" s="10">
        <v>3901529</v>
      </c>
      <c r="H1545" s="11" cm="1">
        <f t="array" ref="H1545">F1545/G1545*100000</f>
        <v>19.8896381393038</v>
      </c>
    </row>
    <row r="1546" ht="13" customHeight="1">
      <c r="A1546" s="8">
        <v>4</v>
      </c>
      <c r="B1546" t="s" s="9">
        <v>30</v>
      </c>
      <c r="C1546" t="s" s="9">
        <v>67</v>
      </c>
      <c r="D1546" t="s" s="9">
        <v>54</v>
      </c>
      <c r="E1546" t="s" s="9">
        <v>33</v>
      </c>
      <c r="F1546" s="10">
        <v>841</v>
      </c>
      <c r="G1546" s="10">
        <v>3901529</v>
      </c>
      <c r="H1546" s="11" cm="1">
        <f t="array" ref="H1546">F1546/G1546*100000</f>
        <v>21.5556516432404</v>
      </c>
    </row>
    <row r="1547" ht="13" customHeight="1">
      <c r="A1547" s="8">
        <v>5</v>
      </c>
      <c r="B1547" t="s" s="9">
        <v>30</v>
      </c>
      <c r="C1547" t="s" s="9">
        <v>67</v>
      </c>
      <c r="D1547" t="s" s="9">
        <v>54</v>
      </c>
      <c r="E1547" t="s" s="9">
        <v>33</v>
      </c>
      <c r="F1547" s="10">
        <v>825</v>
      </c>
      <c r="G1547" s="10">
        <v>3901529</v>
      </c>
      <c r="H1547" s="11" cm="1">
        <f t="array" ref="H1547">F1547/G1547*100000</f>
        <v>21.1455560115022</v>
      </c>
    </row>
    <row r="1548" ht="13" customHeight="1">
      <c r="A1548" s="8">
        <v>6</v>
      </c>
      <c r="B1548" t="s" s="9">
        <v>35</v>
      </c>
      <c r="C1548" t="s" s="9">
        <v>67</v>
      </c>
      <c r="D1548" t="s" s="9">
        <v>54</v>
      </c>
      <c r="E1548" t="s" s="9">
        <v>33</v>
      </c>
      <c r="F1548" s="10">
        <v>768</v>
      </c>
      <c r="G1548" s="10">
        <v>3901529</v>
      </c>
      <c r="H1548" s="11" cm="1">
        <f t="array" ref="H1548">F1548/G1548*100000</f>
        <v>19.6845903234347</v>
      </c>
    </row>
    <row r="1549" ht="13" customHeight="1">
      <c r="A1549" s="8">
        <v>7</v>
      </c>
      <c r="B1549" t="s" s="9">
        <v>35</v>
      </c>
      <c r="C1549" t="s" s="9">
        <v>67</v>
      </c>
      <c r="D1549" t="s" s="9">
        <v>54</v>
      </c>
      <c r="E1549" t="s" s="9">
        <v>33</v>
      </c>
      <c r="F1549" s="10">
        <v>671</v>
      </c>
      <c r="G1549" s="10">
        <v>3901529</v>
      </c>
      <c r="H1549" s="11" cm="1">
        <f t="array" ref="H1549">F1549/G1549*100000</f>
        <v>17.1983855560218</v>
      </c>
    </row>
    <row r="1550" ht="13" customHeight="1">
      <c r="A1550" s="8">
        <v>8</v>
      </c>
      <c r="B1550" t="s" s="9">
        <v>41</v>
      </c>
      <c r="C1550" t="s" s="9">
        <v>67</v>
      </c>
      <c r="D1550" t="s" s="9">
        <v>54</v>
      </c>
      <c r="E1550" t="s" s="9">
        <v>33</v>
      </c>
      <c r="F1550" s="10">
        <v>608</v>
      </c>
      <c r="G1550" s="10">
        <v>3901529</v>
      </c>
      <c r="H1550" s="11" cm="1">
        <f t="array" ref="H1550">F1550/G1550*100000</f>
        <v>15.5836340060525</v>
      </c>
    </row>
    <row r="1551" ht="13" customHeight="1">
      <c r="A1551" s="8">
        <v>9</v>
      </c>
      <c r="B1551" t="s" s="9">
        <v>30</v>
      </c>
      <c r="C1551" t="s" s="9">
        <v>67</v>
      </c>
      <c r="D1551" t="s" s="9">
        <v>54</v>
      </c>
      <c r="E1551" t="s" s="9">
        <v>33</v>
      </c>
      <c r="F1551" s="10">
        <v>500</v>
      </c>
      <c r="G1551" s="10">
        <v>3901529</v>
      </c>
      <c r="H1551" s="11" cm="1">
        <f t="array" ref="H1551">F1551/G1551*100000</f>
        <v>12.8154884918195</v>
      </c>
    </row>
    <row r="1552" ht="13" customHeight="1">
      <c r="A1552" s="8">
        <v>10</v>
      </c>
      <c r="B1552" t="s" s="9">
        <v>39</v>
      </c>
      <c r="C1552" t="s" s="9">
        <v>67</v>
      </c>
      <c r="D1552" t="s" s="9">
        <v>54</v>
      </c>
      <c r="E1552" t="s" s="9">
        <v>33</v>
      </c>
      <c r="F1552" s="10">
        <v>206</v>
      </c>
      <c r="G1552" s="10">
        <v>3901529</v>
      </c>
      <c r="H1552" s="11" cm="1">
        <f t="array" ref="H1552">F1552/G1552*100000</f>
        <v>5.27998125862963</v>
      </c>
    </row>
    <row r="1553" ht="13" customHeight="1">
      <c r="A1553" s="8">
        <v>1</v>
      </c>
      <c r="B1553" t="s" s="9">
        <v>30</v>
      </c>
      <c r="C1553" t="s" s="9">
        <v>67</v>
      </c>
      <c r="D1553" t="s" s="9">
        <v>55</v>
      </c>
      <c r="E1553" t="s" s="9">
        <v>33</v>
      </c>
      <c r="F1553" s="10">
        <v>3804</v>
      </c>
      <c r="G1553" s="10">
        <v>5273604</v>
      </c>
      <c r="H1553" s="11" cm="1">
        <f t="array" ref="H1553">F1553/G1553*100000</f>
        <v>72.13283363711039</v>
      </c>
    </row>
    <row r="1554" ht="13" customHeight="1">
      <c r="A1554" s="8">
        <v>2</v>
      </c>
      <c r="B1554" t="s" s="9">
        <v>35</v>
      </c>
      <c r="C1554" t="s" s="9">
        <v>67</v>
      </c>
      <c r="D1554" t="s" s="9">
        <v>55</v>
      </c>
      <c r="E1554" t="s" s="9">
        <v>33</v>
      </c>
      <c r="F1554" s="10">
        <v>1979</v>
      </c>
      <c r="G1554" s="10">
        <v>5273604</v>
      </c>
      <c r="H1554" s="11" cm="1">
        <f t="array" ref="H1554">F1554/G1554*100000</f>
        <v>37.5265188664147</v>
      </c>
    </row>
    <row r="1555" ht="13" customHeight="1">
      <c r="A1555" s="8">
        <v>3</v>
      </c>
      <c r="B1555" t="s" s="9">
        <v>35</v>
      </c>
      <c r="C1555" t="s" s="9">
        <v>67</v>
      </c>
      <c r="D1555" t="s" s="9">
        <v>55</v>
      </c>
      <c r="E1555" t="s" s="9">
        <v>33</v>
      </c>
      <c r="F1555" s="10">
        <v>1695</v>
      </c>
      <c r="G1555" s="10">
        <v>5273604</v>
      </c>
      <c r="H1555" s="11" cm="1">
        <f t="array" ref="H1555">F1555/G1555*100000</f>
        <v>32.1412074171667</v>
      </c>
    </row>
    <row r="1556" ht="13" customHeight="1">
      <c r="A1556" s="8">
        <v>4</v>
      </c>
      <c r="B1556" t="s" s="9">
        <v>30</v>
      </c>
      <c r="C1556" t="s" s="9">
        <v>67</v>
      </c>
      <c r="D1556" t="s" s="9">
        <v>55</v>
      </c>
      <c r="E1556" t="s" s="9">
        <v>33</v>
      </c>
      <c r="F1556" s="10">
        <v>1280</v>
      </c>
      <c r="G1556" s="10">
        <v>5273604</v>
      </c>
      <c r="H1556" s="11" cm="1">
        <f t="array" ref="H1556">F1556/G1556*100000</f>
        <v>24.2718262501318</v>
      </c>
    </row>
    <row r="1557" ht="13" customHeight="1">
      <c r="A1557" s="8">
        <v>5</v>
      </c>
      <c r="B1557" t="s" s="9">
        <v>34</v>
      </c>
      <c r="C1557" t="s" s="9">
        <v>67</v>
      </c>
      <c r="D1557" t="s" s="9">
        <v>55</v>
      </c>
      <c r="E1557" t="s" s="9">
        <v>33</v>
      </c>
      <c r="F1557" s="10">
        <v>858</v>
      </c>
      <c r="G1557" s="10">
        <v>5273604</v>
      </c>
      <c r="H1557" s="11" cm="1">
        <f t="array" ref="H1557">F1557/G1557*100000</f>
        <v>16.2697085332915</v>
      </c>
    </row>
    <row r="1558" ht="13" customHeight="1">
      <c r="A1558" s="8">
        <v>6</v>
      </c>
      <c r="B1558" t="s" s="9">
        <v>36</v>
      </c>
      <c r="C1558" t="s" s="9">
        <v>67</v>
      </c>
      <c r="D1558" t="s" s="9">
        <v>55</v>
      </c>
      <c r="E1558" t="s" s="9">
        <v>33</v>
      </c>
      <c r="F1558" s="10">
        <v>597</v>
      </c>
      <c r="G1558" s="10">
        <v>5273604</v>
      </c>
      <c r="H1558" s="11" cm="1">
        <f t="array" ref="H1558">F1558/G1558*100000</f>
        <v>11.3205314619755</v>
      </c>
    </row>
    <row r="1559" ht="13" customHeight="1">
      <c r="A1559" s="8">
        <v>7</v>
      </c>
      <c r="B1559" t="s" s="9">
        <v>41</v>
      </c>
      <c r="C1559" t="s" s="9">
        <v>67</v>
      </c>
      <c r="D1559" t="s" s="9">
        <v>55</v>
      </c>
      <c r="E1559" t="s" s="9">
        <v>33</v>
      </c>
      <c r="F1559" s="10">
        <v>533</v>
      </c>
      <c r="G1559" s="10">
        <v>5273604</v>
      </c>
      <c r="H1559" s="11" cm="1">
        <f t="array" ref="H1559">F1559/G1559*100000</f>
        <v>10.1069401494689</v>
      </c>
    </row>
    <row r="1560" ht="13" customHeight="1">
      <c r="A1560" s="8">
        <v>8</v>
      </c>
      <c r="B1560" t="s" s="9">
        <v>36</v>
      </c>
      <c r="C1560" t="s" s="9">
        <v>67</v>
      </c>
      <c r="D1560" t="s" s="9">
        <v>55</v>
      </c>
      <c r="E1560" t="s" s="9">
        <v>33</v>
      </c>
      <c r="F1560" s="10">
        <v>592</v>
      </c>
      <c r="G1560" s="10">
        <v>5273604</v>
      </c>
      <c r="H1560" s="11" cm="1">
        <f t="array" ref="H1560">F1560/G1560*100000</f>
        <v>11.225719640686</v>
      </c>
    </row>
    <row r="1561" ht="13" customHeight="1">
      <c r="A1561" s="8">
        <v>9</v>
      </c>
      <c r="B1561" t="s" s="9">
        <v>39</v>
      </c>
      <c r="C1561" t="s" s="9">
        <v>67</v>
      </c>
      <c r="D1561" t="s" s="9">
        <v>55</v>
      </c>
      <c r="E1561" t="s" s="9">
        <v>33</v>
      </c>
      <c r="F1561" s="10">
        <v>264</v>
      </c>
      <c r="G1561" s="10">
        <v>5273604</v>
      </c>
      <c r="H1561" s="11" cm="1">
        <f t="array" ref="H1561">F1561/G1561*100000</f>
        <v>5.00606416408968</v>
      </c>
    </row>
    <row r="1562" ht="13" customHeight="1">
      <c r="A1562" s="8">
        <v>10</v>
      </c>
      <c r="B1562" t="s" s="9">
        <v>45</v>
      </c>
      <c r="C1562" t="s" s="9">
        <v>67</v>
      </c>
      <c r="D1562" t="s" s="9">
        <v>55</v>
      </c>
      <c r="E1562" t="s" s="9">
        <v>33</v>
      </c>
      <c r="F1562" s="10">
        <v>462</v>
      </c>
      <c r="G1562" s="10">
        <v>5273604</v>
      </c>
      <c r="H1562" s="11" cm="1">
        <f t="array" ref="H1562">F1562/G1562*100000</f>
        <v>8.76061228715694</v>
      </c>
    </row>
    <row r="1563" ht="13" customHeight="1">
      <c r="A1563" s="8">
        <v>1</v>
      </c>
      <c r="B1563" t="s" s="9">
        <v>34</v>
      </c>
      <c r="C1563" t="s" s="9">
        <v>67</v>
      </c>
      <c r="D1563" t="s" s="9">
        <v>56</v>
      </c>
      <c r="E1563" t="s" s="9">
        <v>33</v>
      </c>
      <c r="F1563" s="10">
        <v>2192</v>
      </c>
      <c r="G1563" s="10">
        <v>5691183</v>
      </c>
      <c r="H1563" s="11" cm="1">
        <f t="array" ref="H1563">F1563/G1563*100000</f>
        <v>38.515718085326</v>
      </c>
    </row>
    <row r="1564" ht="13" customHeight="1">
      <c r="A1564" s="8">
        <v>2</v>
      </c>
      <c r="B1564" t="s" s="9">
        <v>30</v>
      </c>
      <c r="C1564" t="s" s="9">
        <v>67</v>
      </c>
      <c r="D1564" t="s" s="9">
        <v>56</v>
      </c>
      <c r="E1564" t="s" s="9">
        <v>33</v>
      </c>
      <c r="F1564" s="10">
        <v>1756</v>
      </c>
      <c r="G1564" s="10">
        <v>5691183</v>
      </c>
      <c r="H1564" s="11" cm="1">
        <f t="array" ref="H1564">F1564/G1564*100000</f>
        <v>30.8547449625148</v>
      </c>
    </row>
    <row r="1565" ht="13" customHeight="1">
      <c r="A1565" s="8">
        <v>3</v>
      </c>
      <c r="B1565" t="s" s="9">
        <v>35</v>
      </c>
      <c r="C1565" t="s" s="9">
        <v>67</v>
      </c>
      <c r="D1565" t="s" s="9">
        <v>56</v>
      </c>
      <c r="E1565" t="s" s="9">
        <v>33</v>
      </c>
      <c r="F1565" s="10">
        <v>1556</v>
      </c>
      <c r="G1565" s="10">
        <v>5691183</v>
      </c>
      <c r="H1565" s="11" cm="1">
        <f t="array" ref="H1565">F1565/G1565*100000</f>
        <v>27.3405371080143</v>
      </c>
    </row>
    <row r="1566" ht="13" customHeight="1">
      <c r="A1566" s="8">
        <v>4</v>
      </c>
      <c r="B1566" t="s" s="9">
        <v>37</v>
      </c>
      <c r="C1566" t="s" s="9">
        <v>67</v>
      </c>
      <c r="D1566" t="s" s="9">
        <v>56</v>
      </c>
      <c r="E1566" t="s" s="9">
        <v>33</v>
      </c>
      <c r="F1566" s="10">
        <v>473</v>
      </c>
      <c r="G1566" s="10">
        <v>5691183</v>
      </c>
      <c r="H1566" s="11" cm="1">
        <f t="array" ref="H1566">F1566/G1566*100000</f>
        <v>8.311101575893799</v>
      </c>
    </row>
    <row r="1567" ht="13" customHeight="1">
      <c r="A1567" s="8">
        <v>5</v>
      </c>
      <c r="B1567" t="s" s="9">
        <v>35</v>
      </c>
      <c r="C1567" t="s" s="9">
        <v>67</v>
      </c>
      <c r="D1567" t="s" s="9">
        <v>56</v>
      </c>
      <c r="E1567" t="s" s="9">
        <v>33</v>
      </c>
      <c r="F1567" s="10">
        <v>858</v>
      </c>
      <c r="G1567" s="10">
        <v>5691183</v>
      </c>
      <c r="H1567" s="11" cm="1">
        <f t="array" ref="H1567">F1567/G1567*100000</f>
        <v>15.0759516958074</v>
      </c>
    </row>
    <row r="1568" ht="13" customHeight="1">
      <c r="A1568" s="8">
        <v>6</v>
      </c>
      <c r="B1568" t="s" s="9">
        <v>30</v>
      </c>
      <c r="C1568" t="s" s="9">
        <v>67</v>
      </c>
      <c r="D1568" t="s" s="9">
        <v>56</v>
      </c>
      <c r="E1568" t="s" s="9">
        <v>33</v>
      </c>
      <c r="F1568" s="10">
        <v>672</v>
      </c>
      <c r="G1568" s="10">
        <v>5691183</v>
      </c>
      <c r="H1568" s="11" cm="1">
        <f t="array" ref="H1568">F1568/G1568*100000</f>
        <v>11.8077383911218</v>
      </c>
    </row>
    <row r="1569" ht="13" customHeight="1">
      <c r="A1569" s="8">
        <v>7</v>
      </c>
      <c r="B1569" t="s" s="9">
        <v>30</v>
      </c>
      <c r="C1569" t="s" s="9">
        <v>67</v>
      </c>
      <c r="D1569" t="s" s="9">
        <v>56</v>
      </c>
      <c r="E1569" t="s" s="9">
        <v>33</v>
      </c>
      <c r="F1569" s="10">
        <v>532</v>
      </c>
      <c r="G1569" s="10">
        <v>5691183</v>
      </c>
      <c r="H1569" s="11" cm="1">
        <f t="array" ref="H1569">F1569/G1569*100000</f>
        <v>9.34779289297146</v>
      </c>
    </row>
    <row r="1570" ht="13" customHeight="1">
      <c r="A1570" s="8">
        <v>8</v>
      </c>
      <c r="B1570" t="s" s="9">
        <v>39</v>
      </c>
      <c r="C1570" t="s" s="9">
        <v>67</v>
      </c>
      <c r="D1570" t="s" s="9">
        <v>56</v>
      </c>
      <c r="E1570" t="s" s="9">
        <v>33</v>
      </c>
      <c r="F1570" s="10">
        <v>200</v>
      </c>
      <c r="G1570" s="10">
        <v>5691183</v>
      </c>
      <c r="H1570" s="11" cm="1">
        <f t="array" ref="H1570">F1570/G1570*100000</f>
        <v>3.51420785450055</v>
      </c>
    </row>
    <row r="1571" ht="13" customHeight="1">
      <c r="A1571" s="8">
        <v>9</v>
      </c>
      <c r="B1571" t="s" s="9">
        <v>36</v>
      </c>
      <c r="C1571" t="s" s="9">
        <v>67</v>
      </c>
      <c r="D1571" t="s" s="9">
        <v>56</v>
      </c>
      <c r="E1571" t="s" s="9">
        <v>33</v>
      </c>
      <c r="F1571" s="10">
        <v>238</v>
      </c>
      <c r="G1571" s="10">
        <v>5691183</v>
      </c>
      <c r="H1571" s="11" cm="1">
        <f t="array" ref="H1571">F1571/G1571*100000</f>
        <v>4.18190734685565</v>
      </c>
    </row>
    <row r="1572" ht="13" customHeight="1">
      <c r="A1572" s="8">
        <v>10</v>
      </c>
      <c r="B1572" t="s" s="9">
        <v>45</v>
      </c>
      <c r="C1572" t="s" s="9">
        <v>67</v>
      </c>
      <c r="D1572" t="s" s="9">
        <v>56</v>
      </c>
      <c r="E1572" t="s" s="9">
        <v>33</v>
      </c>
      <c r="F1572" s="10">
        <v>277</v>
      </c>
      <c r="G1572" s="10">
        <v>5691183</v>
      </c>
      <c r="H1572" s="11" cm="1">
        <f t="array" ref="H1572">F1572/G1572*100000</f>
        <v>4.86717787848326</v>
      </c>
    </row>
    <row r="1573" ht="13" customHeight="1">
      <c r="A1573" s="8">
        <v>1</v>
      </c>
      <c r="B1573" t="s" s="9">
        <v>35</v>
      </c>
      <c r="C1573" t="s" s="9">
        <v>67</v>
      </c>
      <c r="D1573" t="s" s="9">
        <v>57</v>
      </c>
      <c r="E1573" t="s" s="9">
        <v>33</v>
      </c>
      <c r="F1573" s="10">
        <v>1726</v>
      </c>
      <c r="G1573" s="10">
        <v>5214931</v>
      </c>
      <c r="H1573" s="11" cm="1">
        <f t="array" ref="H1573">F1573/G1573*100000</f>
        <v>33.0972739620141</v>
      </c>
    </row>
    <row r="1574" ht="13" customHeight="1">
      <c r="A1574" s="8">
        <v>2</v>
      </c>
      <c r="B1574" t="s" s="9">
        <v>30</v>
      </c>
      <c r="C1574" t="s" s="9">
        <v>67</v>
      </c>
      <c r="D1574" t="s" s="9">
        <v>57</v>
      </c>
      <c r="E1574" t="s" s="9">
        <v>33</v>
      </c>
      <c r="F1574" s="10">
        <v>602</v>
      </c>
      <c r="G1574" s="10">
        <v>5214931</v>
      </c>
      <c r="H1574" s="11" cm="1">
        <f t="array" ref="H1574">F1574/G1574*100000</f>
        <v>11.5437768975275</v>
      </c>
    </row>
    <row r="1575" ht="13" customHeight="1">
      <c r="A1575" s="8">
        <v>3</v>
      </c>
      <c r="B1575" t="s" s="9">
        <v>34</v>
      </c>
      <c r="C1575" t="s" s="9">
        <v>67</v>
      </c>
      <c r="D1575" t="s" s="9">
        <v>57</v>
      </c>
      <c r="E1575" t="s" s="9">
        <v>33</v>
      </c>
      <c r="F1575" s="10">
        <v>104</v>
      </c>
      <c r="G1575" s="10">
        <v>5214931</v>
      </c>
      <c r="H1575" s="11" cm="1">
        <f t="array" ref="H1575">F1575/G1575*100000</f>
        <v>1.99427374973897</v>
      </c>
    </row>
    <row r="1576" ht="13" customHeight="1">
      <c r="A1576" s="8">
        <v>4</v>
      </c>
      <c r="B1576" t="s" s="9">
        <v>30</v>
      </c>
      <c r="C1576" t="s" s="9">
        <v>67</v>
      </c>
      <c r="D1576" t="s" s="9">
        <v>57</v>
      </c>
      <c r="E1576" t="s" s="9">
        <v>33</v>
      </c>
      <c r="F1576" s="10">
        <v>84</v>
      </c>
      <c r="G1576" s="10">
        <v>5214931</v>
      </c>
      <c r="H1576" s="11" cm="1">
        <f t="array" ref="H1576">F1576/G1576*100000</f>
        <v>1.61075956709686</v>
      </c>
    </row>
    <row r="1577" ht="13" customHeight="1">
      <c r="A1577" s="8">
        <v>5</v>
      </c>
      <c r="B1577" t="s" s="9">
        <v>30</v>
      </c>
      <c r="C1577" t="s" s="9">
        <v>67</v>
      </c>
      <c r="D1577" t="s" s="9">
        <v>57</v>
      </c>
      <c r="E1577" t="s" s="9">
        <v>33</v>
      </c>
      <c r="F1577" s="10">
        <v>110</v>
      </c>
      <c r="G1577" s="10">
        <v>5214931</v>
      </c>
      <c r="H1577" s="11" cm="1">
        <f t="array" ref="H1577">F1577/G1577*100000</f>
        <v>2.1093280045316</v>
      </c>
    </row>
    <row r="1578" ht="13" customHeight="1">
      <c r="A1578" s="8">
        <v>6</v>
      </c>
      <c r="B1578" t="s" s="9">
        <v>45</v>
      </c>
      <c r="C1578" t="s" s="9">
        <v>67</v>
      </c>
      <c r="D1578" t="s" s="9">
        <v>57</v>
      </c>
      <c r="E1578" t="s" s="9">
        <v>33</v>
      </c>
      <c r="F1578" s="10">
        <v>84</v>
      </c>
      <c r="G1578" s="10">
        <v>5214931</v>
      </c>
      <c r="H1578" s="11" cm="1">
        <f t="array" ref="H1578">F1578/G1578*100000</f>
        <v>1.61075956709686</v>
      </c>
    </row>
    <row r="1579" ht="13" customHeight="1">
      <c r="A1579" s="8">
        <v>7</v>
      </c>
      <c r="B1579" t="s" s="9">
        <v>45</v>
      </c>
      <c r="C1579" t="s" s="9">
        <v>67</v>
      </c>
      <c r="D1579" t="s" s="9">
        <v>57</v>
      </c>
      <c r="E1579" t="s" s="9">
        <v>33</v>
      </c>
      <c r="F1579" s="10">
        <v>71</v>
      </c>
      <c r="G1579" s="10">
        <v>5214931</v>
      </c>
      <c r="H1579" s="11" cm="1">
        <f t="array" ref="H1579">F1579/G1579*100000</f>
        <v>1.36147534837949</v>
      </c>
    </row>
    <row r="1580" ht="13" customHeight="1">
      <c r="A1580" s="8">
        <v>8</v>
      </c>
      <c r="B1580" t="s" s="9">
        <v>45</v>
      </c>
      <c r="C1580" t="s" s="9">
        <v>67</v>
      </c>
      <c r="D1580" t="s" s="9">
        <v>57</v>
      </c>
      <c r="E1580" t="s" s="9">
        <v>33</v>
      </c>
      <c r="F1580" s="10">
        <v>70</v>
      </c>
      <c r="G1580" s="10">
        <v>5214931</v>
      </c>
      <c r="H1580" s="11" cm="1">
        <f t="array" ref="H1580">F1580/G1580*100000</f>
        <v>1.34229963924738</v>
      </c>
    </row>
    <row r="1581" ht="13" customHeight="1">
      <c r="A1581" s="8">
        <v>9</v>
      </c>
      <c r="B1581" t="s" s="9">
        <v>45</v>
      </c>
      <c r="C1581" t="s" s="9">
        <v>67</v>
      </c>
      <c r="D1581" t="s" s="9">
        <v>57</v>
      </c>
      <c r="E1581" t="s" s="9">
        <v>33</v>
      </c>
      <c r="F1581" s="10">
        <v>44</v>
      </c>
      <c r="G1581" s="10">
        <v>5214931</v>
      </c>
      <c r="H1581" s="11" cm="1">
        <f t="array" ref="H1581">F1581/G1581*100000</f>
        <v>0.8437312018126411</v>
      </c>
    </row>
    <row r="1582" ht="13" customHeight="1">
      <c r="A1582" s="8">
        <v>10</v>
      </c>
      <c r="B1582" t="s" s="9">
        <v>41</v>
      </c>
      <c r="C1582" t="s" s="9">
        <v>67</v>
      </c>
      <c r="D1582" t="s" s="9">
        <v>57</v>
      </c>
      <c r="E1582" t="s" s="9">
        <v>33</v>
      </c>
      <c r="F1582" s="10">
        <v>41</v>
      </c>
      <c r="G1582" s="10">
        <v>5214931</v>
      </c>
      <c r="H1582" s="11" cm="1">
        <f t="array" ref="H1582">F1582/G1582*100000</f>
        <v>0.786204074416325</v>
      </c>
    </row>
    <row r="1583" ht="13" customHeight="1">
      <c r="A1583" s="8">
        <v>1</v>
      </c>
      <c r="B1583" t="s" s="9">
        <v>30</v>
      </c>
      <c r="C1583" t="s" s="9">
        <v>67</v>
      </c>
      <c r="D1583" t="s" s="9">
        <v>20</v>
      </c>
      <c r="E1583" t="s" s="9">
        <v>33</v>
      </c>
      <c r="F1583" s="10">
        <v>19104</v>
      </c>
      <c r="G1583" s="10">
        <v>2889689</v>
      </c>
      <c r="H1583" s="11" cm="1">
        <f t="array" ref="H1583">F1583/G1583*100000</f>
        <v>661.109205869559</v>
      </c>
    </row>
    <row r="1584" ht="13" customHeight="1">
      <c r="A1584" s="8">
        <v>2</v>
      </c>
      <c r="B1584" t="s" s="9">
        <v>34</v>
      </c>
      <c r="C1584" t="s" s="9">
        <v>67</v>
      </c>
      <c r="D1584" t="s" s="9">
        <v>20</v>
      </c>
      <c r="E1584" t="s" s="9">
        <v>33</v>
      </c>
      <c r="F1584" s="10">
        <v>11152</v>
      </c>
      <c r="G1584" s="10">
        <v>2889689</v>
      </c>
      <c r="H1584" s="11" cm="1">
        <f t="array" ref="H1584">F1584/G1584*100000</f>
        <v>385.923883158361</v>
      </c>
    </row>
    <row r="1585" ht="13" customHeight="1">
      <c r="A1585" s="8">
        <v>3</v>
      </c>
      <c r="B1585" t="s" s="9">
        <v>37</v>
      </c>
      <c r="C1585" t="s" s="9">
        <v>67</v>
      </c>
      <c r="D1585" t="s" s="9">
        <v>20</v>
      </c>
      <c r="E1585" t="s" s="9">
        <v>33</v>
      </c>
      <c r="F1585" s="10">
        <v>5119</v>
      </c>
      <c r="G1585" s="10">
        <v>2889689</v>
      </c>
      <c r="H1585" s="11" cm="1">
        <f t="array" ref="H1585">F1585/G1585*100000</f>
        <v>177.147090915320</v>
      </c>
    </row>
    <row r="1586" ht="13" customHeight="1">
      <c r="A1586" s="8">
        <v>4</v>
      </c>
      <c r="B1586" t="s" s="9">
        <v>35</v>
      </c>
      <c r="C1586" t="s" s="9">
        <v>67</v>
      </c>
      <c r="D1586" t="s" s="9">
        <v>20</v>
      </c>
      <c r="E1586" t="s" s="9">
        <v>33</v>
      </c>
      <c r="F1586" s="10">
        <v>4280</v>
      </c>
      <c r="G1586" s="10">
        <v>2889689</v>
      </c>
      <c r="H1586" s="11" cm="1">
        <f t="array" ref="H1586">F1586/G1586*100000</f>
        <v>148.112824598080</v>
      </c>
    </row>
    <row r="1587" ht="13" customHeight="1">
      <c r="A1587" s="8">
        <v>5</v>
      </c>
      <c r="B1587" t="s" s="9">
        <v>37</v>
      </c>
      <c r="C1587" t="s" s="9">
        <v>67</v>
      </c>
      <c r="D1587" t="s" s="9">
        <v>20</v>
      </c>
      <c r="E1587" t="s" s="9">
        <v>33</v>
      </c>
      <c r="F1587" s="10">
        <v>2530</v>
      </c>
      <c r="G1587" s="10">
        <v>2889689</v>
      </c>
      <c r="H1587" s="11" cm="1">
        <f t="array" ref="H1587">F1587/G1587*100000</f>
        <v>87.5526743535377</v>
      </c>
    </row>
    <row r="1588" ht="13" customHeight="1">
      <c r="A1588" s="8">
        <v>6</v>
      </c>
      <c r="B1588" t="s" s="9">
        <v>39</v>
      </c>
      <c r="C1588" t="s" s="9">
        <v>67</v>
      </c>
      <c r="D1588" t="s" s="9">
        <v>20</v>
      </c>
      <c r="E1588" t="s" s="9">
        <v>33</v>
      </c>
      <c r="F1588" s="10">
        <v>1866</v>
      </c>
      <c r="G1588" s="10">
        <v>2889689</v>
      </c>
      <c r="H1588" s="11" cm="1">
        <f t="array" ref="H1588">F1588/G1588*100000</f>
        <v>64.5744230607515</v>
      </c>
    </row>
    <row r="1589" ht="13" customHeight="1">
      <c r="A1589" s="8">
        <v>7</v>
      </c>
      <c r="B1589" t="s" s="9">
        <v>30</v>
      </c>
      <c r="C1589" t="s" s="9">
        <v>67</v>
      </c>
      <c r="D1589" t="s" s="9">
        <v>20</v>
      </c>
      <c r="E1589" t="s" s="9">
        <v>33</v>
      </c>
      <c r="F1589" s="10">
        <v>1983</v>
      </c>
      <c r="G1589" s="10">
        <v>2889689</v>
      </c>
      <c r="H1589" s="11" cm="1">
        <f t="array" ref="H1589">F1589/G1589*100000</f>
        <v>68.6233016771009</v>
      </c>
    </row>
    <row r="1590" ht="13" customHeight="1">
      <c r="A1590" s="8">
        <v>8</v>
      </c>
      <c r="B1590" t="s" s="9">
        <v>30</v>
      </c>
      <c r="C1590" t="s" s="9">
        <v>67</v>
      </c>
      <c r="D1590" t="s" s="9">
        <v>20</v>
      </c>
      <c r="E1590" t="s" s="9">
        <v>33</v>
      </c>
      <c r="F1590" s="10">
        <v>2222</v>
      </c>
      <c r="G1590" s="10">
        <v>2889689</v>
      </c>
      <c r="H1590" s="11" cm="1">
        <f t="array" ref="H1590">F1590/G1590*100000</f>
        <v>76.8940879104983</v>
      </c>
    </row>
    <row r="1591" ht="13" customHeight="1">
      <c r="A1591" s="8">
        <v>9</v>
      </c>
      <c r="B1591" t="s" s="9">
        <v>30</v>
      </c>
      <c r="C1591" t="s" s="9">
        <v>67</v>
      </c>
      <c r="D1591" t="s" s="9">
        <v>20</v>
      </c>
      <c r="E1591" t="s" s="9">
        <v>33</v>
      </c>
      <c r="F1591" s="10">
        <v>2281</v>
      </c>
      <c r="G1591" s="10">
        <v>2889689</v>
      </c>
      <c r="H1591" s="11" cm="1">
        <f t="array" ref="H1591">F1591/G1591*100000</f>
        <v>78.9358301187429</v>
      </c>
    </row>
    <row r="1592" ht="13" customHeight="1">
      <c r="A1592" s="8">
        <v>10</v>
      </c>
      <c r="B1592" t="s" s="9">
        <v>30</v>
      </c>
      <c r="C1592" t="s" s="9">
        <v>67</v>
      </c>
      <c r="D1592" t="s" s="9">
        <v>20</v>
      </c>
      <c r="E1592" t="s" s="9">
        <v>33</v>
      </c>
      <c r="F1592" s="10">
        <v>1798</v>
      </c>
      <c r="G1592" s="10">
        <v>2889689</v>
      </c>
      <c r="H1592" s="11" cm="1">
        <f t="array" ref="H1592">F1592/G1592*100000</f>
        <v>62.2212286512493</v>
      </c>
    </row>
    <row r="1593" ht="13" customHeight="1">
      <c r="A1593" s="8">
        <v>1</v>
      </c>
      <c r="B1593" t="s" s="9">
        <v>30</v>
      </c>
      <c r="C1593" t="s" s="9">
        <v>67</v>
      </c>
      <c r="D1593" t="s" s="9">
        <v>21</v>
      </c>
      <c r="E1593" t="s" s="9">
        <v>33</v>
      </c>
      <c r="F1593" s="10">
        <v>4007</v>
      </c>
      <c r="G1593" s="10">
        <v>4635519</v>
      </c>
      <c r="H1593" s="11" cm="1">
        <f t="array" ref="H1593">F1593/G1593*100000</f>
        <v>86.441237755686</v>
      </c>
    </row>
    <row r="1594" ht="13" customHeight="1">
      <c r="A1594" s="8">
        <v>2</v>
      </c>
      <c r="B1594" t="s" s="9">
        <v>36</v>
      </c>
      <c r="C1594" t="s" s="9">
        <v>67</v>
      </c>
      <c r="D1594" t="s" s="9">
        <v>21</v>
      </c>
      <c r="E1594" t="s" s="9">
        <v>33</v>
      </c>
      <c r="F1594" s="10">
        <v>1799</v>
      </c>
      <c r="G1594" s="10">
        <v>4635519</v>
      </c>
      <c r="H1594" s="11" cm="1">
        <f t="array" ref="H1594">F1594/G1594*100000</f>
        <v>38.8090308765858</v>
      </c>
    </row>
    <row r="1595" ht="13" customHeight="1">
      <c r="A1595" s="8">
        <v>3</v>
      </c>
      <c r="B1595" t="s" s="9">
        <v>30</v>
      </c>
      <c r="C1595" t="s" s="9">
        <v>67</v>
      </c>
      <c r="D1595" t="s" s="9">
        <v>21</v>
      </c>
      <c r="E1595" t="s" s="9">
        <v>33</v>
      </c>
      <c r="F1595" s="10">
        <v>1785</v>
      </c>
      <c r="G1595" s="10">
        <v>4635519</v>
      </c>
      <c r="H1595" s="11" cm="1">
        <f t="array" ref="H1595">F1595/G1595*100000</f>
        <v>38.5070150720987</v>
      </c>
    </row>
    <row r="1596" ht="13" customHeight="1">
      <c r="A1596" s="8">
        <v>4</v>
      </c>
      <c r="B1596" t="s" s="9">
        <v>34</v>
      </c>
      <c r="C1596" t="s" s="9">
        <v>67</v>
      </c>
      <c r="D1596" t="s" s="9">
        <v>21</v>
      </c>
      <c r="E1596" t="s" s="9">
        <v>33</v>
      </c>
      <c r="F1596" s="10">
        <v>1435</v>
      </c>
      <c r="G1596" s="10">
        <v>4635519</v>
      </c>
      <c r="H1596" s="11" cm="1">
        <f t="array" ref="H1596">F1596/G1596*100000</f>
        <v>30.9566199599225</v>
      </c>
    </row>
    <row r="1597" ht="13" customHeight="1">
      <c r="A1597" s="8">
        <v>5</v>
      </c>
      <c r="B1597" t="s" s="9">
        <v>36</v>
      </c>
      <c r="C1597" t="s" s="9">
        <v>67</v>
      </c>
      <c r="D1597" t="s" s="9">
        <v>21</v>
      </c>
      <c r="E1597" t="s" s="9">
        <v>33</v>
      </c>
      <c r="F1597" s="10">
        <v>765</v>
      </c>
      <c r="G1597" s="10">
        <v>4635519</v>
      </c>
      <c r="H1597" s="11" cm="1">
        <f t="array" ref="H1597">F1597/G1597*100000</f>
        <v>16.5030064594709</v>
      </c>
    </row>
    <row r="1598" ht="13" customHeight="1">
      <c r="A1598" s="8">
        <v>6</v>
      </c>
      <c r="B1598" t="s" s="9">
        <v>45</v>
      </c>
      <c r="C1598" t="s" s="9">
        <v>67</v>
      </c>
      <c r="D1598" t="s" s="9">
        <v>21</v>
      </c>
      <c r="E1598" t="s" s="9">
        <v>33</v>
      </c>
      <c r="F1598" s="10">
        <v>752</v>
      </c>
      <c r="G1598" s="10">
        <v>4635519</v>
      </c>
      <c r="H1598" s="11" cm="1">
        <f t="array" ref="H1598">F1598/G1598*100000</f>
        <v>16.2225632124472</v>
      </c>
    </row>
    <row r="1599" ht="13" customHeight="1">
      <c r="A1599" s="8">
        <v>7</v>
      </c>
      <c r="B1599" t="s" s="9">
        <v>41</v>
      </c>
      <c r="C1599" t="s" s="9">
        <v>67</v>
      </c>
      <c r="D1599" t="s" s="9">
        <v>21</v>
      </c>
      <c r="E1599" t="s" s="9">
        <v>33</v>
      </c>
      <c r="F1599" s="10">
        <v>759</v>
      </c>
      <c r="G1599" s="10">
        <v>4635519</v>
      </c>
      <c r="H1599" s="11" cm="1">
        <f t="array" ref="H1599">F1599/G1599*100000</f>
        <v>16.3735711146907</v>
      </c>
    </row>
    <row r="1600" ht="13" customHeight="1">
      <c r="A1600" s="8">
        <v>8</v>
      </c>
      <c r="B1600" t="s" s="9">
        <v>30</v>
      </c>
      <c r="C1600" t="s" s="9">
        <v>67</v>
      </c>
      <c r="D1600" t="s" s="9">
        <v>21</v>
      </c>
      <c r="E1600" t="s" s="9">
        <v>33</v>
      </c>
      <c r="F1600" s="10">
        <v>567</v>
      </c>
      <c r="G1600" s="10">
        <v>4635519</v>
      </c>
      <c r="H1600" s="11" cm="1">
        <f t="array" ref="H1600">F1600/G1600*100000</f>
        <v>12.2316400817255</v>
      </c>
    </row>
    <row r="1601" ht="13" customHeight="1">
      <c r="A1601" s="8">
        <v>9</v>
      </c>
      <c r="B1601" t="s" s="9">
        <v>37</v>
      </c>
      <c r="C1601" t="s" s="9">
        <v>67</v>
      </c>
      <c r="D1601" t="s" s="9">
        <v>21</v>
      </c>
      <c r="E1601" t="s" s="9">
        <v>33</v>
      </c>
      <c r="F1601" s="10">
        <v>555</v>
      </c>
      <c r="G1601" s="10">
        <v>4635519</v>
      </c>
      <c r="H1601" s="11" cm="1">
        <f t="array" ref="H1601">F1601/G1601*100000</f>
        <v>11.9727693921651</v>
      </c>
    </row>
    <row r="1602" ht="13" customHeight="1">
      <c r="A1602" s="8">
        <v>10</v>
      </c>
      <c r="B1602" t="s" s="9">
        <v>37</v>
      </c>
      <c r="C1602" t="s" s="9">
        <v>67</v>
      </c>
      <c r="D1602" t="s" s="9">
        <v>21</v>
      </c>
      <c r="E1602" t="s" s="9">
        <v>33</v>
      </c>
      <c r="F1602" s="10">
        <v>459</v>
      </c>
      <c r="G1602" s="10">
        <v>4635519</v>
      </c>
      <c r="H1602" s="11" cm="1">
        <f t="array" ref="H1602">F1602/G1602*100000</f>
        <v>9.90180387568253</v>
      </c>
    </row>
    <row r="1603" ht="13.65" customHeight="1">
      <c r="A1603" s="8">
        <v>1</v>
      </c>
      <c r="B1603" t="s" s="9">
        <v>30</v>
      </c>
      <c r="C1603" t="s" s="9">
        <v>67</v>
      </c>
      <c r="D1603" t="s" s="9">
        <v>58</v>
      </c>
      <c r="E1603" t="s" s="9">
        <v>33</v>
      </c>
      <c r="F1603" s="10">
        <v>5571</v>
      </c>
      <c r="G1603" s="12"/>
      <c r="H1603" s="13"/>
    </row>
    <row r="1604" ht="13.65" customHeight="1">
      <c r="A1604" s="8">
        <v>2</v>
      </c>
      <c r="B1604" t="s" s="9">
        <v>35</v>
      </c>
      <c r="C1604" t="s" s="9">
        <v>67</v>
      </c>
      <c r="D1604" t="s" s="9">
        <v>58</v>
      </c>
      <c r="E1604" t="s" s="9">
        <v>33</v>
      </c>
      <c r="F1604" s="10">
        <v>2538</v>
      </c>
      <c r="G1604" s="14"/>
      <c r="H1604" s="15"/>
    </row>
    <row r="1605" ht="13.65" customHeight="1">
      <c r="A1605" s="8">
        <v>3</v>
      </c>
      <c r="B1605" t="s" s="9">
        <v>30</v>
      </c>
      <c r="C1605" t="s" s="9">
        <v>67</v>
      </c>
      <c r="D1605" t="s" s="9">
        <v>58</v>
      </c>
      <c r="E1605" t="s" s="9">
        <v>33</v>
      </c>
      <c r="F1605" s="10">
        <v>1356</v>
      </c>
      <c r="G1605" s="14"/>
      <c r="H1605" s="15"/>
    </row>
    <row r="1606" ht="13.65" customHeight="1">
      <c r="A1606" s="8">
        <v>4</v>
      </c>
      <c r="B1606" t="s" s="9">
        <v>34</v>
      </c>
      <c r="C1606" t="s" s="9">
        <v>67</v>
      </c>
      <c r="D1606" t="s" s="9">
        <v>58</v>
      </c>
      <c r="E1606" t="s" s="9">
        <v>33</v>
      </c>
      <c r="F1606" s="10">
        <v>915</v>
      </c>
      <c r="G1606" s="14"/>
      <c r="H1606" s="15"/>
    </row>
    <row r="1607" ht="13.65" customHeight="1">
      <c r="A1607" s="8">
        <v>5</v>
      </c>
      <c r="B1607" t="s" s="9">
        <v>41</v>
      </c>
      <c r="C1607" t="s" s="9">
        <v>67</v>
      </c>
      <c r="D1607" t="s" s="9">
        <v>58</v>
      </c>
      <c r="E1607" t="s" s="9">
        <v>33</v>
      </c>
      <c r="F1607" s="10">
        <v>757</v>
      </c>
      <c r="G1607" s="14"/>
      <c r="H1607" s="15"/>
    </row>
    <row r="1608" ht="13.65" customHeight="1">
      <c r="A1608" s="8">
        <v>6</v>
      </c>
      <c r="B1608" t="s" s="9">
        <v>30</v>
      </c>
      <c r="C1608" t="s" s="9">
        <v>67</v>
      </c>
      <c r="D1608" t="s" s="9">
        <v>58</v>
      </c>
      <c r="E1608" t="s" s="9">
        <v>33</v>
      </c>
      <c r="F1608" s="10">
        <v>660</v>
      </c>
      <c r="G1608" s="14"/>
      <c r="H1608" s="15"/>
    </row>
    <row r="1609" ht="13.65" customHeight="1">
      <c r="A1609" s="8">
        <v>7</v>
      </c>
      <c r="B1609" t="s" s="9">
        <v>30</v>
      </c>
      <c r="C1609" t="s" s="9">
        <v>67</v>
      </c>
      <c r="D1609" t="s" s="9">
        <v>58</v>
      </c>
      <c r="E1609" t="s" s="9">
        <v>33</v>
      </c>
      <c r="F1609" s="10">
        <v>440</v>
      </c>
      <c r="G1609" s="14"/>
      <c r="H1609" s="15"/>
    </row>
    <row r="1610" ht="13.65" customHeight="1">
      <c r="A1610" s="8">
        <v>8</v>
      </c>
      <c r="B1610" t="s" s="9">
        <v>39</v>
      </c>
      <c r="C1610" t="s" s="9">
        <v>67</v>
      </c>
      <c r="D1610" t="s" s="9">
        <v>58</v>
      </c>
      <c r="E1610" t="s" s="9">
        <v>33</v>
      </c>
      <c r="F1610" s="10">
        <v>278</v>
      </c>
      <c r="G1610" s="14"/>
      <c r="H1610" s="15"/>
    </row>
    <row r="1611" ht="13.65" customHeight="1">
      <c r="A1611" s="8">
        <v>9</v>
      </c>
      <c r="B1611" t="s" s="9">
        <v>35</v>
      </c>
      <c r="C1611" t="s" s="9">
        <v>67</v>
      </c>
      <c r="D1611" t="s" s="9">
        <v>58</v>
      </c>
      <c r="E1611" t="s" s="9">
        <v>33</v>
      </c>
      <c r="F1611" s="10">
        <v>449</v>
      </c>
      <c r="G1611" s="14"/>
      <c r="H1611" s="15"/>
    </row>
    <row r="1612" ht="13.65" customHeight="1">
      <c r="A1612" s="8">
        <v>10</v>
      </c>
      <c r="B1612" t="s" s="9">
        <v>36</v>
      </c>
      <c r="C1612" t="s" s="9">
        <v>67</v>
      </c>
      <c r="D1612" t="s" s="9">
        <v>58</v>
      </c>
      <c r="E1612" t="s" s="9">
        <v>33</v>
      </c>
      <c r="F1612" s="10">
        <v>385</v>
      </c>
      <c r="G1612" s="16"/>
      <c r="H1612" s="17"/>
    </row>
    <row r="1613" ht="13" customHeight="1">
      <c r="A1613" s="8">
        <v>1</v>
      </c>
      <c r="B1613" t="s" s="9">
        <v>30</v>
      </c>
      <c r="C1613" t="s" s="9">
        <v>68</v>
      </c>
      <c r="D1613" t="s" s="9">
        <v>32</v>
      </c>
      <c r="E1613" t="s" s="9">
        <v>33</v>
      </c>
      <c r="F1613" s="10">
        <v>22572</v>
      </c>
      <c r="G1613" s="10">
        <v>14521657</v>
      </c>
      <c r="H1613" s="11" cm="1">
        <f t="array" ref="H1613">F1613/G1613*100000</f>
        <v>155.436807245895</v>
      </c>
    </row>
    <row r="1614" ht="13" customHeight="1">
      <c r="A1614" s="8">
        <v>2</v>
      </c>
      <c r="B1614" t="s" s="9">
        <v>34</v>
      </c>
      <c r="C1614" t="s" s="9">
        <v>68</v>
      </c>
      <c r="D1614" t="s" s="9">
        <v>32</v>
      </c>
      <c r="E1614" t="s" s="9">
        <v>33</v>
      </c>
      <c r="F1614" s="10">
        <v>14734</v>
      </c>
      <c r="G1614" s="10">
        <v>14521657</v>
      </c>
      <c r="H1614" s="11" cm="1">
        <f t="array" ref="H1614">F1614/G1614*100000</f>
        <v>101.462250485602</v>
      </c>
    </row>
    <row r="1615" ht="13" customHeight="1">
      <c r="A1615" s="8">
        <v>3</v>
      </c>
      <c r="B1615" t="s" s="9">
        <v>37</v>
      </c>
      <c r="C1615" t="s" s="9">
        <v>68</v>
      </c>
      <c r="D1615" t="s" s="9">
        <v>32</v>
      </c>
      <c r="E1615" t="s" s="9">
        <v>33</v>
      </c>
      <c r="F1615" s="10">
        <v>5751</v>
      </c>
      <c r="G1615" s="10">
        <v>14521657</v>
      </c>
      <c r="H1615" s="11" cm="1">
        <f t="array" ref="H1615">F1615/G1615*100000</f>
        <v>39.6029185925546</v>
      </c>
    </row>
    <row r="1616" ht="13" customHeight="1">
      <c r="A1616" s="8">
        <v>4</v>
      </c>
      <c r="B1616" t="s" s="9">
        <v>35</v>
      </c>
      <c r="C1616" t="s" s="9">
        <v>68</v>
      </c>
      <c r="D1616" t="s" s="9">
        <v>32</v>
      </c>
      <c r="E1616" t="s" s="9">
        <v>33</v>
      </c>
      <c r="F1616" s="10">
        <v>5278</v>
      </c>
      <c r="G1616" s="10">
        <v>14521657</v>
      </c>
      <c r="H1616" s="11" cm="1">
        <f t="array" ref="H1616">F1616/G1616*100000</f>
        <v>36.3457145420801</v>
      </c>
    </row>
    <row r="1617" ht="13" customHeight="1">
      <c r="A1617" s="8">
        <v>5</v>
      </c>
      <c r="B1617" t="s" s="9">
        <v>37</v>
      </c>
      <c r="C1617" t="s" s="9">
        <v>68</v>
      </c>
      <c r="D1617" t="s" s="9">
        <v>32</v>
      </c>
      <c r="E1617" t="s" s="9">
        <v>33</v>
      </c>
      <c r="F1617" s="10">
        <v>2932</v>
      </c>
      <c r="G1617" s="10">
        <v>14521657</v>
      </c>
      <c r="H1617" s="11" cm="1">
        <f t="array" ref="H1617">F1617/G1617*100000</f>
        <v>20.1905333530464</v>
      </c>
    </row>
    <row r="1618" ht="13" customHeight="1">
      <c r="A1618" s="8">
        <v>6</v>
      </c>
      <c r="B1618" t="s" s="9">
        <v>39</v>
      </c>
      <c r="C1618" t="s" s="9">
        <v>68</v>
      </c>
      <c r="D1618" t="s" s="9">
        <v>32</v>
      </c>
      <c r="E1618" t="s" s="9">
        <v>33</v>
      </c>
      <c r="F1618" s="10">
        <v>2311</v>
      </c>
      <c r="G1618" s="10">
        <v>14521657</v>
      </c>
      <c r="H1618" s="11" cm="1">
        <f t="array" ref="H1618">F1618/G1618*100000</f>
        <v>15.9141618618316</v>
      </c>
    </row>
    <row r="1619" ht="13" customHeight="1">
      <c r="A1619" s="8">
        <v>7</v>
      </c>
      <c r="B1619" t="s" s="9">
        <v>30</v>
      </c>
      <c r="C1619" t="s" s="9">
        <v>68</v>
      </c>
      <c r="D1619" t="s" s="9">
        <v>32</v>
      </c>
      <c r="E1619" t="s" s="9">
        <v>33</v>
      </c>
      <c r="F1619" s="10">
        <v>2618</v>
      </c>
      <c r="G1619" s="10">
        <v>14521657</v>
      </c>
      <c r="H1619" s="11" cm="1">
        <f t="array" ref="H1619">F1619/G1619*100000</f>
        <v>18.0282456747188</v>
      </c>
    </row>
    <row r="1620" ht="13" customHeight="1">
      <c r="A1620" s="8">
        <v>8</v>
      </c>
      <c r="B1620" t="s" s="9">
        <v>30</v>
      </c>
      <c r="C1620" t="s" s="9">
        <v>68</v>
      </c>
      <c r="D1620" t="s" s="9">
        <v>32</v>
      </c>
      <c r="E1620" t="s" s="9">
        <v>33</v>
      </c>
      <c r="F1620" s="10">
        <v>2539</v>
      </c>
      <c r="G1620" s="10">
        <v>14521657</v>
      </c>
      <c r="H1620" s="11" cm="1">
        <f t="array" ref="H1620">F1620/G1620*100000</f>
        <v>17.4842306218912</v>
      </c>
    </row>
    <row r="1621" ht="13" customHeight="1">
      <c r="A1621" s="8">
        <v>9</v>
      </c>
      <c r="B1621" t="s" s="9">
        <v>30</v>
      </c>
      <c r="C1621" t="s" s="9">
        <v>68</v>
      </c>
      <c r="D1621" t="s" s="9">
        <v>32</v>
      </c>
      <c r="E1621" t="s" s="9">
        <v>33</v>
      </c>
      <c r="F1621" s="10">
        <v>2421</v>
      </c>
      <c r="G1621" s="10">
        <v>14521657</v>
      </c>
      <c r="H1621" s="11" cm="1">
        <f t="array" ref="H1621">F1621/G1621*100000</f>
        <v>16.6716511758954</v>
      </c>
    </row>
    <row r="1622" ht="13" customHeight="1">
      <c r="A1622" s="8">
        <v>10</v>
      </c>
      <c r="B1622" t="s" s="9">
        <v>30</v>
      </c>
      <c r="C1622" t="s" s="9">
        <v>68</v>
      </c>
      <c r="D1622" t="s" s="9">
        <v>32</v>
      </c>
      <c r="E1622" t="s" s="9">
        <v>33</v>
      </c>
      <c r="F1622" s="10">
        <v>2248</v>
      </c>
      <c r="G1622" s="10">
        <v>14521657</v>
      </c>
      <c r="H1622" s="11" cm="1">
        <f t="array" ref="H1622">F1622/G1622*100000</f>
        <v>15.4803270728678</v>
      </c>
    </row>
    <row r="1623" ht="13" customHeight="1">
      <c r="A1623" s="8">
        <v>1</v>
      </c>
      <c r="B1623" t="s" s="9">
        <v>30</v>
      </c>
      <c r="C1623" t="s" s="9">
        <v>68</v>
      </c>
      <c r="D1623" t="s" s="9">
        <v>38</v>
      </c>
      <c r="E1623" t="s" s="9">
        <v>33</v>
      </c>
      <c r="F1623" s="10">
        <v>8834</v>
      </c>
      <c r="G1623" s="10">
        <v>1874281</v>
      </c>
      <c r="H1623" s="11" cm="1">
        <f t="array" ref="H1623">F1623/G1623*100000</f>
        <v>471.327405015577</v>
      </c>
    </row>
    <row r="1624" ht="13" customHeight="1">
      <c r="A1624" s="8">
        <v>2</v>
      </c>
      <c r="B1624" t="s" s="9">
        <v>34</v>
      </c>
      <c r="C1624" t="s" s="9">
        <v>68</v>
      </c>
      <c r="D1624" t="s" s="9">
        <v>38</v>
      </c>
      <c r="E1624" t="s" s="9">
        <v>33</v>
      </c>
      <c r="F1624" s="10">
        <v>3362</v>
      </c>
      <c r="G1624" s="10">
        <v>1874281</v>
      </c>
      <c r="H1624" s="11" cm="1">
        <f t="array" ref="H1624">F1624/G1624*100000</f>
        <v>179.375451173010</v>
      </c>
    </row>
    <row r="1625" ht="13" customHeight="1">
      <c r="A1625" s="8">
        <v>3</v>
      </c>
      <c r="B1625" t="s" s="9">
        <v>30</v>
      </c>
      <c r="C1625" t="s" s="9">
        <v>68</v>
      </c>
      <c r="D1625" t="s" s="9">
        <v>38</v>
      </c>
      <c r="E1625" t="s" s="9">
        <v>33</v>
      </c>
      <c r="F1625" s="10">
        <v>1684</v>
      </c>
      <c r="G1625" s="10">
        <v>1874281</v>
      </c>
      <c r="H1625" s="11" cm="1">
        <f t="array" ref="H1625">F1625/G1625*100000</f>
        <v>89.84778696470811</v>
      </c>
    </row>
    <row r="1626" ht="13" customHeight="1">
      <c r="A1626" s="8">
        <v>4</v>
      </c>
      <c r="B1626" t="s" s="9">
        <v>37</v>
      </c>
      <c r="C1626" t="s" s="9">
        <v>68</v>
      </c>
      <c r="D1626" t="s" s="9">
        <v>38</v>
      </c>
      <c r="E1626" t="s" s="9">
        <v>33</v>
      </c>
      <c r="F1626" s="10">
        <v>1008</v>
      </c>
      <c r="G1626" s="10">
        <v>1874281</v>
      </c>
      <c r="H1626" s="11" cm="1">
        <f t="array" ref="H1626">F1626/G1626*100000</f>
        <v>53.7806230762623</v>
      </c>
    </row>
    <row r="1627" ht="13" customHeight="1">
      <c r="A1627" s="8">
        <v>5</v>
      </c>
      <c r="B1627" t="s" s="9">
        <v>35</v>
      </c>
      <c r="C1627" t="s" s="9">
        <v>68</v>
      </c>
      <c r="D1627" t="s" s="9">
        <v>38</v>
      </c>
      <c r="E1627" t="s" s="9">
        <v>33</v>
      </c>
      <c r="F1627" s="10">
        <v>1083</v>
      </c>
      <c r="G1627" s="10">
        <v>1874281</v>
      </c>
      <c r="H1627" s="11" cm="1">
        <f t="array" ref="H1627">F1627/G1627*100000</f>
        <v>57.7821575313414</v>
      </c>
    </row>
    <row r="1628" ht="13" customHeight="1">
      <c r="A1628" s="8">
        <v>6</v>
      </c>
      <c r="B1628" t="s" s="9">
        <v>39</v>
      </c>
      <c r="C1628" t="s" s="9">
        <v>68</v>
      </c>
      <c r="D1628" t="s" s="9">
        <v>38</v>
      </c>
      <c r="E1628" t="s" s="9">
        <v>33</v>
      </c>
      <c r="F1628" s="10">
        <v>542</v>
      </c>
      <c r="G1628" s="10">
        <v>1874281</v>
      </c>
      <c r="H1628" s="11" cm="1">
        <f t="array" ref="H1628">F1628/G1628*100000</f>
        <v>28.9177556620379</v>
      </c>
    </row>
    <row r="1629" ht="13" customHeight="1">
      <c r="A1629" s="8">
        <v>7</v>
      </c>
      <c r="B1629" t="s" s="9">
        <v>37</v>
      </c>
      <c r="C1629" t="s" s="9">
        <v>68</v>
      </c>
      <c r="D1629" t="s" s="9">
        <v>38</v>
      </c>
      <c r="E1629" t="s" s="9">
        <v>33</v>
      </c>
      <c r="F1629" s="10">
        <v>583</v>
      </c>
      <c r="G1629" s="10">
        <v>1874281</v>
      </c>
      <c r="H1629" s="11" cm="1">
        <f t="array" ref="H1629">F1629/G1629*100000</f>
        <v>31.1052611641477</v>
      </c>
    </row>
    <row r="1630" ht="13" customHeight="1">
      <c r="A1630" s="8">
        <v>8</v>
      </c>
      <c r="B1630" t="s" s="9">
        <v>41</v>
      </c>
      <c r="C1630" t="s" s="9">
        <v>68</v>
      </c>
      <c r="D1630" t="s" s="9">
        <v>38</v>
      </c>
      <c r="E1630" t="s" s="9">
        <v>33</v>
      </c>
      <c r="F1630" s="10">
        <v>658</v>
      </c>
      <c r="G1630" s="10">
        <v>1874281</v>
      </c>
      <c r="H1630" s="11" cm="1">
        <f t="array" ref="H1630">F1630/G1630*100000</f>
        <v>35.1067956192268</v>
      </c>
    </row>
    <row r="1631" ht="13" customHeight="1">
      <c r="A1631" s="8">
        <v>9</v>
      </c>
      <c r="B1631" t="s" s="9">
        <v>35</v>
      </c>
      <c r="C1631" t="s" s="9">
        <v>68</v>
      </c>
      <c r="D1631" t="s" s="9">
        <v>38</v>
      </c>
      <c r="E1631" t="s" s="9">
        <v>33</v>
      </c>
      <c r="F1631" s="10">
        <v>1114</v>
      </c>
      <c r="G1631" s="10">
        <v>1874281</v>
      </c>
      <c r="H1631" s="11" cm="1">
        <f t="array" ref="H1631">F1631/G1631*100000</f>
        <v>59.4361251061074</v>
      </c>
    </row>
    <row r="1632" ht="13" customHeight="1">
      <c r="A1632" s="8">
        <v>10</v>
      </c>
      <c r="B1632" t="s" s="9">
        <v>39</v>
      </c>
      <c r="C1632" t="s" s="9">
        <v>68</v>
      </c>
      <c r="D1632" t="s" s="9">
        <v>38</v>
      </c>
      <c r="E1632" t="s" s="9">
        <v>33</v>
      </c>
      <c r="F1632" s="10">
        <v>454</v>
      </c>
      <c r="G1632" s="10">
        <v>1874281</v>
      </c>
      <c r="H1632" s="11" cm="1">
        <f t="array" ref="H1632">F1632/G1632*100000</f>
        <v>24.2226219014118</v>
      </c>
    </row>
    <row r="1633" ht="13" customHeight="1">
      <c r="A1633" s="8">
        <v>1</v>
      </c>
      <c r="B1633" t="s" s="9">
        <v>30</v>
      </c>
      <c r="C1633" t="s" s="9">
        <v>68</v>
      </c>
      <c r="D1633" t="s" s="9">
        <v>42</v>
      </c>
      <c r="E1633" t="s" s="9">
        <v>33</v>
      </c>
      <c r="F1633" s="10">
        <v>10320</v>
      </c>
      <c r="G1633" s="10">
        <v>5458063</v>
      </c>
      <c r="H1633" s="11" cm="1">
        <f t="array" ref="H1633">F1633/G1633*100000</f>
        <v>189.078066706082</v>
      </c>
    </row>
    <row r="1634" ht="13" customHeight="1">
      <c r="A1634" s="8">
        <v>2</v>
      </c>
      <c r="B1634" t="s" s="9">
        <v>30</v>
      </c>
      <c r="C1634" t="s" s="9">
        <v>68</v>
      </c>
      <c r="D1634" t="s" s="9">
        <v>42</v>
      </c>
      <c r="E1634" t="s" s="9">
        <v>33</v>
      </c>
      <c r="F1634" s="10">
        <v>5612</v>
      </c>
      <c r="G1634" s="10">
        <v>5458063</v>
      </c>
      <c r="H1634" s="11" cm="1">
        <f t="array" ref="H1634">F1634/G1634*100000</f>
        <v>102.820359530478</v>
      </c>
    </row>
    <row r="1635" ht="13" customHeight="1">
      <c r="A1635" s="8">
        <v>3</v>
      </c>
      <c r="B1635" t="s" s="9">
        <v>30</v>
      </c>
      <c r="C1635" t="s" s="9">
        <v>68</v>
      </c>
      <c r="D1635" t="s" s="9">
        <v>42</v>
      </c>
      <c r="E1635" t="s" s="9">
        <v>33</v>
      </c>
      <c r="F1635" s="10">
        <v>4457</v>
      </c>
      <c r="G1635" s="10">
        <v>5458063</v>
      </c>
      <c r="H1635" s="11" cm="1">
        <f t="array" ref="H1635">F1635/G1635*100000</f>
        <v>81.65900613459389</v>
      </c>
    </row>
    <row r="1636" ht="13" customHeight="1">
      <c r="A1636" s="8">
        <v>4</v>
      </c>
      <c r="B1636" t="s" s="9">
        <v>34</v>
      </c>
      <c r="C1636" t="s" s="9">
        <v>68</v>
      </c>
      <c r="D1636" t="s" s="9">
        <v>42</v>
      </c>
      <c r="E1636" t="s" s="9">
        <v>33</v>
      </c>
      <c r="F1636" s="10">
        <v>2855</v>
      </c>
      <c r="G1636" s="10">
        <v>5458063</v>
      </c>
      <c r="H1636" s="11" cm="1">
        <f t="array" ref="H1636">F1636/G1636*100000</f>
        <v>52.3079341517311</v>
      </c>
    </row>
    <row r="1637" ht="13" customHeight="1">
      <c r="A1637" s="8">
        <v>5</v>
      </c>
      <c r="B1637" t="s" s="9">
        <v>41</v>
      </c>
      <c r="C1637" t="s" s="9">
        <v>68</v>
      </c>
      <c r="D1637" t="s" s="9">
        <v>42</v>
      </c>
      <c r="E1637" t="s" s="9">
        <v>33</v>
      </c>
      <c r="F1637" s="10">
        <v>2831</v>
      </c>
      <c r="G1637" s="10">
        <v>5458063</v>
      </c>
      <c r="H1637" s="11" cm="1">
        <f t="array" ref="H1637">F1637/G1637*100000</f>
        <v>51.8682177175309</v>
      </c>
    </row>
    <row r="1638" ht="13" customHeight="1">
      <c r="A1638" s="8">
        <v>6</v>
      </c>
      <c r="B1638" t="s" s="9">
        <v>41</v>
      </c>
      <c r="C1638" t="s" s="9">
        <v>68</v>
      </c>
      <c r="D1638" t="s" s="9">
        <v>42</v>
      </c>
      <c r="E1638" t="s" s="9">
        <v>33</v>
      </c>
      <c r="F1638" s="10">
        <v>2726</v>
      </c>
      <c r="G1638" s="10">
        <v>5458063</v>
      </c>
      <c r="H1638" s="11" cm="1">
        <f t="array" ref="H1638">F1638/G1638*100000</f>
        <v>49.9444583179051</v>
      </c>
    </row>
    <row r="1639" ht="13" customHeight="1">
      <c r="A1639" s="8">
        <v>7</v>
      </c>
      <c r="B1639" t="s" s="9">
        <v>35</v>
      </c>
      <c r="C1639" t="s" s="9">
        <v>68</v>
      </c>
      <c r="D1639" t="s" s="9">
        <v>42</v>
      </c>
      <c r="E1639" t="s" s="9">
        <v>33</v>
      </c>
      <c r="F1639" s="10">
        <v>3047</v>
      </c>
      <c r="G1639" s="10">
        <v>5458063</v>
      </c>
      <c r="H1639" s="11" cm="1">
        <f t="array" ref="H1639">F1639/G1639*100000</f>
        <v>55.8256656253327</v>
      </c>
    </row>
    <row r="1640" ht="13" customHeight="1">
      <c r="A1640" s="8">
        <v>8</v>
      </c>
      <c r="B1640" t="s" s="9">
        <v>37</v>
      </c>
      <c r="C1640" t="s" s="9">
        <v>68</v>
      </c>
      <c r="D1640" t="s" s="9">
        <v>42</v>
      </c>
      <c r="E1640" t="s" s="9">
        <v>33</v>
      </c>
      <c r="F1640" s="10">
        <v>1609</v>
      </c>
      <c r="G1640" s="10">
        <v>5458063</v>
      </c>
      <c r="H1640" s="11" cm="1">
        <f t="array" ref="H1640">F1640/G1640*100000</f>
        <v>29.4793226095045</v>
      </c>
    </row>
    <row r="1641" ht="13" customHeight="1">
      <c r="A1641" s="8">
        <v>9</v>
      </c>
      <c r="B1641" t="s" s="9">
        <v>30</v>
      </c>
      <c r="C1641" t="s" s="9">
        <v>68</v>
      </c>
      <c r="D1641" t="s" s="9">
        <v>42</v>
      </c>
      <c r="E1641" t="s" s="9">
        <v>33</v>
      </c>
      <c r="F1641" s="10">
        <v>1670</v>
      </c>
      <c r="G1641" s="10">
        <v>5458063</v>
      </c>
      <c r="H1641" s="11" cm="1">
        <f t="array" ref="H1641">F1641/G1641*100000</f>
        <v>30.5969352130967</v>
      </c>
    </row>
    <row r="1642" ht="13" customHeight="1">
      <c r="A1642" s="8">
        <v>10</v>
      </c>
      <c r="B1642" t="s" s="9">
        <v>37</v>
      </c>
      <c r="C1642" t="s" s="9">
        <v>68</v>
      </c>
      <c r="D1642" t="s" s="9">
        <v>42</v>
      </c>
      <c r="E1642" t="s" s="9">
        <v>33</v>
      </c>
      <c r="F1642" s="10">
        <v>1279</v>
      </c>
      <c r="G1642" s="10">
        <v>5458063</v>
      </c>
      <c r="H1642" s="11" cm="1">
        <f t="array" ref="H1642">F1642/G1642*100000</f>
        <v>23.4332216392519</v>
      </c>
    </row>
    <row r="1643" ht="13" customHeight="1">
      <c r="A1643" s="8">
        <v>1</v>
      </c>
      <c r="B1643" t="s" s="9">
        <v>30</v>
      </c>
      <c r="C1643" t="s" s="9">
        <v>68</v>
      </c>
      <c r="D1643" t="s" s="9">
        <v>43</v>
      </c>
      <c r="E1643" t="s" s="9">
        <v>33</v>
      </c>
      <c r="F1643" s="10">
        <v>5061</v>
      </c>
      <c r="G1643" s="10">
        <v>3817144</v>
      </c>
      <c r="H1643" s="11" cm="1">
        <f t="array" ref="H1643">F1643/G1643*100000</f>
        <v>132.586038147893</v>
      </c>
    </row>
    <row r="1644" ht="13" customHeight="1">
      <c r="A1644" s="8">
        <v>2</v>
      </c>
      <c r="B1644" t="s" s="9">
        <v>34</v>
      </c>
      <c r="C1644" t="s" s="9">
        <v>68</v>
      </c>
      <c r="D1644" t="s" s="9">
        <v>43</v>
      </c>
      <c r="E1644" t="s" s="9">
        <v>33</v>
      </c>
      <c r="F1644" s="10">
        <v>1573</v>
      </c>
      <c r="G1644" s="10">
        <v>3817144</v>
      </c>
      <c r="H1644" s="11" cm="1">
        <f t="array" ref="H1644">F1644/G1644*100000</f>
        <v>41.2088199973593</v>
      </c>
    </row>
    <row r="1645" ht="13" customHeight="1">
      <c r="A1645" s="8">
        <v>3</v>
      </c>
      <c r="B1645" t="s" s="9">
        <v>30</v>
      </c>
      <c r="C1645" t="s" s="9">
        <v>68</v>
      </c>
      <c r="D1645" t="s" s="9">
        <v>43</v>
      </c>
      <c r="E1645" t="s" s="9">
        <v>33</v>
      </c>
      <c r="F1645" s="10">
        <v>1393</v>
      </c>
      <c r="G1645" s="10">
        <v>3817144</v>
      </c>
      <c r="H1645" s="11" cm="1">
        <f t="array" ref="H1645">F1645/G1645*100000</f>
        <v>36.4932525469304</v>
      </c>
    </row>
    <row r="1646" ht="13" customHeight="1">
      <c r="A1646" s="8">
        <v>4</v>
      </c>
      <c r="B1646" t="s" s="9">
        <v>30</v>
      </c>
      <c r="C1646" t="s" s="9">
        <v>68</v>
      </c>
      <c r="D1646" t="s" s="9">
        <v>43</v>
      </c>
      <c r="E1646" t="s" s="9">
        <v>33</v>
      </c>
      <c r="F1646" s="10">
        <v>1281</v>
      </c>
      <c r="G1646" s="10">
        <v>3817144</v>
      </c>
      <c r="H1646" s="11" cm="1">
        <f t="array" ref="H1646">F1646/G1646*100000</f>
        <v>33.5591216888857</v>
      </c>
    </row>
    <row r="1647" ht="13" customHeight="1">
      <c r="A1647" s="8">
        <v>5</v>
      </c>
      <c r="B1647" t="s" s="9">
        <v>45</v>
      </c>
      <c r="C1647" t="s" s="9">
        <v>68</v>
      </c>
      <c r="D1647" t="s" s="9">
        <v>43</v>
      </c>
      <c r="E1647" t="s" s="9">
        <v>33</v>
      </c>
      <c r="F1647" s="10">
        <v>902</v>
      </c>
      <c r="G1647" s="10">
        <v>3817144</v>
      </c>
      <c r="H1647" s="11" cm="1">
        <f t="array" ref="H1647">F1647/G1647*100000</f>
        <v>23.6302324460382</v>
      </c>
    </row>
    <row r="1648" ht="13" customHeight="1">
      <c r="A1648" s="8">
        <v>6</v>
      </c>
      <c r="B1648" t="s" s="9">
        <v>37</v>
      </c>
      <c r="C1648" t="s" s="9">
        <v>68</v>
      </c>
      <c r="D1648" t="s" s="9">
        <v>43</v>
      </c>
      <c r="E1648" t="s" s="9">
        <v>33</v>
      </c>
      <c r="F1648" s="10">
        <v>499</v>
      </c>
      <c r="G1648" s="10">
        <v>3817144</v>
      </c>
      <c r="H1648" s="11" cm="1">
        <f t="array" ref="H1648">F1648/G1648*100000</f>
        <v>13.0726008764668</v>
      </c>
    </row>
    <row r="1649" ht="13" customHeight="1">
      <c r="A1649" s="8">
        <v>7</v>
      </c>
      <c r="B1649" t="s" s="9">
        <v>39</v>
      </c>
      <c r="C1649" t="s" s="9">
        <v>68</v>
      </c>
      <c r="D1649" t="s" s="9">
        <v>43</v>
      </c>
      <c r="E1649" t="s" s="9">
        <v>33</v>
      </c>
      <c r="F1649" s="10">
        <v>444</v>
      </c>
      <c r="G1649" s="10">
        <v>3817144</v>
      </c>
      <c r="H1649" s="11" cm="1">
        <f t="array" ref="H1649">F1649/G1649*100000</f>
        <v>11.6317330443913</v>
      </c>
    </row>
    <row r="1650" ht="13" customHeight="1">
      <c r="A1650" s="8">
        <v>8</v>
      </c>
      <c r="B1650" t="s" s="9">
        <v>36</v>
      </c>
      <c r="C1650" t="s" s="9">
        <v>68</v>
      </c>
      <c r="D1650" t="s" s="9">
        <v>43</v>
      </c>
      <c r="E1650" t="s" s="9">
        <v>33</v>
      </c>
      <c r="F1650" s="10">
        <v>490</v>
      </c>
      <c r="G1650" s="10">
        <v>3817144</v>
      </c>
      <c r="H1650" s="11" cm="1">
        <f t="array" ref="H1650">F1650/G1650*100000</f>
        <v>12.8368225039454</v>
      </c>
    </row>
    <row r="1651" ht="13" customHeight="1">
      <c r="A1651" s="8">
        <v>9</v>
      </c>
      <c r="B1651" t="s" s="9">
        <v>35</v>
      </c>
      <c r="C1651" t="s" s="9">
        <v>68</v>
      </c>
      <c r="D1651" t="s" s="9">
        <v>43</v>
      </c>
      <c r="E1651" t="s" s="9">
        <v>33</v>
      </c>
      <c r="F1651" s="10">
        <v>526</v>
      </c>
      <c r="G1651" s="10">
        <v>3817144</v>
      </c>
      <c r="H1651" s="11" cm="1">
        <f t="array" ref="H1651">F1651/G1651*100000</f>
        <v>13.7799359940311</v>
      </c>
    </row>
    <row r="1652" ht="13" customHeight="1">
      <c r="A1652" s="8">
        <v>10</v>
      </c>
      <c r="B1652" t="s" s="9">
        <v>30</v>
      </c>
      <c r="C1652" t="s" s="9">
        <v>68</v>
      </c>
      <c r="D1652" t="s" s="9">
        <v>43</v>
      </c>
      <c r="E1652" t="s" s="9">
        <v>33</v>
      </c>
      <c r="F1652" s="10">
        <v>366</v>
      </c>
      <c r="G1652" s="10">
        <v>3817144</v>
      </c>
      <c r="H1652" s="11" cm="1">
        <f t="array" ref="H1652">F1652/G1652*100000</f>
        <v>9.58832048253878</v>
      </c>
    </row>
    <row r="1653" ht="13" customHeight="1">
      <c r="A1653" s="8">
        <v>1</v>
      </c>
      <c r="B1653" t="s" s="9">
        <v>30</v>
      </c>
      <c r="C1653" t="s" s="9">
        <v>68</v>
      </c>
      <c r="D1653" t="s" s="9">
        <v>44</v>
      </c>
      <c r="E1653" t="s" s="9">
        <v>33</v>
      </c>
      <c r="F1653" s="10">
        <v>26880</v>
      </c>
      <c r="G1653" s="10">
        <v>13239670</v>
      </c>
      <c r="H1653" s="11" cm="1">
        <f t="array" ref="H1653">F1653/G1653*100000</f>
        <v>203.026208357157</v>
      </c>
    </row>
    <row r="1654" ht="13" customHeight="1">
      <c r="A1654" s="8">
        <v>2</v>
      </c>
      <c r="B1654" t="s" s="9">
        <v>34</v>
      </c>
      <c r="C1654" t="s" s="9">
        <v>68</v>
      </c>
      <c r="D1654" t="s" s="9">
        <v>44</v>
      </c>
      <c r="E1654" t="s" s="9">
        <v>33</v>
      </c>
      <c r="F1654" s="10">
        <v>8388</v>
      </c>
      <c r="G1654" s="10">
        <v>13239670</v>
      </c>
      <c r="H1654" s="11" cm="1">
        <f t="array" ref="H1654">F1654/G1654*100000</f>
        <v>63.3550534114521</v>
      </c>
    </row>
    <row r="1655" ht="13" customHeight="1">
      <c r="A1655" s="8">
        <v>3</v>
      </c>
      <c r="B1655" t="s" s="9">
        <v>35</v>
      </c>
      <c r="C1655" t="s" s="9">
        <v>68</v>
      </c>
      <c r="D1655" t="s" s="9">
        <v>44</v>
      </c>
      <c r="E1655" t="s" s="9">
        <v>33</v>
      </c>
      <c r="F1655" s="10">
        <v>4754</v>
      </c>
      <c r="G1655" s="10">
        <v>13239670</v>
      </c>
      <c r="H1655" s="11" cm="1">
        <f t="array" ref="H1655">F1655/G1655*100000</f>
        <v>35.9072393798335</v>
      </c>
    </row>
    <row r="1656" ht="13" customHeight="1">
      <c r="A1656" s="8">
        <v>4</v>
      </c>
      <c r="B1656" t="s" s="9">
        <v>37</v>
      </c>
      <c r="C1656" t="s" s="9">
        <v>68</v>
      </c>
      <c r="D1656" t="s" s="9">
        <v>44</v>
      </c>
      <c r="E1656" t="s" s="9">
        <v>33</v>
      </c>
      <c r="F1656" s="10">
        <v>3297</v>
      </c>
      <c r="G1656" s="10">
        <v>13239670</v>
      </c>
      <c r="H1656" s="11" cm="1">
        <f t="array" ref="H1656">F1656/G1656*100000</f>
        <v>24.9024333688075</v>
      </c>
    </row>
    <row r="1657" ht="13" customHeight="1">
      <c r="A1657" s="8">
        <v>5</v>
      </c>
      <c r="B1657" t="s" s="9">
        <v>39</v>
      </c>
      <c r="C1657" t="s" s="9">
        <v>68</v>
      </c>
      <c r="D1657" t="s" s="9">
        <v>44</v>
      </c>
      <c r="E1657" t="s" s="9">
        <v>33</v>
      </c>
      <c r="F1657" s="10">
        <v>2067</v>
      </c>
      <c r="G1657" s="10">
        <v>13239670</v>
      </c>
      <c r="H1657" s="11" cm="1">
        <f t="array" ref="H1657">F1657/G1657*100000</f>
        <v>15.6121716024644</v>
      </c>
    </row>
    <row r="1658" ht="13" customHeight="1">
      <c r="A1658" s="8">
        <v>6</v>
      </c>
      <c r="B1658" t="s" s="9">
        <v>30</v>
      </c>
      <c r="C1658" t="s" s="9">
        <v>68</v>
      </c>
      <c r="D1658" t="s" s="9">
        <v>44</v>
      </c>
      <c r="E1658" t="s" s="9">
        <v>33</v>
      </c>
      <c r="F1658" s="10">
        <v>2635</v>
      </c>
      <c r="G1658" s="10">
        <v>13239670</v>
      </c>
      <c r="H1658" s="11" cm="1">
        <f t="array" ref="H1658">F1658/G1658*100000</f>
        <v>19.9023087433448</v>
      </c>
    </row>
    <row r="1659" ht="13" customHeight="1">
      <c r="A1659" s="8">
        <v>7</v>
      </c>
      <c r="B1659" t="s" s="9">
        <v>30</v>
      </c>
      <c r="C1659" t="s" s="9">
        <v>68</v>
      </c>
      <c r="D1659" t="s" s="9">
        <v>44</v>
      </c>
      <c r="E1659" t="s" s="9">
        <v>33</v>
      </c>
      <c r="F1659" s="10">
        <v>2455</v>
      </c>
      <c r="G1659" s="10">
        <v>13239670</v>
      </c>
      <c r="H1659" s="11" cm="1">
        <f t="array" ref="H1659">F1659/G1659*100000</f>
        <v>18.5427582409531</v>
      </c>
    </row>
    <row r="1660" ht="13" customHeight="1">
      <c r="A1660" s="8">
        <v>8</v>
      </c>
      <c r="B1660" t="s" s="9">
        <v>30</v>
      </c>
      <c r="C1660" t="s" s="9">
        <v>68</v>
      </c>
      <c r="D1660" t="s" s="9">
        <v>44</v>
      </c>
      <c r="E1660" t="s" s="9">
        <v>33</v>
      </c>
      <c r="F1660" s="10">
        <v>2137</v>
      </c>
      <c r="G1660" s="10">
        <v>13239670</v>
      </c>
      <c r="H1660" s="11" cm="1">
        <f t="array" ref="H1660">F1660/G1660*100000</f>
        <v>16.1408856867278</v>
      </c>
    </row>
    <row r="1661" ht="13" customHeight="1">
      <c r="A1661" s="8">
        <v>9</v>
      </c>
      <c r="B1661" t="s" s="9">
        <v>30</v>
      </c>
      <c r="C1661" t="s" s="9">
        <v>68</v>
      </c>
      <c r="D1661" t="s" s="9">
        <v>44</v>
      </c>
      <c r="E1661" t="s" s="9">
        <v>33</v>
      </c>
      <c r="F1661" s="10">
        <v>2050</v>
      </c>
      <c r="G1661" s="10">
        <v>13239670</v>
      </c>
      <c r="H1661" s="11" cm="1">
        <f t="array" ref="H1661">F1661/G1661*100000</f>
        <v>15.4837696105719</v>
      </c>
    </row>
    <row r="1662" ht="13" customHeight="1">
      <c r="A1662" s="8">
        <v>10</v>
      </c>
      <c r="B1662" t="s" s="9">
        <v>41</v>
      </c>
      <c r="C1662" t="s" s="9">
        <v>68</v>
      </c>
      <c r="D1662" t="s" s="9">
        <v>44</v>
      </c>
      <c r="E1662" t="s" s="9">
        <v>33</v>
      </c>
      <c r="F1662" s="10">
        <v>2076</v>
      </c>
      <c r="G1662" s="10">
        <v>13239670</v>
      </c>
      <c r="H1662" s="11" cm="1">
        <f t="array" ref="H1662">F1662/G1662*100000</f>
        <v>15.680149127584</v>
      </c>
    </row>
    <row r="1663" ht="13" customHeight="1">
      <c r="A1663" s="8">
        <v>1</v>
      </c>
      <c r="B1663" t="s" s="9">
        <v>30</v>
      </c>
      <c r="C1663" t="s" s="9">
        <v>68</v>
      </c>
      <c r="D1663" t="s" s="9">
        <v>46</v>
      </c>
      <c r="E1663" t="s" s="9">
        <v>33</v>
      </c>
      <c r="F1663" s="10">
        <v>20682</v>
      </c>
      <c r="G1663" s="10">
        <v>17477569</v>
      </c>
      <c r="H1663" s="11" cm="1">
        <f t="array" ref="H1663">F1663/G1663*100000</f>
        <v>118.334534968793</v>
      </c>
    </row>
    <row r="1664" ht="13" customHeight="1">
      <c r="A1664" s="8">
        <v>2</v>
      </c>
      <c r="B1664" t="s" s="9">
        <v>35</v>
      </c>
      <c r="C1664" t="s" s="9">
        <v>68</v>
      </c>
      <c r="D1664" t="s" s="9">
        <v>46</v>
      </c>
      <c r="E1664" t="s" s="9">
        <v>33</v>
      </c>
      <c r="F1664" s="10">
        <v>8182</v>
      </c>
      <c r="G1664" s="10">
        <v>17477569</v>
      </c>
      <c r="H1664" s="11" cm="1">
        <f t="array" ref="H1664">F1664/G1664*100000</f>
        <v>46.8142909348548</v>
      </c>
    </row>
    <row r="1665" ht="13" customHeight="1">
      <c r="A1665" s="8">
        <v>3</v>
      </c>
      <c r="B1665" t="s" s="9">
        <v>30</v>
      </c>
      <c r="C1665" t="s" s="9">
        <v>68</v>
      </c>
      <c r="D1665" t="s" s="9">
        <v>46</v>
      </c>
      <c r="E1665" t="s" s="9">
        <v>33</v>
      </c>
      <c r="F1665" s="10">
        <v>6597</v>
      </c>
      <c r="G1665" s="10">
        <v>17477569</v>
      </c>
      <c r="H1665" s="11" cm="1">
        <f t="array" ref="H1665">F1665/G1665*100000</f>
        <v>37.7455239913514</v>
      </c>
    </row>
    <row r="1666" ht="13" customHeight="1">
      <c r="A1666" s="8">
        <v>4</v>
      </c>
      <c r="B1666" t="s" s="9">
        <v>34</v>
      </c>
      <c r="C1666" t="s" s="9">
        <v>68</v>
      </c>
      <c r="D1666" t="s" s="9">
        <v>46</v>
      </c>
      <c r="E1666" t="s" s="9">
        <v>33</v>
      </c>
      <c r="F1666" s="10">
        <v>3764</v>
      </c>
      <c r="G1666" s="10">
        <v>17477569</v>
      </c>
      <c r="H1666" s="11" cm="1">
        <f t="array" ref="H1666">F1666/G1666*100000</f>
        <v>21.5361758834996</v>
      </c>
    </row>
    <row r="1667" ht="13" customHeight="1">
      <c r="A1667" s="8">
        <v>5</v>
      </c>
      <c r="B1667" t="s" s="9">
        <v>30</v>
      </c>
      <c r="C1667" t="s" s="9">
        <v>68</v>
      </c>
      <c r="D1667" t="s" s="9">
        <v>46</v>
      </c>
      <c r="E1667" t="s" s="9">
        <v>33</v>
      </c>
      <c r="F1667" s="10">
        <v>4261</v>
      </c>
      <c r="G1667" s="10">
        <v>17477569</v>
      </c>
      <c r="H1667" s="11" cm="1">
        <f t="array" ref="H1667">F1667/G1667*100000</f>
        <v>24.379820786289</v>
      </c>
    </row>
    <row r="1668" ht="13" customHeight="1">
      <c r="A1668" s="8">
        <v>6</v>
      </c>
      <c r="B1668" t="s" s="9">
        <v>41</v>
      </c>
      <c r="C1668" t="s" s="9">
        <v>68</v>
      </c>
      <c r="D1668" t="s" s="9">
        <v>46</v>
      </c>
      <c r="E1668" t="s" s="9">
        <v>33</v>
      </c>
      <c r="F1668" s="10">
        <v>3681</v>
      </c>
      <c r="G1668" s="10">
        <v>17477569</v>
      </c>
      <c r="H1668" s="11" cm="1">
        <f t="array" ref="H1668">F1668/G1668*100000</f>
        <v>21.0612814631142</v>
      </c>
    </row>
    <row r="1669" ht="13" customHeight="1">
      <c r="A1669" s="8">
        <v>7</v>
      </c>
      <c r="B1669" t="s" s="9">
        <v>39</v>
      </c>
      <c r="C1669" t="s" s="9">
        <v>68</v>
      </c>
      <c r="D1669" t="s" s="9">
        <v>46</v>
      </c>
      <c r="E1669" t="s" s="9">
        <v>33</v>
      </c>
      <c r="F1669" s="10">
        <v>2645</v>
      </c>
      <c r="G1669" s="10">
        <v>17477569</v>
      </c>
      <c r="H1669" s="11" cm="1">
        <f t="array" ref="H1669">F1669/G1669*100000</f>
        <v>15.1336836375814</v>
      </c>
    </row>
    <row r="1670" ht="13" customHeight="1">
      <c r="A1670" s="8">
        <v>8</v>
      </c>
      <c r="B1670" t="s" s="9">
        <v>30</v>
      </c>
      <c r="C1670" t="s" s="9">
        <v>68</v>
      </c>
      <c r="D1670" t="s" s="9">
        <v>46</v>
      </c>
      <c r="E1670" t="s" s="9">
        <v>33</v>
      </c>
      <c r="F1670" s="10">
        <v>1985</v>
      </c>
      <c r="G1670" s="10">
        <v>17477569</v>
      </c>
      <c r="H1670" s="11" cm="1">
        <f t="array" ref="H1670">F1670/G1670*100000</f>
        <v>11.3574147525894</v>
      </c>
    </row>
    <row r="1671" ht="13" customHeight="1">
      <c r="A1671" s="8">
        <v>9</v>
      </c>
      <c r="B1671" t="s" s="9">
        <v>45</v>
      </c>
      <c r="C1671" t="s" s="9">
        <v>68</v>
      </c>
      <c r="D1671" t="s" s="9">
        <v>46</v>
      </c>
      <c r="E1671" t="s" s="9">
        <v>33</v>
      </c>
      <c r="F1671" s="10">
        <v>1961</v>
      </c>
      <c r="G1671" s="10">
        <v>17477569</v>
      </c>
      <c r="H1671" s="11" cm="1">
        <f t="array" ref="H1671">F1671/G1671*100000</f>
        <v>11.2200958840443</v>
      </c>
    </row>
    <row r="1672" ht="13" customHeight="1">
      <c r="A1672" s="8">
        <v>10</v>
      </c>
      <c r="B1672" t="s" s="9">
        <v>37</v>
      </c>
      <c r="C1672" t="s" s="9">
        <v>68</v>
      </c>
      <c r="D1672" t="s" s="9">
        <v>46</v>
      </c>
      <c r="E1672" t="s" s="9">
        <v>33</v>
      </c>
      <c r="F1672" s="10">
        <v>1355</v>
      </c>
      <c r="G1672" s="10">
        <v>17477569</v>
      </c>
      <c r="H1672" s="11" cm="1">
        <f t="array" ref="H1672">F1672/G1672*100000</f>
        <v>7.75279445327894</v>
      </c>
    </row>
    <row r="1673" ht="13" customHeight="1">
      <c r="A1673" s="8">
        <v>1</v>
      </c>
      <c r="B1673" t="s" s="9">
        <v>30</v>
      </c>
      <c r="C1673" t="s" s="9">
        <v>68</v>
      </c>
      <c r="D1673" t="s" s="9">
        <v>47</v>
      </c>
      <c r="E1673" t="s" s="9">
        <v>33</v>
      </c>
      <c r="F1673" s="10">
        <v>3542</v>
      </c>
      <c r="G1673" s="10">
        <v>3342831</v>
      </c>
      <c r="H1673" s="11" cm="1">
        <f t="array" ref="H1673">F1673/G1673*100000</f>
        <v>105.958093603894</v>
      </c>
    </row>
    <row r="1674" ht="13" customHeight="1">
      <c r="A1674" s="8">
        <v>2</v>
      </c>
      <c r="B1674" t="s" s="9">
        <v>35</v>
      </c>
      <c r="C1674" t="s" s="9">
        <v>68</v>
      </c>
      <c r="D1674" t="s" s="9">
        <v>47</v>
      </c>
      <c r="E1674" t="s" s="9">
        <v>33</v>
      </c>
      <c r="F1674" s="10">
        <v>1627</v>
      </c>
      <c r="G1674" s="10">
        <v>3342831</v>
      </c>
      <c r="H1674" s="11" cm="1">
        <f t="array" ref="H1674">F1674/G1674*100000</f>
        <v>48.6713208056285</v>
      </c>
    </row>
    <row r="1675" ht="13" customHeight="1">
      <c r="A1675" s="8">
        <v>3</v>
      </c>
      <c r="B1675" t="s" s="9">
        <v>34</v>
      </c>
      <c r="C1675" t="s" s="9">
        <v>68</v>
      </c>
      <c r="D1675" t="s" s="9">
        <v>47</v>
      </c>
      <c r="E1675" t="s" s="9">
        <v>33</v>
      </c>
      <c r="F1675" s="10">
        <v>707</v>
      </c>
      <c r="G1675" s="10">
        <v>3342831</v>
      </c>
      <c r="H1675" s="11" cm="1">
        <f t="array" ref="H1675">F1675/G1675*100000</f>
        <v>21.1497380513702</v>
      </c>
    </row>
    <row r="1676" ht="13" customHeight="1">
      <c r="A1676" s="8">
        <v>4</v>
      </c>
      <c r="B1676" t="s" s="9">
        <v>39</v>
      </c>
      <c r="C1676" t="s" s="9">
        <v>68</v>
      </c>
      <c r="D1676" t="s" s="9">
        <v>47</v>
      </c>
      <c r="E1676" t="s" s="9">
        <v>33</v>
      </c>
      <c r="F1676" s="10">
        <v>365</v>
      </c>
      <c r="G1676" s="10">
        <v>3342831</v>
      </c>
      <c r="H1676" s="11" cm="1">
        <f t="array" ref="H1676">F1676/G1676*100000</f>
        <v>10.9188888101133</v>
      </c>
    </row>
    <row r="1677" ht="13" customHeight="1">
      <c r="A1677" s="8">
        <v>5</v>
      </c>
      <c r="B1677" t="s" s="9">
        <v>30</v>
      </c>
      <c r="C1677" t="s" s="9">
        <v>68</v>
      </c>
      <c r="D1677" t="s" s="9">
        <v>47</v>
      </c>
      <c r="E1677" t="s" s="9">
        <v>33</v>
      </c>
      <c r="F1677" s="10">
        <v>630</v>
      </c>
      <c r="G1677" s="10">
        <v>3342831</v>
      </c>
      <c r="H1677" s="11" cm="1">
        <f t="array" ref="H1677">F1677/G1677*100000</f>
        <v>18.8463012338943</v>
      </c>
    </row>
    <row r="1678" ht="13" customHeight="1">
      <c r="A1678" s="8">
        <v>6</v>
      </c>
      <c r="B1678" t="s" s="9">
        <v>45</v>
      </c>
      <c r="C1678" t="s" s="9">
        <v>68</v>
      </c>
      <c r="D1678" t="s" s="9">
        <v>47</v>
      </c>
      <c r="E1678" t="s" s="9">
        <v>33</v>
      </c>
      <c r="F1678" s="10">
        <v>471</v>
      </c>
      <c r="G1678" s="10">
        <v>3342831</v>
      </c>
      <c r="H1678" s="11" cm="1">
        <f t="array" ref="H1678">F1678/G1678*100000</f>
        <v>14.0898537796257</v>
      </c>
    </row>
    <row r="1679" ht="13" customHeight="1">
      <c r="A1679" s="8">
        <v>7</v>
      </c>
      <c r="B1679" t="s" s="9">
        <v>35</v>
      </c>
      <c r="C1679" t="s" s="9">
        <v>68</v>
      </c>
      <c r="D1679" t="s" s="9">
        <v>47</v>
      </c>
      <c r="E1679" t="s" s="9">
        <v>33</v>
      </c>
      <c r="F1679" s="10">
        <v>590</v>
      </c>
      <c r="G1679" s="10">
        <v>3342831</v>
      </c>
      <c r="H1679" s="11" cm="1">
        <f t="array" ref="H1679">F1679/G1679*100000</f>
        <v>17.6497106793613</v>
      </c>
    </row>
    <row r="1680" ht="13" customHeight="1">
      <c r="A1680" s="8">
        <v>8</v>
      </c>
      <c r="B1680" t="s" s="9">
        <v>30</v>
      </c>
      <c r="C1680" t="s" s="9">
        <v>68</v>
      </c>
      <c r="D1680" t="s" s="9">
        <v>47</v>
      </c>
      <c r="E1680" t="s" s="9">
        <v>33</v>
      </c>
      <c r="F1680" s="10">
        <v>405</v>
      </c>
      <c r="G1680" s="10">
        <v>3342831</v>
      </c>
      <c r="H1680" s="11" cm="1">
        <f t="array" ref="H1680">F1680/G1680*100000</f>
        <v>12.1154793646463</v>
      </c>
    </row>
    <row r="1681" ht="13" customHeight="1">
      <c r="A1681" s="8">
        <v>9</v>
      </c>
      <c r="B1681" t="s" s="9">
        <v>30</v>
      </c>
      <c r="C1681" t="s" s="9">
        <v>68</v>
      </c>
      <c r="D1681" t="s" s="9">
        <v>47</v>
      </c>
      <c r="E1681" t="s" s="9">
        <v>33</v>
      </c>
      <c r="F1681" s="10">
        <v>322</v>
      </c>
      <c r="G1681" s="10">
        <v>3342831</v>
      </c>
      <c r="H1681" s="11" cm="1">
        <f t="array" ref="H1681">F1681/G1681*100000</f>
        <v>9.6325539639904</v>
      </c>
    </row>
    <row r="1682" ht="13" customHeight="1">
      <c r="A1682" s="8">
        <v>10</v>
      </c>
      <c r="B1682" t="s" s="9">
        <v>30</v>
      </c>
      <c r="C1682" t="s" s="9">
        <v>68</v>
      </c>
      <c r="D1682" t="s" s="9">
        <v>47</v>
      </c>
      <c r="E1682" t="s" s="9">
        <v>33</v>
      </c>
      <c r="F1682" s="10">
        <v>272</v>
      </c>
      <c r="G1682" s="10">
        <v>3342831</v>
      </c>
      <c r="H1682" s="11" cm="1">
        <f t="array" ref="H1682">F1682/G1682*100000</f>
        <v>8.136815770824191</v>
      </c>
    </row>
    <row r="1683" ht="13" customHeight="1">
      <c r="A1683" s="8">
        <v>1</v>
      </c>
      <c r="B1683" t="s" s="9">
        <v>30</v>
      </c>
      <c r="C1683" t="s" s="9">
        <v>68</v>
      </c>
      <c r="D1683" t="s" s="9">
        <v>49</v>
      </c>
      <c r="E1683" t="s" s="9">
        <v>33</v>
      </c>
      <c r="F1683" s="10">
        <v>9731</v>
      </c>
      <c r="G1683" s="10">
        <v>6397690</v>
      </c>
      <c r="H1683" s="11" cm="1">
        <f t="array" ref="H1683">F1683/G1683*100000</f>
        <v>152.101774234138</v>
      </c>
    </row>
    <row r="1684" ht="13" customHeight="1">
      <c r="A1684" s="8">
        <v>2</v>
      </c>
      <c r="B1684" t="s" s="9">
        <v>34</v>
      </c>
      <c r="C1684" t="s" s="9">
        <v>68</v>
      </c>
      <c r="D1684" t="s" s="9">
        <v>49</v>
      </c>
      <c r="E1684" t="s" s="9">
        <v>33</v>
      </c>
      <c r="F1684" s="10">
        <v>2996</v>
      </c>
      <c r="G1684" s="10">
        <v>6397690</v>
      </c>
      <c r="H1684" s="11" cm="1">
        <f t="array" ref="H1684">F1684/G1684*100000</f>
        <v>46.8294024874603</v>
      </c>
    </row>
    <row r="1685" ht="13" customHeight="1">
      <c r="A1685" s="8">
        <v>3</v>
      </c>
      <c r="B1685" t="s" s="9">
        <v>30</v>
      </c>
      <c r="C1685" t="s" s="9">
        <v>68</v>
      </c>
      <c r="D1685" t="s" s="9">
        <v>49</v>
      </c>
      <c r="E1685" t="s" s="9">
        <v>33</v>
      </c>
      <c r="F1685" s="10">
        <v>1782</v>
      </c>
      <c r="G1685" s="10">
        <v>6397690</v>
      </c>
      <c r="H1685" s="11" cm="1">
        <f t="array" ref="H1685">F1685/G1685*100000</f>
        <v>27.8538034821944</v>
      </c>
    </row>
    <row r="1686" ht="13" customHeight="1">
      <c r="A1686" s="8">
        <v>4</v>
      </c>
      <c r="B1686" t="s" s="9">
        <v>39</v>
      </c>
      <c r="C1686" t="s" s="9">
        <v>68</v>
      </c>
      <c r="D1686" t="s" s="9">
        <v>49</v>
      </c>
      <c r="E1686" t="s" s="9">
        <v>33</v>
      </c>
      <c r="F1686" s="10">
        <v>895</v>
      </c>
      <c r="G1686" s="10">
        <v>6397690</v>
      </c>
      <c r="H1686" s="11" cm="1">
        <f t="array" ref="H1686">F1686/G1686*100000</f>
        <v>13.9894243078361</v>
      </c>
    </row>
    <row r="1687" ht="13" customHeight="1">
      <c r="A1687" s="8">
        <v>5</v>
      </c>
      <c r="B1687" t="s" s="9">
        <v>30</v>
      </c>
      <c r="C1687" t="s" s="9">
        <v>68</v>
      </c>
      <c r="D1687" t="s" s="9">
        <v>49</v>
      </c>
      <c r="E1687" t="s" s="9">
        <v>33</v>
      </c>
      <c r="F1687" s="10">
        <v>1487</v>
      </c>
      <c r="G1687" s="10">
        <v>6397690</v>
      </c>
      <c r="H1687" s="11" cm="1">
        <f t="array" ref="H1687">F1687/G1687*100000</f>
        <v>23.2427641851981</v>
      </c>
    </row>
    <row r="1688" ht="13" customHeight="1">
      <c r="A1688" s="8">
        <v>6</v>
      </c>
      <c r="B1688" t="s" s="9">
        <v>35</v>
      </c>
      <c r="C1688" t="s" s="9">
        <v>68</v>
      </c>
      <c r="D1688" t="s" s="9">
        <v>49</v>
      </c>
      <c r="E1688" t="s" s="9">
        <v>33</v>
      </c>
      <c r="F1688" s="10">
        <v>1381</v>
      </c>
      <c r="G1688" s="10">
        <v>6397690</v>
      </c>
      <c r="H1688" s="11" cm="1">
        <f t="array" ref="H1688">F1688/G1688*100000</f>
        <v>21.5859161666164</v>
      </c>
    </row>
    <row r="1689" ht="13" customHeight="1">
      <c r="A1689" s="8">
        <v>7</v>
      </c>
      <c r="B1689" t="s" s="9">
        <v>30</v>
      </c>
      <c r="C1689" t="s" s="9">
        <v>68</v>
      </c>
      <c r="D1689" t="s" s="9">
        <v>49</v>
      </c>
      <c r="E1689" t="s" s="9">
        <v>33</v>
      </c>
      <c r="F1689" s="10">
        <v>912</v>
      </c>
      <c r="G1689" s="10">
        <v>6397690</v>
      </c>
      <c r="H1689" s="11" cm="1">
        <f t="array" ref="H1689">F1689/G1689*100000</f>
        <v>14.2551452164766</v>
      </c>
    </row>
    <row r="1690" ht="13" customHeight="1">
      <c r="A1690" s="8">
        <v>8</v>
      </c>
      <c r="B1690" t="s" s="9">
        <v>36</v>
      </c>
      <c r="C1690" t="s" s="9">
        <v>68</v>
      </c>
      <c r="D1690" t="s" s="9">
        <v>49</v>
      </c>
      <c r="E1690" t="s" s="9">
        <v>33</v>
      </c>
      <c r="F1690" s="10">
        <v>927</v>
      </c>
      <c r="G1690" s="10">
        <v>6397690</v>
      </c>
      <c r="H1690" s="11" cm="1">
        <f t="array" ref="H1690">F1690/G1690*100000</f>
        <v>14.4896048417476</v>
      </c>
    </row>
    <row r="1691" ht="13" customHeight="1">
      <c r="A1691" s="8">
        <v>9</v>
      </c>
      <c r="B1691" t="s" s="9">
        <v>30</v>
      </c>
      <c r="C1691" t="s" s="9">
        <v>68</v>
      </c>
      <c r="D1691" t="s" s="9">
        <v>49</v>
      </c>
      <c r="E1691" t="s" s="9">
        <v>33</v>
      </c>
      <c r="F1691" s="10">
        <v>744</v>
      </c>
      <c r="G1691" s="10">
        <v>6397690</v>
      </c>
      <c r="H1691" s="11" cm="1">
        <f t="array" ref="H1691">F1691/G1691*100000</f>
        <v>11.6291974134414</v>
      </c>
    </row>
    <row r="1692" ht="13" customHeight="1">
      <c r="A1692" s="8">
        <v>10</v>
      </c>
      <c r="B1692" t="s" s="9">
        <v>37</v>
      </c>
      <c r="C1692" t="s" s="9">
        <v>68</v>
      </c>
      <c r="D1692" t="s" s="9">
        <v>49</v>
      </c>
      <c r="E1692" t="s" s="9">
        <v>33</v>
      </c>
      <c r="F1692" s="10">
        <v>672</v>
      </c>
      <c r="G1692" s="10">
        <v>6397690</v>
      </c>
      <c r="H1692" s="11" cm="1">
        <f t="array" ref="H1692">F1692/G1692*100000</f>
        <v>10.5037912121406</v>
      </c>
    </row>
    <row r="1693" ht="13.65" customHeight="1">
      <c r="A1693" s="8">
        <v>1</v>
      </c>
      <c r="B1693" t="s" s="9">
        <v>30</v>
      </c>
      <c r="C1693" t="s" s="9">
        <v>68</v>
      </c>
      <c r="D1693" t="s" s="9">
        <v>51</v>
      </c>
      <c r="E1693" t="s" s="9">
        <v>33</v>
      </c>
      <c r="F1693" s="10">
        <v>3868</v>
      </c>
      <c r="G1693" s="12"/>
      <c r="H1693" s="13"/>
    </row>
    <row r="1694" ht="13.65" customHeight="1">
      <c r="A1694" s="8">
        <v>2</v>
      </c>
      <c r="B1694" t="s" s="9">
        <v>34</v>
      </c>
      <c r="C1694" t="s" s="9">
        <v>68</v>
      </c>
      <c r="D1694" t="s" s="9">
        <v>51</v>
      </c>
      <c r="E1694" t="s" s="9">
        <v>33</v>
      </c>
      <c r="F1694" s="10">
        <v>2002</v>
      </c>
      <c r="G1694" s="14"/>
      <c r="H1694" s="15"/>
    </row>
    <row r="1695" ht="13.65" customHeight="1">
      <c r="A1695" s="8">
        <v>3</v>
      </c>
      <c r="B1695" t="s" s="9">
        <v>30</v>
      </c>
      <c r="C1695" t="s" s="9">
        <v>68</v>
      </c>
      <c r="D1695" t="s" s="9">
        <v>51</v>
      </c>
      <c r="E1695" t="s" s="9">
        <v>33</v>
      </c>
      <c r="F1695" s="10">
        <v>1393</v>
      </c>
      <c r="G1695" s="14"/>
      <c r="H1695" s="15"/>
    </row>
    <row r="1696" ht="13.65" customHeight="1">
      <c r="A1696" s="8">
        <v>4</v>
      </c>
      <c r="B1696" t="s" s="9">
        <v>35</v>
      </c>
      <c r="C1696" t="s" s="9">
        <v>68</v>
      </c>
      <c r="D1696" t="s" s="9">
        <v>51</v>
      </c>
      <c r="E1696" t="s" s="9">
        <v>33</v>
      </c>
      <c r="F1696" s="10">
        <v>993</v>
      </c>
      <c r="G1696" s="14"/>
      <c r="H1696" s="15"/>
    </row>
    <row r="1697" ht="13.65" customHeight="1">
      <c r="A1697" s="8">
        <v>5</v>
      </c>
      <c r="B1697" t="s" s="9">
        <v>39</v>
      </c>
      <c r="C1697" t="s" s="9">
        <v>68</v>
      </c>
      <c r="D1697" t="s" s="9">
        <v>51</v>
      </c>
      <c r="E1697" t="s" s="9">
        <v>33</v>
      </c>
      <c r="F1697" s="10">
        <v>428</v>
      </c>
      <c r="G1697" s="14"/>
      <c r="H1697" s="15"/>
    </row>
    <row r="1698" ht="13.65" customHeight="1">
      <c r="A1698" s="8">
        <v>6</v>
      </c>
      <c r="B1698" t="s" s="9">
        <v>45</v>
      </c>
      <c r="C1698" t="s" s="9">
        <v>68</v>
      </c>
      <c r="D1698" t="s" s="9">
        <v>51</v>
      </c>
      <c r="E1698" t="s" s="9">
        <v>33</v>
      </c>
      <c r="F1698" s="10">
        <v>529</v>
      </c>
      <c r="G1698" s="14"/>
      <c r="H1698" s="15"/>
    </row>
    <row r="1699" ht="13.65" customHeight="1">
      <c r="A1699" s="8">
        <v>7</v>
      </c>
      <c r="B1699" t="s" s="9">
        <v>41</v>
      </c>
      <c r="C1699" t="s" s="9">
        <v>68</v>
      </c>
      <c r="D1699" t="s" s="9">
        <v>51</v>
      </c>
      <c r="E1699" t="s" s="9">
        <v>33</v>
      </c>
      <c r="F1699" s="10">
        <v>397</v>
      </c>
      <c r="G1699" s="14"/>
      <c r="H1699" s="15"/>
    </row>
    <row r="1700" ht="13.65" customHeight="1">
      <c r="A1700" s="8">
        <v>8</v>
      </c>
      <c r="B1700" t="s" s="9">
        <v>37</v>
      </c>
      <c r="C1700" t="s" s="9">
        <v>68</v>
      </c>
      <c r="D1700" t="s" s="9">
        <v>51</v>
      </c>
      <c r="E1700" t="s" s="9">
        <v>33</v>
      </c>
      <c r="F1700" s="10">
        <v>390</v>
      </c>
      <c r="G1700" s="14"/>
      <c r="H1700" s="15"/>
    </row>
    <row r="1701" ht="13.65" customHeight="1">
      <c r="A1701" s="8">
        <v>9</v>
      </c>
      <c r="B1701" t="s" s="9">
        <v>30</v>
      </c>
      <c r="C1701" t="s" s="9">
        <v>68</v>
      </c>
      <c r="D1701" t="s" s="9">
        <v>51</v>
      </c>
      <c r="E1701" t="s" s="9">
        <v>33</v>
      </c>
      <c r="F1701" s="10">
        <v>426</v>
      </c>
      <c r="G1701" s="14"/>
      <c r="H1701" s="15"/>
    </row>
    <row r="1702" ht="13.65" customHeight="1">
      <c r="A1702" s="8">
        <v>10</v>
      </c>
      <c r="B1702" t="s" s="9">
        <v>30</v>
      </c>
      <c r="C1702" t="s" s="9">
        <v>68</v>
      </c>
      <c r="D1702" t="s" s="9">
        <v>51</v>
      </c>
      <c r="E1702" t="s" s="9">
        <v>33</v>
      </c>
      <c r="F1702" s="10">
        <v>622</v>
      </c>
      <c r="G1702" s="14"/>
      <c r="H1702" s="15"/>
    </row>
    <row r="1703" ht="13.65" customHeight="1">
      <c r="A1703" s="8">
        <v>1</v>
      </c>
      <c r="B1703" t="s" s="9">
        <v>35</v>
      </c>
      <c r="C1703" t="s" s="9">
        <v>68</v>
      </c>
      <c r="D1703" t="s" s="9">
        <v>52</v>
      </c>
      <c r="E1703" t="s" s="9">
        <v>33</v>
      </c>
      <c r="F1703" s="10">
        <v>5633</v>
      </c>
      <c r="G1703" s="14"/>
      <c r="H1703" s="15"/>
    </row>
    <row r="1704" ht="13.65" customHeight="1">
      <c r="A1704" s="8">
        <v>2</v>
      </c>
      <c r="B1704" t="s" s="9">
        <v>30</v>
      </c>
      <c r="C1704" t="s" s="9">
        <v>68</v>
      </c>
      <c r="D1704" t="s" s="9">
        <v>52</v>
      </c>
      <c r="E1704" t="s" s="9">
        <v>33</v>
      </c>
      <c r="F1704" s="10">
        <v>4707</v>
      </c>
      <c r="G1704" s="14"/>
      <c r="H1704" s="15"/>
    </row>
    <row r="1705" ht="13.65" customHeight="1">
      <c r="A1705" s="8">
        <v>3</v>
      </c>
      <c r="B1705" t="s" s="9">
        <v>30</v>
      </c>
      <c r="C1705" t="s" s="9">
        <v>68</v>
      </c>
      <c r="D1705" t="s" s="9">
        <v>52</v>
      </c>
      <c r="E1705" t="s" s="9">
        <v>33</v>
      </c>
      <c r="F1705" s="10">
        <v>2088</v>
      </c>
      <c r="G1705" s="14"/>
      <c r="H1705" s="15"/>
    </row>
    <row r="1706" ht="13.65" customHeight="1">
      <c r="A1706" s="8">
        <v>4</v>
      </c>
      <c r="B1706" t="s" s="9">
        <v>34</v>
      </c>
      <c r="C1706" t="s" s="9">
        <v>68</v>
      </c>
      <c r="D1706" t="s" s="9">
        <v>52</v>
      </c>
      <c r="E1706" t="s" s="9">
        <v>33</v>
      </c>
      <c r="F1706" s="10">
        <v>1493</v>
      </c>
      <c r="G1706" s="14"/>
      <c r="H1706" s="15"/>
    </row>
    <row r="1707" ht="13.65" customHeight="1">
      <c r="A1707" s="8">
        <v>5</v>
      </c>
      <c r="B1707" t="s" s="9">
        <v>39</v>
      </c>
      <c r="C1707" t="s" s="9">
        <v>68</v>
      </c>
      <c r="D1707" t="s" s="9">
        <v>52</v>
      </c>
      <c r="E1707" t="s" s="9">
        <v>33</v>
      </c>
      <c r="F1707" s="10">
        <v>630</v>
      </c>
      <c r="G1707" s="14"/>
      <c r="H1707" s="15"/>
    </row>
    <row r="1708" ht="13.65" customHeight="1">
      <c r="A1708" s="8">
        <v>6</v>
      </c>
      <c r="B1708" t="s" s="9">
        <v>36</v>
      </c>
      <c r="C1708" t="s" s="9">
        <v>68</v>
      </c>
      <c r="D1708" t="s" s="9">
        <v>52</v>
      </c>
      <c r="E1708" t="s" s="9">
        <v>33</v>
      </c>
      <c r="F1708" s="10">
        <v>818</v>
      </c>
      <c r="G1708" s="14"/>
      <c r="H1708" s="15"/>
    </row>
    <row r="1709" ht="13.65" customHeight="1">
      <c r="A1709" s="8">
        <v>7</v>
      </c>
      <c r="B1709" t="s" s="9">
        <v>35</v>
      </c>
      <c r="C1709" t="s" s="9">
        <v>68</v>
      </c>
      <c r="D1709" t="s" s="9">
        <v>52</v>
      </c>
      <c r="E1709" t="s" s="9">
        <v>33</v>
      </c>
      <c r="F1709" s="10">
        <v>809</v>
      </c>
      <c r="G1709" s="14"/>
      <c r="H1709" s="15"/>
    </row>
    <row r="1710" ht="13.65" customHeight="1">
      <c r="A1710" s="8">
        <v>8</v>
      </c>
      <c r="B1710" t="s" s="9">
        <v>45</v>
      </c>
      <c r="C1710" t="s" s="9">
        <v>68</v>
      </c>
      <c r="D1710" t="s" s="9">
        <v>52</v>
      </c>
      <c r="E1710" t="s" s="9">
        <v>33</v>
      </c>
      <c r="F1710" s="10">
        <v>646</v>
      </c>
      <c r="G1710" s="14"/>
      <c r="H1710" s="15"/>
    </row>
    <row r="1711" ht="13.65" customHeight="1">
      <c r="A1711" s="8">
        <v>9</v>
      </c>
      <c r="B1711" t="s" s="9">
        <v>30</v>
      </c>
      <c r="C1711" t="s" s="9">
        <v>68</v>
      </c>
      <c r="D1711" t="s" s="9">
        <v>52</v>
      </c>
      <c r="E1711" t="s" s="9">
        <v>33</v>
      </c>
      <c r="F1711" s="10">
        <v>547</v>
      </c>
      <c r="G1711" s="14"/>
      <c r="H1711" s="15"/>
    </row>
    <row r="1712" ht="13.65" customHeight="1">
      <c r="A1712" s="8">
        <v>10</v>
      </c>
      <c r="B1712" t="s" s="9">
        <v>30</v>
      </c>
      <c r="C1712" t="s" s="9">
        <v>68</v>
      </c>
      <c r="D1712" t="s" s="9">
        <v>52</v>
      </c>
      <c r="E1712" t="s" s="9">
        <v>33</v>
      </c>
      <c r="F1712" s="10">
        <v>530</v>
      </c>
      <c r="G1712" s="16"/>
      <c r="H1712" s="17"/>
    </row>
    <row r="1713" ht="13" customHeight="1">
      <c r="A1713" s="8">
        <v>1</v>
      </c>
      <c r="B1713" t="s" s="9">
        <v>30</v>
      </c>
      <c r="C1713" t="s" s="9">
        <v>68</v>
      </c>
      <c r="D1713" t="s" s="9">
        <v>53</v>
      </c>
      <c r="E1713" t="s" s="9">
        <v>33</v>
      </c>
      <c r="F1713" s="10">
        <v>5138</v>
      </c>
      <c r="G1713" s="10">
        <v>5049226</v>
      </c>
      <c r="H1713" s="11" cm="1">
        <f t="array" ref="H1713">F1713/G1713*100000</f>
        <v>101.758170460185</v>
      </c>
    </row>
    <row r="1714" ht="13" customHeight="1">
      <c r="A1714" s="8">
        <v>2</v>
      </c>
      <c r="B1714" t="s" s="9">
        <v>34</v>
      </c>
      <c r="C1714" t="s" s="9">
        <v>68</v>
      </c>
      <c r="D1714" t="s" s="9">
        <v>53</v>
      </c>
      <c r="E1714" t="s" s="9">
        <v>33</v>
      </c>
      <c r="F1714" s="10">
        <v>2279</v>
      </c>
      <c r="G1714" s="10">
        <v>5049226</v>
      </c>
      <c r="H1714" s="11" cm="1">
        <f t="array" ref="H1714">F1714/G1714*100000</f>
        <v>45.1356306887432</v>
      </c>
    </row>
    <row r="1715" ht="13" customHeight="1">
      <c r="A1715" s="8">
        <v>3</v>
      </c>
      <c r="B1715" t="s" s="9">
        <v>35</v>
      </c>
      <c r="C1715" t="s" s="9">
        <v>68</v>
      </c>
      <c r="D1715" t="s" s="9">
        <v>53</v>
      </c>
      <c r="E1715" t="s" s="9">
        <v>33</v>
      </c>
      <c r="F1715" s="10">
        <v>2496</v>
      </c>
      <c r="G1715" s="10">
        <v>5049226</v>
      </c>
      <c r="H1715" s="11" cm="1">
        <f t="array" ref="H1715">F1715/G1715*100000</f>
        <v>49.4333190869254</v>
      </c>
    </row>
    <row r="1716" ht="13" customHeight="1">
      <c r="A1716" s="8">
        <v>4</v>
      </c>
      <c r="B1716" t="s" s="9">
        <v>30</v>
      </c>
      <c r="C1716" t="s" s="9">
        <v>68</v>
      </c>
      <c r="D1716" t="s" s="9">
        <v>53</v>
      </c>
      <c r="E1716" t="s" s="9">
        <v>33</v>
      </c>
      <c r="F1716" s="10">
        <v>2047</v>
      </c>
      <c r="G1716" s="10">
        <v>5049226</v>
      </c>
      <c r="H1716" s="11" cm="1">
        <f t="array" ref="H1716">F1716/G1716*100000</f>
        <v>40.5408670556636</v>
      </c>
    </row>
    <row r="1717" ht="13" customHeight="1">
      <c r="A1717" s="8">
        <v>5</v>
      </c>
      <c r="B1717" t="s" s="9">
        <v>30</v>
      </c>
      <c r="C1717" t="s" s="9">
        <v>68</v>
      </c>
      <c r="D1717" t="s" s="9">
        <v>53</v>
      </c>
      <c r="E1717" t="s" s="9">
        <v>33</v>
      </c>
      <c r="F1717" s="10">
        <v>1466</v>
      </c>
      <c r="G1717" s="10">
        <v>5049226</v>
      </c>
      <c r="H1717" s="11" cm="1">
        <f t="array" ref="H1717">F1717/G1717*100000</f>
        <v>29.0341529573047</v>
      </c>
    </row>
    <row r="1718" ht="13" customHeight="1">
      <c r="A1718" s="8">
        <v>6</v>
      </c>
      <c r="B1718" t="s" s="9">
        <v>39</v>
      </c>
      <c r="C1718" t="s" s="9">
        <v>68</v>
      </c>
      <c r="D1718" t="s" s="9">
        <v>53</v>
      </c>
      <c r="E1718" t="s" s="9">
        <v>33</v>
      </c>
      <c r="F1718" s="10">
        <v>691</v>
      </c>
      <c r="G1718" s="10">
        <v>5049226</v>
      </c>
      <c r="H1718" s="11" cm="1">
        <f t="array" ref="H1718">F1718/G1718*100000</f>
        <v>13.6852658209397</v>
      </c>
    </row>
    <row r="1719" ht="13" customHeight="1">
      <c r="A1719" s="8">
        <v>7</v>
      </c>
      <c r="B1719" t="s" s="9">
        <v>36</v>
      </c>
      <c r="C1719" t="s" s="9">
        <v>68</v>
      </c>
      <c r="D1719" t="s" s="9">
        <v>53</v>
      </c>
      <c r="E1719" t="s" s="9">
        <v>33</v>
      </c>
      <c r="F1719" s="10">
        <v>560</v>
      </c>
      <c r="G1719" s="10">
        <v>5049226</v>
      </c>
      <c r="H1719" s="11" cm="1">
        <f t="array" ref="H1719">F1719/G1719*100000</f>
        <v>11.0908087695025</v>
      </c>
    </row>
    <row r="1720" ht="13" customHeight="1">
      <c r="A1720" s="8">
        <v>8</v>
      </c>
      <c r="B1720" t="s" s="9">
        <v>41</v>
      </c>
      <c r="C1720" t="s" s="9">
        <v>68</v>
      </c>
      <c r="D1720" t="s" s="9">
        <v>53</v>
      </c>
      <c r="E1720" t="s" s="9">
        <v>33</v>
      </c>
      <c r="F1720" s="10">
        <v>518</v>
      </c>
      <c r="G1720" s="10">
        <v>5049226</v>
      </c>
      <c r="H1720" s="11" cm="1">
        <f t="array" ref="H1720">F1720/G1720*100000</f>
        <v>10.2589981117898</v>
      </c>
    </row>
    <row r="1721" ht="13" customHeight="1">
      <c r="A1721" s="8">
        <v>9</v>
      </c>
      <c r="B1721" t="s" s="9">
        <v>35</v>
      </c>
      <c r="C1721" t="s" s="9">
        <v>68</v>
      </c>
      <c r="D1721" t="s" s="9">
        <v>53</v>
      </c>
      <c r="E1721" t="s" s="9">
        <v>33</v>
      </c>
      <c r="F1721" s="10">
        <v>777</v>
      </c>
      <c r="G1721" s="10">
        <v>5049226</v>
      </c>
      <c r="H1721" s="11" cm="1">
        <f t="array" ref="H1721">F1721/G1721*100000</f>
        <v>15.3884971676847</v>
      </c>
    </row>
    <row r="1722" ht="13" customHeight="1">
      <c r="A1722" s="8">
        <v>10</v>
      </c>
      <c r="B1722" t="s" s="9">
        <v>36</v>
      </c>
      <c r="C1722" t="s" s="9">
        <v>68</v>
      </c>
      <c r="D1722" t="s" s="9">
        <v>53</v>
      </c>
      <c r="E1722" t="s" s="9">
        <v>33</v>
      </c>
      <c r="F1722" s="10">
        <v>603</v>
      </c>
      <c r="G1722" s="10">
        <v>5049226</v>
      </c>
      <c r="H1722" s="11" cm="1">
        <f t="array" ref="H1722">F1722/G1722*100000</f>
        <v>11.942424442875</v>
      </c>
    </row>
    <row r="1723" ht="13" customHeight="1">
      <c r="A1723" s="8">
        <v>1</v>
      </c>
      <c r="B1723" t="s" s="9">
        <v>30</v>
      </c>
      <c r="C1723" t="s" s="9">
        <v>68</v>
      </c>
      <c r="D1723" t="s" s="9">
        <v>54</v>
      </c>
      <c r="E1723" t="s" s="9">
        <v>33</v>
      </c>
      <c r="F1723" s="10">
        <v>2767</v>
      </c>
      <c r="G1723" s="10">
        <v>3901529</v>
      </c>
      <c r="H1723" s="11" cm="1">
        <f t="array" ref="H1723">F1723/G1723*100000</f>
        <v>70.9209133137291</v>
      </c>
    </row>
    <row r="1724" ht="13" customHeight="1">
      <c r="A1724" s="8">
        <v>2</v>
      </c>
      <c r="B1724" t="s" s="9">
        <v>34</v>
      </c>
      <c r="C1724" t="s" s="9">
        <v>68</v>
      </c>
      <c r="D1724" t="s" s="9">
        <v>54</v>
      </c>
      <c r="E1724" t="s" s="9">
        <v>33</v>
      </c>
      <c r="F1724" s="10">
        <v>761</v>
      </c>
      <c r="G1724" s="10">
        <v>3901529</v>
      </c>
      <c r="H1724" s="11" cm="1">
        <f t="array" ref="H1724">F1724/G1724*100000</f>
        <v>19.5051734845493</v>
      </c>
    </row>
    <row r="1725" ht="13" customHeight="1">
      <c r="A1725" s="8">
        <v>3</v>
      </c>
      <c r="B1725" t="s" s="9">
        <v>35</v>
      </c>
      <c r="C1725" t="s" s="9">
        <v>68</v>
      </c>
      <c r="D1725" t="s" s="9">
        <v>54</v>
      </c>
      <c r="E1725" t="s" s="9">
        <v>33</v>
      </c>
      <c r="F1725" s="10">
        <v>864</v>
      </c>
      <c r="G1725" s="10">
        <v>3901529</v>
      </c>
      <c r="H1725" s="11" cm="1">
        <f t="array" ref="H1725">F1725/G1725*100000</f>
        <v>22.1451641138641</v>
      </c>
    </row>
    <row r="1726" ht="13" customHeight="1">
      <c r="A1726" s="8">
        <v>4</v>
      </c>
      <c r="B1726" t="s" s="9">
        <v>41</v>
      </c>
      <c r="C1726" t="s" s="9">
        <v>68</v>
      </c>
      <c r="D1726" t="s" s="9">
        <v>54</v>
      </c>
      <c r="E1726" t="s" s="9">
        <v>33</v>
      </c>
      <c r="F1726" s="10">
        <v>774</v>
      </c>
      <c r="G1726" s="10">
        <v>3901529</v>
      </c>
      <c r="H1726" s="11" cm="1">
        <f t="array" ref="H1726">F1726/G1726*100000</f>
        <v>19.8383761853366</v>
      </c>
    </row>
    <row r="1727" ht="13" customHeight="1">
      <c r="A1727" s="8">
        <v>5</v>
      </c>
      <c r="B1727" t="s" s="9">
        <v>30</v>
      </c>
      <c r="C1727" t="s" s="9">
        <v>68</v>
      </c>
      <c r="D1727" t="s" s="9">
        <v>54</v>
      </c>
      <c r="E1727" t="s" s="9">
        <v>33</v>
      </c>
      <c r="F1727" s="10">
        <v>740</v>
      </c>
      <c r="G1727" s="10">
        <v>3901529</v>
      </c>
      <c r="H1727" s="11" cm="1">
        <f t="array" ref="H1727">F1727/G1727*100000</f>
        <v>18.9669229678928</v>
      </c>
    </row>
    <row r="1728" ht="13" customHeight="1">
      <c r="A1728" s="8">
        <v>6</v>
      </c>
      <c r="B1728" t="s" s="9">
        <v>30</v>
      </c>
      <c r="C1728" t="s" s="9">
        <v>68</v>
      </c>
      <c r="D1728" t="s" s="9">
        <v>54</v>
      </c>
      <c r="E1728" t="s" s="9">
        <v>33</v>
      </c>
      <c r="F1728" s="10">
        <v>662</v>
      </c>
      <c r="G1728" s="10">
        <v>3901529</v>
      </c>
      <c r="H1728" s="11" cm="1">
        <f t="array" ref="H1728">F1728/G1728*100000</f>
        <v>16.967706763169</v>
      </c>
    </row>
    <row r="1729" ht="13" customHeight="1">
      <c r="A1729" s="8">
        <v>7</v>
      </c>
      <c r="B1729" t="s" s="9">
        <v>30</v>
      </c>
      <c r="C1729" t="s" s="9">
        <v>68</v>
      </c>
      <c r="D1729" t="s" s="9">
        <v>54</v>
      </c>
      <c r="E1729" t="s" s="9">
        <v>33</v>
      </c>
      <c r="F1729" s="10">
        <v>646</v>
      </c>
      <c r="G1729" s="10">
        <v>3901529</v>
      </c>
      <c r="H1729" s="11" cm="1">
        <f t="array" ref="H1729">F1729/G1729*100000</f>
        <v>16.5576111314308</v>
      </c>
    </row>
    <row r="1730" ht="13" customHeight="1">
      <c r="A1730" s="8">
        <v>8</v>
      </c>
      <c r="B1730" t="s" s="9">
        <v>41</v>
      </c>
      <c r="C1730" t="s" s="9">
        <v>68</v>
      </c>
      <c r="D1730" t="s" s="9">
        <v>54</v>
      </c>
      <c r="E1730" t="s" s="9">
        <v>33</v>
      </c>
      <c r="F1730" s="10">
        <v>636</v>
      </c>
      <c r="G1730" s="10">
        <v>3901529</v>
      </c>
      <c r="H1730" s="11" cm="1">
        <f t="array" ref="H1730">F1730/G1730*100000</f>
        <v>16.3013013615944</v>
      </c>
    </row>
    <row r="1731" ht="13" customHeight="1">
      <c r="A1731" s="8">
        <v>9</v>
      </c>
      <c r="B1731" t="s" s="9">
        <v>35</v>
      </c>
      <c r="C1731" t="s" s="9">
        <v>68</v>
      </c>
      <c r="D1731" t="s" s="9">
        <v>54</v>
      </c>
      <c r="E1731" t="s" s="9">
        <v>33</v>
      </c>
      <c r="F1731" s="10">
        <v>658</v>
      </c>
      <c r="G1731" s="10">
        <v>3901529</v>
      </c>
      <c r="H1731" s="11" cm="1">
        <f t="array" ref="H1731">F1731/G1731*100000</f>
        <v>16.8651828552344</v>
      </c>
    </row>
    <row r="1732" ht="13" customHeight="1">
      <c r="A1732" s="8">
        <v>10</v>
      </c>
      <c r="B1732" t="s" s="9">
        <v>39</v>
      </c>
      <c r="C1732" t="s" s="9">
        <v>68</v>
      </c>
      <c r="D1732" t="s" s="9">
        <v>54</v>
      </c>
      <c r="E1732" t="s" s="9">
        <v>33</v>
      </c>
      <c r="F1732" s="10">
        <v>307</v>
      </c>
      <c r="G1732" s="10">
        <v>3901529</v>
      </c>
      <c r="H1732" s="11" cm="1">
        <f t="array" ref="H1732">F1732/G1732*100000</f>
        <v>7.86870993397717</v>
      </c>
    </row>
    <row r="1733" ht="13" customHeight="1">
      <c r="A1733" s="8">
        <v>1</v>
      </c>
      <c r="B1733" t="s" s="9">
        <v>30</v>
      </c>
      <c r="C1733" t="s" s="9">
        <v>68</v>
      </c>
      <c r="D1733" t="s" s="9">
        <v>55</v>
      </c>
      <c r="E1733" t="s" s="9">
        <v>33</v>
      </c>
      <c r="F1733" s="10">
        <v>5033</v>
      </c>
      <c r="G1733" s="10">
        <v>5273604</v>
      </c>
      <c r="H1733" s="11" cm="1">
        <f t="array" ref="H1733">F1733/G1733*100000</f>
        <v>95.43757931008849</v>
      </c>
    </row>
    <row r="1734" ht="13" customHeight="1">
      <c r="A1734" s="8">
        <v>2</v>
      </c>
      <c r="B1734" t="s" s="9">
        <v>35</v>
      </c>
      <c r="C1734" t="s" s="9">
        <v>68</v>
      </c>
      <c r="D1734" t="s" s="9">
        <v>55</v>
      </c>
      <c r="E1734" t="s" s="9">
        <v>33</v>
      </c>
      <c r="F1734" s="10">
        <v>2130</v>
      </c>
      <c r="G1734" s="10">
        <v>5273604</v>
      </c>
      <c r="H1734" s="11" cm="1">
        <f t="array" ref="H1734">F1734/G1734*100000</f>
        <v>40.3898358693599</v>
      </c>
    </row>
    <row r="1735" ht="13" customHeight="1">
      <c r="A1735" s="8">
        <v>3</v>
      </c>
      <c r="B1735" t="s" s="9">
        <v>35</v>
      </c>
      <c r="C1735" t="s" s="9">
        <v>68</v>
      </c>
      <c r="D1735" t="s" s="9">
        <v>55</v>
      </c>
      <c r="E1735" t="s" s="9">
        <v>33</v>
      </c>
      <c r="F1735" s="10">
        <v>2304</v>
      </c>
      <c r="G1735" s="10">
        <v>5273604</v>
      </c>
      <c r="H1735" s="11" cm="1">
        <f t="array" ref="H1735">F1735/G1735*100000</f>
        <v>43.6892872502372</v>
      </c>
    </row>
    <row r="1736" ht="13" customHeight="1">
      <c r="A1736" s="8">
        <v>4</v>
      </c>
      <c r="B1736" t="s" s="9">
        <v>30</v>
      </c>
      <c r="C1736" t="s" s="9">
        <v>68</v>
      </c>
      <c r="D1736" t="s" s="9">
        <v>55</v>
      </c>
      <c r="E1736" t="s" s="9">
        <v>33</v>
      </c>
      <c r="F1736" s="10">
        <v>1933</v>
      </c>
      <c r="G1736" s="10">
        <v>5273604</v>
      </c>
      <c r="H1736" s="11" cm="1">
        <f t="array" ref="H1736">F1736/G1736*100000</f>
        <v>36.6542501105506</v>
      </c>
    </row>
    <row r="1737" ht="13" customHeight="1">
      <c r="A1737" s="8">
        <v>5</v>
      </c>
      <c r="B1737" t="s" s="9">
        <v>34</v>
      </c>
      <c r="C1737" t="s" s="9">
        <v>68</v>
      </c>
      <c r="D1737" t="s" s="9">
        <v>55</v>
      </c>
      <c r="E1737" t="s" s="9">
        <v>33</v>
      </c>
      <c r="F1737" s="10">
        <v>904</v>
      </c>
      <c r="G1737" s="10">
        <v>5273604</v>
      </c>
      <c r="H1737" s="11" cm="1">
        <f t="array" ref="H1737">F1737/G1737*100000</f>
        <v>17.1419772891556</v>
      </c>
    </row>
    <row r="1738" ht="13" customHeight="1">
      <c r="A1738" s="8">
        <v>6</v>
      </c>
      <c r="B1738" t="s" s="9">
        <v>39</v>
      </c>
      <c r="C1738" t="s" s="9">
        <v>68</v>
      </c>
      <c r="D1738" t="s" s="9">
        <v>55</v>
      </c>
      <c r="E1738" t="s" s="9">
        <v>33</v>
      </c>
      <c r="F1738" s="10">
        <v>463</v>
      </c>
      <c r="G1738" s="10">
        <v>5273604</v>
      </c>
      <c r="H1738" s="11" cm="1">
        <f t="array" ref="H1738">F1738/G1738*100000</f>
        <v>8.77957465141486</v>
      </c>
    </row>
    <row r="1739" ht="13" customHeight="1">
      <c r="A1739" s="8">
        <v>7</v>
      </c>
      <c r="B1739" t="s" s="9">
        <v>36</v>
      </c>
      <c r="C1739" t="s" s="9">
        <v>68</v>
      </c>
      <c r="D1739" t="s" s="9">
        <v>55</v>
      </c>
      <c r="E1739" t="s" s="9">
        <v>33</v>
      </c>
      <c r="F1739" s="10">
        <v>557</v>
      </c>
      <c r="G1739" s="10">
        <v>5273604</v>
      </c>
      <c r="H1739" s="11" cm="1">
        <f t="array" ref="H1739">F1739/G1739*100000</f>
        <v>10.5620368916589</v>
      </c>
    </row>
    <row r="1740" ht="13" customHeight="1">
      <c r="A1740" s="8">
        <v>8</v>
      </c>
      <c r="B1740" t="s" s="9">
        <v>36</v>
      </c>
      <c r="C1740" t="s" s="9">
        <v>68</v>
      </c>
      <c r="D1740" t="s" s="9">
        <v>55</v>
      </c>
      <c r="E1740" t="s" s="9">
        <v>33</v>
      </c>
      <c r="F1740" s="10">
        <v>562</v>
      </c>
      <c r="G1740" s="10">
        <v>5273604</v>
      </c>
      <c r="H1740" s="11" cm="1">
        <f t="array" ref="H1740">F1740/G1740*100000</f>
        <v>10.6568487129485</v>
      </c>
    </row>
    <row r="1741" ht="13" customHeight="1">
      <c r="A1741" s="8">
        <v>9</v>
      </c>
      <c r="B1741" t="s" s="9">
        <v>45</v>
      </c>
      <c r="C1741" t="s" s="9">
        <v>68</v>
      </c>
      <c r="D1741" t="s" s="9">
        <v>55</v>
      </c>
      <c r="E1741" t="s" s="9">
        <v>33</v>
      </c>
      <c r="F1741" s="10">
        <v>520</v>
      </c>
      <c r="G1741" s="10">
        <v>5273604</v>
      </c>
      <c r="H1741" s="11" cm="1">
        <f t="array" ref="H1741">F1741/G1741*100000</f>
        <v>9.860429414116039</v>
      </c>
    </row>
    <row r="1742" ht="13" customHeight="1">
      <c r="A1742" s="8">
        <v>10</v>
      </c>
      <c r="B1742" t="s" s="9">
        <v>34</v>
      </c>
      <c r="C1742" t="s" s="9">
        <v>68</v>
      </c>
      <c r="D1742" t="s" s="9">
        <v>55</v>
      </c>
      <c r="E1742" t="s" s="9">
        <v>33</v>
      </c>
      <c r="F1742" s="10">
        <v>405</v>
      </c>
      <c r="G1742" s="10">
        <v>5273604</v>
      </c>
      <c r="H1742" s="11" cm="1">
        <f t="array" ref="H1742">F1742/G1742*100000</f>
        <v>7.67975752445576</v>
      </c>
    </row>
    <row r="1743" ht="13" customHeight="1">
      <c r="A1743" s="8">
        <v>1</v>
      </c>
      <c r="B1743" t="s" s="9">
        <v>30</v>
      </c>
      <c r="C1743" t="s" s="9">
        <v>68</v>
      </c>
      <c r="D1743" t="s" s="9">
        <v>56</v>
      </c>
      <c r="E1743" t="s" s="9">
        <v>33</v>
      </c>
      <c r="F1743" s="10">
        <v>862</v>
      </c>
      <c r="G1743" s="10">
        <v>5691183</v>
      </c>
      <c r="H1743" s="11" cm="1">
        <f t="array" ref="H1743">F1743/G1743*100000</f>
        <v>15.1462358528974</v>
      </c>
    </row>
    <row r="1744" ht="13" customHeight="1">
      <c r="A1744" s="8">
        <v>2</v>
      </c>
      <c r="B1744" t="s" s="9">
        <v>34</v>
      </c>
      <c r="C1744" t="s" s="9">
        <v>68</v>
      </c>
      <c r="D1744" t="s" s="9">
        <v>56</v>
      </c>
      <c r="E1744" t="s" s="9">
        <v>33</v>
      </c>
      <c r="F1744" s="10">
        <v>549</v>
      </c>
      <c r="G1744" s="10">
        <v>5691183</v>
      </c>
      <c r="H1744" s="11" cm="1">
        <f t="array" ref="H1744">F1744/G1744*100000</f>
        <v>9.646500560604011</v>
      </c>
    </row>
    <row r="1745" ht="13" customHeight="1">
      <c r="A1745" s="8">
        <v>3</v>
      </c>
      <c r="B1745" t="s" s="9">
        <v>35</v>
      </c>
      <c r="C1745" t="s" s="9">
        <v>68</v>
      </c>
      <c r="D1745" t="s" s="9">
        <v>56</v>
      </c>
      <c r="E1745" t="s" s="9">
        <v>33</v>
      </c>
      <c r="F1745" s="10">
        <v>516</v>
      </c>
      <c r="G1745" s="10">
        <v>5691183</v>
      </c>
      <c r="H1745" s="11" cm="1">
        <f t="array" ref="H1745">F1745/G1745*100000</f>
        <v>9.066656264611421</v>
      </c>
    </row>
    <row r="1746" ht="13" customHeight="1">
      <c r="A1746" s="8">
        <v>4</v>
      </c>
      <c r="B1746" t="s" s="9">
        <v>37</v>
      </c>
      <c r="C1746" t="s" s="9">
        <v>68</v>
      </c>
      <c r="D1746" t="s" s="9">
        <v>56</v>
      </c>
      <c r="E1746" t="s" s="9">
        <v>33</v>
      </c>
      <c r="F1746" s="10">
        <v>342</v>
      </c>
      <c r="G1746" s="10">
        <v>5691183</v>
      </c>
      <c r="H1746" s="11" cm="1">
        <f t="array" ref="H1746">F1746/G1746*100000</f>
        <v>6.00929543119594</v>
      </c>
    </row>
    <row r="1747" ht="13" customHeight="1">
      <c r="A1747" s="8">
        <v>5</v>
      </c>
      <c r="B1747" t="s" s="9">
        <v>30</v>
      </c>
      <c r="C1747" t="s" s="9">
        <v>68</v>
      </c>
      <c r="D1747" t="s" s="9">
        <v>56</v>
      </c>
      <c r="E1747" t="s" s="9">
        <v>33</v>
      </c>
      <c r="F1747" s="10">
        <v>354</v>
      </c>
      <c r="G1747" s="10">
        <v>5691183</v>
      </c>
      <c r="H1747" s="11" cm="1">
        <f t="array" ref="H1747">F1747/G1747*100000</f>
        <v>6.22014790246597</v>
      </c>
    </row>
    <row r="1748" ht="13" customHeight="1">
      <c r="A1748" s="8">
        <v>6</v>
      </c>
      <c r="B1748" t="s" s="9">
        <v>30</v>
      </c>
      <c r="C1748" t="s" s="9">
        <v>68</v>
      </c>
      <c r="D1748" t="s" s="9">
        <v>56</v>
      </c>
      <c r="E1748" t="s" s="9">
        <v>33</v>
      </c>
      <c r="F1748" s="10">
        <v>317</v>
      </c>
      <c r="G1748" s="10">
        <v>5691183</v>
      </c>
      <c r="H1748" s="11" cm="1">
        <f t="array" ref="H1748">F1748/G1748*100000</f>
        <v>5.57001944938337</v>
      </c>
    </row>
    <row r="1749" ht="13" customHeight="1">
      <c r="A1749" s="8">
        <v>7</v>
      </c>
      <c r="B1749" t="s" s="9">
        <v>30</v>
      </c>
      <c r="C1749" t="s" s="9">
        <v>68</v>
      </c>
      <c r="D1749" t="s" s="9">
        <v>56</v>
      </c>
      <c r="E1749" t="s" s="9">
        <v>33</v>
      </c>
      <c r="F1749" s="10">
        <v>307</v>
      </c>
      <c r="G1749" s="10">
        <v>5691183</v>
      </c>
      <c r="H1749" s="11" cm="1">
        <f t="array" ref="H1749">F1749/G1749*100000</f>
        <v>5.39430905665834</v>
      </c>
    </row>
    <row r="1750" ht="13" customHeight="1">
      <c r="A1750" s="8">
        <v>8</v>
      </c>
      <c r="B1750" t="s" s="9">
        <v>35</v>
      </c>
      <c r="C1750" t="s" s="9">
        <v>68</v>
      </c>
      <c r="D1750" t="s" s="9">
        <v>56</v>
      </c>
      <c r="E1750" t="s" s="9">
        <v>33</v>
      </c>
      <c r="F1750" s="10">
        <v>327</v>
      </c>
      <c r="G1750" s="10">
        <v>5691183</v>
      </c>
      <c r="H1750" s="11" cm="1">
        <f t="array" ref="H1750">F1750/G1750*100000</f>
        <v>5.7457298421084</v>
      </c>
    </row>
    <row r="1751" ht="13" customHeight="1">
      <c r="A1751" s="8">
        <v>9</v>
      </c>
      <c r="B1751" t="s" s="9">
        <v>39</v>
      </c>
      <c r="C1751" t="s" s="9">
        <v>68</v>
      </c>
      <c r="D1751" t="s" s="9">
        <v>56</v>
      </c>
      <c r="E1751" t="s" s="9">
        <v>33</v>
      </c>
      <c r="F1751" s="10">
        <v>106</v>
      </c>
      <c r="G1751" s="10">
        <v>5691183</v>
      </c>
      <c r="H1751" s="11" cm="1">
        <f t="array" ref="H1751">F1751/G1751*100000</f>
        <v>1.86253016288529</v>
      </c>
    </row>
    <row r="1752" ht="13" customHeight="1">
      <c r="A1752" s="8">
        <v>10</v>
      </c>
      <c r="B1752" t="s" s="9">
        <v>30</v>
      </c>
      <c r="C1752" t="s" s="9">
        <v>68</v>
      </c>
      <c r="D1752" t="s" s="9">
        <v>56</v>
      </c>
      <c r="E1752" t="s" s="9">
        <v>33</v>
      </c>
      <c r="F1752" s="10">
        <v>175</v>
      </c>
      <c r="G1752" s="10">
        <v>5691183</v>
      </c>
      <c r="H1752" s="11" cm="1">
        <f t="array" ref="H1752">F1752/G1752*100000</f>
        <v>3.07493187268798</v>
      </c>
    </row>
    <row r="1753" ht="13" customHeight="1">
      <c r="A1753" s="8">
        <v>1</v>
      </c>
      <c r="B1753" t="s" s="9">
        <v>35</v>
      </c>
      <c r="C1753" t="s" s="9">
        <v>68</v>
      </c>
      <c r="D1753" t="s" s="9">
        <v>57</v>
      </c>
      <c r="E1753" t="s" s="9">
        <v>33</v>
      </c>
      <c r="F1753" s="10">
        <v>1657</v>
      </c>
      <c r="G1753" s="10">
        <v>5214931</v>
      </c>
      <c r="H1753" s="11" cm="1">
        <f t="array" ref="H1753">F1753/G1753*100000</f>
        <v>31.7741500318988</v>
      </c>
    </row>
    <row r="1754" ht="13" customHeight="1">
      <c r="A1754" s="8">
        <v>2</v>
      </c>
      <c r="B1754" t="s" s="9">
        <v>30</v>
      </c>
      <c r="C1754" t="s" s="9">
        <v>68</v>
      </c>
      <c r="D1754" t="s" s="9">
        <v>57</v>
      </c>
      <c r="E1754" t="s" s="9">
        <v>33</v>
      </c>
      <c r="F1754" s="10">
        <v>1717</v>
      </c>
      <c r="G1754" s="10">
        <v>5214931</v>
      </c>
      <c r="H1754" s="11" cm="1">
        <f t="array" ref="H1754">F1754/G1754*100000</f>
        <v>32.9246925798251</v>
      </c>
    </row>
    <row r="1755" ht="13" customHeight="1">
      <c r="A1755" s="8">
        <v>3</v>
      </c>
      <c r="B1755" t="s" s="9">
        <v>34</v>
      </c>
      <c r="C1755" t="s" s="9">
        <v>68</v>
      </c>
      <c r="D1755" t="s" s="9">
        <v>57</v>
      </c>
      <c r="E1755" t="s" s="9">
        <v>33</v>
      </c>
      <c r="F1755" s="10">
        <v>864</v>
      </c>
      <c r="G1755" s="10">
        <v>5214931</v>
      </c>
      <c r="H1755" s="11" cm="1">
        <f t="array" ref="H1755">F1755/G1755*100000</f>
        <v>16.5678126901391</v>
      </c>
    </row>
    <row r="1756" ht="13" customHeight="1">
      <c r="A1756" s="8">
        <v>4</v>
      </c>
      <c r="B1756" t="s" s="9">
        <v>30</v>
      </c>
      <c r="C1756" t="s" s="9">
        <v>68</v>
      </c>
      <c r="D1756" t="s" s="9">
        <v>57</v>
      </c>
      <c r="E1756" t="s" s="9">
        <v>33</v>
      </c>
      <c r="F1756" s="10">
        <v>735</v>
      </c>
      <c r="G1756" s="10">
        <v>5214931</v>
      </c>
      <c r="H1756" s="11" cm="1">
        <f t="array" ref="H1756">F1756/G1756*100000</f>
        <v>14.0941462120975</v>
      </c>
    </row>
    <row r="1757" ht="13" customHeight="1">
      <c r="A1757" s="8">
        <v>5</v>
      </c>
      <c r="B1757" t="s" s="9">
        <v>30</v>
      </c>
      <c r="C1757" t="s" s="9">
        <v>68</v>
      </c>
      <c r="D1757" t="s" s="9">
        <v>57</v>
      </c>
      <c r="E1757" t="s" s="9">
        <v>33</v>
      </c>
      <c r="F1757" s="10">
        <v>398</v>
      </c>
      <c r="G1757" s="10">
        <v>5214931</v>
      </c>
      <c r="H1757" s="11" cm="1">
        <f t="array" ref="H1757">F1757/G1757*100000</f>
        <v>7.63193223457798</v>
      </c>
    </row>
    <row r="1758" ht="13" customHeight="1">
      <c r="A1758" s="8">
        <v>6</v>
      </c>
      <c r="B1758" t="s" s="9">
        <v>30</v>
      </c>
      <c r="C1758" t="s" s="9">
        <v>68</v>
      </c>
      <c r="D1758" t="s" s="9">
        <v>57</v>
      </c>
      <c r="E1758" t="s" s="9">
        <v>33</v>
      </c>
      <c r="F1758" s="10">
        <v>450</v>
      </c>
      <c r="G1758" s="10">
        <v>5214931</v>
      </c>
      <c r="H1758" s="11" cm="1">
        <f t="array" ref="H1758">F1758/G1758*100000</f>
        <v>8.629069109447469</v>
      </c>
    </row>
    <row r="1759" ht="13" customHeight="1">
      <c r="A1759" s="8">
        <v>7</v>
      </c>
      <c r="B1759" t="s" s="9">
        <v>30</v>
      </c>
      <c r="C1759" t="s" s="9">
        <v>68</v>
      </c>
      <c r="D1759" t="s" s="9">
        <v>57</v>
      </c>
      <c r="E1759" t="s" s="9">
        <v>33</v>
      </c>
      <c r="F1759" s="10">
        <v>202</v>
      </c>
      <c r="G1759" s="10">
        <v>5214931</v>
      </c>
      <c r="H1759" s="11" cm="1">
        <f t="array" ref="H1759">F1759/G1759*100000</f>
        <v>3.87349324468531</v>
      </c>
    </row>
    <row r="1760" ht="13" customHeight="1">
      <c r="A1760" s="8">
        <v>8</v>
      </c>
      <c r="B1760" t="s" s="9">
        <v>39</v>
      </c>
      <c r="C1760" t="s" s="9">
        <v>68</v>
      </c>
      <c r="D1760" t="s" s="9">
        <v>57</v>
      </c>
      <c r="E1760" t="s" s="9">
        <v>33</v>
      </c>
      <c r="F1760" s="10">
        <v>101</v>
      </c>
      <c r="G1760" s="10">
        <v>5214931</v>
      </c>
      <c r="H1760" s="11" cm="1">
        <f t="array" ref="H1760">F1760/G1760*100000</f>
        <v>1.93674662234265</v>
      </c>
    </row>
    <row r="1761" ht="13" customHeight="1">
      <c r="A1761" s="8">
        <v>9</v>
      </c>
      <c r="B1761" t="s" s="9">
        <v>30</v>
      </c>
      <c r="C1761" t="s" s="9">
        <v>68</v>
      </c>
      <c r="D1761" t="s" s="9">
        <v>57</v>
      </c>
      <c r="E1761" t="s" s="9">
        <v>33</v>
      </c>
      <c r="F1761" s="10">
        <v>180</v>
      </c>
      <c r="G1761" s="10">
        <v>5214931</v>
      </c>
      <c r="H1761" s="11" cm="1">
        <f t="array" ref="H1761">F1761/G1761*100000</f>
        <v>3.45162764377899</v>
      </c>
    </row>
    <row r="1762" ht="13" customHeight="1">
      <c r="A1762" s="8">
        <v>10</v>
      </c>
      <c r="B1762" t="s" s="9">
        <v>36</v>
      </c>
      <c r="C1762" t="s" s="9">
        <v>68</v>
      </c>
      <c r="D1762" t="s" s="9">
        <v>57</v>
      </c>
      <c r="E1762" t="s" s="9">
        <v>33</v>
      </c>
      <c r="F1762" s="10">
        <v>165</v>
      </c>
      <c r="G1762" s="10">
        <v>5214931</v>
      </c>
      <c r="H1762" s="11" cm="1">
        <f t="array" ref="H1762">F1762/G1762*100000</f>
        <v>3.16399200679741</v>
      </c>
    </row>
    <row r="1763" ht="13" customHeight="1">
      <c r="A1763" s="8">
        <v>1</v>
      </c>
      <c r="B1763" t="s" s="9">
        <v>30</v>
      </c>
      <c r="C1763" t="s" s="9">
        <v>68</v>
      </c>
      <c r="D1763" t="s" s="9">
        <v>20</v>
      </c>
      <c r="E1763" t="s" s="9">
        <v>33</v>
      </c>
      <c r="F1763" s="10">
        <v>3148</v>
      </c>
      <c r="G1763" s="10">
        <v>2889689</v>
      </c>
      <c r="H1763" s="11" cm="1">
        <f t="array" ref="H1763">F1763/G1763*100000</f>
        <v>108.939058839896</v>
      </c>
    </row>
    <row r="1764" ht="13" customHeight="1">
      <c r="A1764" s="8">
        <v>2</v>
      </c>
      <c r="B1764" t="s" s="9">
        <v>35</v>
      </c>
      <c r="C1764" t="s" s="9">
        <v>68</v>
      </c>
      <c r="D1764" t="s" s="9">
        <v>20</v>
      </c>
      <c r="E1764" t="s" s="9">
        <v>33</v>
      </c>
      <c r="F1764" s="10">
        <v>1413</v>
      </c>
      <c r="G1764" s="10">
        <v>2889689</v>
      </c>
      <c r="H1764" s="11" cm="1">
        <f t="array" ref="H1764">F1764/G1764*100000</f>
        <v>48.8979955974501</v>
      </c>
    </row>
    <row r="1765" ht="13" customHeight="1">
      <c r="A1765" s="8">
        <v>3</v>
      </c>
      <c r="B1765" t="s" s="9">
        <v>34</v>
      </c>
      <c r="C1765" t="s" s="9">
        <v>68</v>
      </c>
      <c r="D1765" t="s" s="9">
        <v>20</v>
      </c>
      <c r="E1765" t="s" s="9">
        <v>33</v>
      </c>
      <c r="F1765" s="10">
        <v>1250</v>
      </c>
      <c r="G1765" s="10">
        <v>2889689</v>
      </c>
      <c r="H1765" s="11" cm="1">
        <f t="array" ref="H1765">F1765/G1765*100000</f>
        <v>43.2572501746728</v>
      </c>
    </row>
    <row r="1766" ht="13" customHeight="1">
      <c r="A1766" s="8">
        <v>4</v>
      </c>
      <c r="B1766" t="s" s="9">
        <v>39</v>
      </c>
      <c r="C1766" t="s" s="9">
        <v>68</v>
      </c>
      <c r="D1766" t="s" s="9">
        <v>20</v>
      </c>
      <c r="E1766" t="s" s="9">
        <v>33</v>
      </c>
      <c r="F1766" s="10">
        <v>1083</v>
      </c>
      <c r="G1766" s="10">
        <v>2889689</v>
      </c>
      <c r="H1766" s="11" cm="1">
        <f t="array" ref="H1766">F1766/G1766*100000</f>
        <v>37.4780815513365</v>
      </c>
    </row>
    <row r="1767" ht="13" customHeight="1">
      <c r="A1767" s="8">
        <v>5</v>
      </c>
      <c r="B1767" t="s" s="9">
        <v>35</v>
      </c>
      <c r="C1767" t="s" s="9">
        <v>68</v>
      </c>
      <c r="D1767" t="s" s="9">
        <v>20</v>
      </c>
      <c r="E1767" t="s" s="9">
        <v>33</v>
      </c>
      <c r="F1767" s="10">
        <v>542</v>
      </c>
      <c r="G1767" s="10">
        <v>2889689</v>
      </c>
      <c r="H1767" s="11" cm="1">
        <f t="array" ref="H1767">F1767/G1767*100000</f>
        <v>18.7563436757381</v>
      </c>
    </row>
    <row r="1768" ht="13" customHeight="1">
      <c r="A1768" s="8">
        <v>6</v>
      </c>
      <c r="B1768" t="s" s="9">
        <v>30</v>
      </c>
      <c r="C1768" t="s" s="9">
        <v>68</v>
      </c>
      <c r="D1768" t="s" s="9">
        <v>20</v>
      </c>
      <c r="E1768" t="s" s="9">
        <v>33</v>
      </c>
      <c r="F1768" s="10">
        <v>615</v>
      </c>
      <c r="G1768" s="10">
        <v>2889689</v>
      </c>
      <c r="H1768" s="11" cm="1">
        <f t="array" ref="H1768">F1768/G1768*100000</f>
        <v>21.282567085939</v>
      </c>
    </row>
    <row r="1769" ht="13" customHeight="1">
      <c r="A1769" s="8">
        <v>7</v>
      </c>
      <c r="B1769" t="s" s="9">
        <v>37</v>
      </c>
      <c r="C1769" t="s" s="9">
        <v>68</v>
      </c>
      <c r="D1769" t="s" s="9">
        <v>20</v>
      </c>
      <c r="E1769" t="s" s="9">
        <v>33</v>
      </c>
      <c r="F1769" s="10">
        <v>712</v>
      </c>
      <c r="G1769" s="10">
        <v>2889689</v>
      </c>
      <c r="H1769" s="11" cm="1">
        <f t="array" ref="H1769">F1769/G1769*100000</f>
        <v>24.6393296994936</v>
      </c>
    </row>
    <row r="1770" ht="13" customHeight="1">
      <c r="A1770" s="8">
        <v>8</v>
      </c>
      <c r="B1770" t="s" s="9">
        <v>37</v>
      </c>
      <c r="C1770" t="s" s="9">
        <v>68</v>
      </c>
      <c r="D1770" t="s" s="9">
        <v>20</v>
      </c>
      <c r="E1770" t="s" s="9">
        <v>33</v>
      </c>
      <c r="F1770" s="10">
        <v>415</v>
      </c>
      <c r="G1770" s="10">
        <v>2889689</v>
      </c>
      <c r="H1770" s="11" cm="1">
        <f t="array" ref="H1770">F1770/G1770*100000</f>
        <v>14.3614070579914</v>
      </c>
    </row>
    <row r="1771" ht="13" customHeight="1">
      <c r="A1771" s="8">
        <v>9</v>
      </c>
      <c r="B1771" t="s" s="9">
        <v>36</v>
      </c>
      <c r="C1771" t="s" s="9">
        <v>68</v>
      </c>
      <c r="D1771" t="s" s="9">
        <v>20</v>
      </c>
      <c r="E1771" t="s" s="9">
        <v>33</v>
      </c>
      <c r="F1771" s="10">
        <v>389</v>
      </c>
      <c r="G1771" s="10">
        <v>2889689</v>
      </c>
      <c r="H1771" s="11" cm="1">
        <f t="array" ref="H1771">F1771/G1771*100000</f>
        <v>13.4616562543582</v>
      </c>
    </row>
    <row r="1772" ht="13" customHeight="1">
      <c r="A1772" s="8">
        <v>10</v>
      </c>
      <c r="B1772" t="s" s="9">
        <v>30</v>
      </c>
      <c r="C1772" t="s" s="9">
        <v>68</v>
      </c>
      <c r="D1772" t="s" s="9">
        <v>20</v>
      </c>
      <c r="E1772" t="s" s="9">
        <v>33</v>
      </c>
      <c r="F1772" s="10">
        <v>279</v>
      </c>
      <c r="G1772" s="10">
        <v>2889689</v>
      </c>
      <c r="H1772" s="11" cm="1">
        <f t="array" ref="H1772">F1772/G1772*100000</f>
        <v>9.65501823898696</v>
      </c>
    </row>
    <row r="1773" ht="13" customHeight="1">
      <c r="A1773" s="8">
        <v>1</v>
      </c>
      <c r="B1773" t="s" s="9">
        <v>30</v>
      </c>
      <c r="C1773" t="s" s="9">
        <v>68</v>
      </c>
      <c r="D1773" t="s" s="9">
        <v>21</v>
      </c>
      <c r="E1773" t="s" s="9">
        <v>33</v>
      </c>
      <c r="F1773" s="10">
        <v>4355</v>
      </c>
      <c r="G1773" s="10">
        <v>4635519</v>
      </c>
      <c r="H1773" s="11" cm="1">
        <f t="array" ref="H1773">F1773/G1773*100000</f>
        <v>93.94848775293551</v>
      </c>
    </row>
    <row r="1774" ht="13" customHeight="1">
      <c r="A1774" s="8">
        <v>2</v>
      </c>
      <c r="B1774" t="s" s="9">
        <v>30</v>
      </c>
      <c r="C1774" t="s" s="9">
        <v>68</v>
      </c>
      <c r="D1774" t="s" s="9">
        <v>21</v>
      </c>
      <c r="E1774" t="s" s="9">
        <v>33</v>
      </c>
      <c r="F1774" s="10">
        <v>2382</v>
      </c>
      <c r="G1774" s="10">
        <v>4635519</v>
      </c>
      <c r="H1774" s="11" cm="1">
        <f t="array" ref="H1774">F1774/G1774*100000</f>
        <v>51.385831877725</v>
      </c>
    </row>
    <row r="1775" ht="13" customHeight="1">
      <c r="A1775" s="8">
        <v>3</v>
      </c>
      <c r="B1775" t="s" s="9">
        <v>36</v>
      </c>
      <c r="C1775" t="s" s="9">
        <v>68</v>
      </c>
      <c r="D1775" t="s" s="9">
        <v>21</v>
      </c>
      <c r="E1775" t="s" s="9">
        <v>33</v>
      </c>
      <c r="F1775" s="10">
        <v>1794</v>
      </c>
      <c r="G1775" s="10">
        <v>4635519</v>
      </c>
      <c r="H1775" s="11" cm="1">
        <f t="array" ref="H1775">F1775/G1775*100000</f>
        <v>38.701168089269</v>
      </c>
    </row>
    <row r="1776" ht="13" customHeight="1">
      <c r="A1776" s="8">
        <v>4</v>
      </c>
      <c r="B1776" t="s" s="9">
        <v>34</v>
      </c>
      <c r="C1776" t="s" s="9">
        <v>68</v>
      </c>
      <c r="D1776" t="s" s="9">
        <v>21</v>
      </c>
      <c r="E1776" t="s" s="9">
        <v>33</v>
      </c>
      <c r="F1776" s="10">
        <v>1160</v>
      </c>
      <c r="G1776" s="10">
        <v>4635519</v>
      </c>
      <c r="H1776" s="11" cm="1">
        <f t="array" ref="H1776">F1776/G1776*100000</f>
        <v>25.0241666574983</v>
      </c>
    </row>
    <row r="1777" ht="13" customHeight="1">
      <c r="A1777" s="8">
        <v>5</v>
      </c>
      <c r="B1777" t="s" s="9">
        <v>41</v>
      </c>
      <c r="C1777" t="s" s="9">
        <v>68</v>
      </c>
      <c r="D1777" t="s" s="9">
        <v>21</v>
      </c>
      <c r="E1777" t="s" s="9">
        <v>33</v>
      </c>
      <c r="F1777" s="10">
        <v>1199</v>
      </c>
      <c r="G1777" s="10">
        <v>4635519</v>
      </c>
      <c r="H1777" s="11" cm="1">
        <f t="array" ref="H1777">F1777/G1777*100000</f>
        <v>25.8654963985694</v>
      </c>
    </row>
    <row r="1778" ht="13" customHeight="1">
      <c r="A1778" s="8">
        <v>6</v>
      </c>
      <c r="B1778" t="s" s="9">
        <v>30</v>
      </c>
      <c r="C1778" t="s" s="9">
        <v>68</v>
      </c>
      <c r="D1778" t="s" s="9">
        <v>21</v>
      </c>
      <c r="E1778" t="s" s="9">
        <v>33</v>
      </c>
      <c r="F1778" s="10">
        <v>792</v>
      </c>
      <c r="G1778" s="10">
        <v>4635519</v>
      </c>
      <c r="H1778" s="11" cm="1">
        <f t="array" ref="H1778">F1778/G1778*100000</f>
        <v>17.0854655109816</v>
      </c>
    </row>
    <row r="1779" ht="13" customHeight="1">
      <c r="A1779" s="8">
        <v>7</v>
      </c>
      <c r="B1779" t="s" s="9">
        <v>36</v>
      </c>
      <c r="C1779" t="s" s="9">
        <v>68</v>
      </c>
      <c r="D1779" t="s" s="9">
        <v>21</v>
      </c>
      <c r="E1779" t="s" s="9">
        <v>33</v>
      </c>
      <c r="F1779" s="10">
        <v>774</v>
      </c>
      <c r="G1779" s="10">
        <v>4635519</v>
      </c>
      <c r="H1779" s="11" cm="1">
        <f t="array" ref="H1779">F1779/G1779*100000</f>
        <v>16.6971594766411</v>
      </c>
    </row>
    <row r="1780" ht="13" customHeight="1">
      <c r="A1780" s="8">
        <v>8</v>
      </c>
      <c r="B1780" t="s" s="9">
        <v>45</v>
      </c>
      <c r="C1780" t="s" s="9">
        <v>68</v>
      </c>
      <c r="D1780" t="s" s="9">
        <v>21</v>
      </c>
      <c r="E1780" t="s" s="9">
        <v>33</v>
      </c>
      <c r="F1780" s="10">
        <v>519</v>
      </c>
      <c r="G1780" s="10">
        <v>4635519</v>
      </c>
      <c r="H1780" s="11" cm="1">
        <f t="array" ref="H1780">F1780/G1780*100000</f>
        <v>11.1961573234842</v>
      </c>
    </row>
    <row r="1781" ht="13" customHeight="1">
      <c r="A1781" s="8">
        <v>9</v>
      </c>
      <c r="B1781" t="s" s="9">
        <v>30</v>
      </c>
      <c r="C1781" t="s" s="9">
        <v>68</v>
      </c>
      <c r="D1781" t="s" s="9">
        <v>21</v>
      </c>
      <c r="E1781" t="s" s="9">
        <v>33</v>
      </c>
      <c r="F1781" s="10">
        <v>487</v>
      </c>
      <c r="G1781" s="10">
        <v>4635519</v>
      </c>
      <c r="H1781" s="11" cm="1">
        <f t="array" ref="H1781">F1781/G1781*100000</f>
        <v>10.5058354846566</v>
      </c>
    </row>
    <row r="1782" ht="13" customHeight="1">
      <c r="A1782" s="8">
        <v>10</v>
      </c>
      <c r="B1782" t="s" s="9">
        <v>39</v>
      </c>
      <c r="C1782" t="s" s="9">
        <v>68</v>
      </c>
      <c r="D1782" t="s" s="9">
        <v>21</v>
      </c>
      <c r="E1782" t="s" s="9">
        <v>33</v>
      </c>
      <c r="F1782" s="10">
        <v>387</v>
      </c>
      <c r="G1782" s="10">
        <v>4635519</v>
      </c>
      <c r="H1782" s="11" cm="1">
        <f t="array" ref="H1782">F1782/G1782*100000</f>
        <v>8.348579738320559</v>
      </c>
    </row>
    <row r="1783" ht="13.65" customHeight="1">
      <c r="A1783" s="8">
        <v>1</v>
      </c>
      <c r="B1783" t="s" s="9">
        <v>35</v>
      </c>
      <c r="C1783" t="s" s="9">
        <v>68</v>
      </c>
      <c r="D1783" t="s" s="9">
        <v>58</v>
      </c>
      <c r="E1783" t="s" s="9">
        <v>33</v>
      </c>
      <c r="F1783" s="10">
        <v>709</v>
      </c>
      <c r="G1783" s="12"/>
      <c r="H1783" s="13"/>
    </row>
    <row r="1784" ht="13.65" customHeight="1">
      <c r="A1784" s="8">
        <v>2</v>
      </c>
      <c r="B1784" t="s" s="9">
        <v>30</v>
      </c>
      <c r="C1784" t="s" s="9">
        <v>68</v>
      </c>
      <c r="D1784" t="s" s="9">
        <v>58</v>
      </c>
      <c r="E1784" t="s" s="9">
        <v>33</v>
      </c>
      <c r="F1784" s="10">
        <v>486</v>
      </c>
      <c r="G1784" s="14"/>
      <c r="H1784" s="15"/>
    </row>
    <row r="1785" ht="13.65" customHeight="1">
      <c r="A1785" s="8">
        <v>3</v>
      </c>
      <c r="B1785" t="s" s="9">
        <v>30</v>
      </c>
      <c r="C1785" t="s" s="9">
        <v>68</v>
      </c>
      <c r="D1785" t="s" s="9">
        <v>58</v>
      </c>
      <c r="E1785" t="s" s="9">
        <v>33</v>
      </c>
      <c r="F1785" s="10">
        <v>317</v>
      </c>
      <c r="G1785" s="14"/>
      <c r="H1785" s="15"/>
    </row>
    <row r="1786" ht="13.65" customHeight="1">
      <c r="A1786" s="8">
        <v>4</v>
      </c>
      <c r="B1786" t="s" s="9">
        <v>34</v>
      </c>
      <c r="C1786" t="s" s="9">
        <v>68</v>
      </c>
      <c r="D1786" t="s" s="9">
        <v>58</v>
      </c>
      <c r="E1786" t="s" s="9">
        <v>33</v>
      </c>
      <c r="F1786" s="10">
        <v>239</v>
      </c>
      <c r="G1786" s="14"/>
      <c r="H1786" s="15"/>
    </row>
    <row r="1787" ht="13.65" customHeight="1">
      <c r="A1787" s="8">
        <v>5</v>
      </c>
      <c r="B1787" t="s" s="9">
        <v>37</v>
      </c>
      <c r="C1787" t="s" s="9">
        <v>68</v>
      </c>
      <c r="D1787" t="s" s="9">
        <v>58</v>
      </c>
      <c r="E1787" t="s" s="9">
        <v>33</v>
      </c>
      <c r="F1787" s="10">
        <v>91</v>
      </c>
      <c r="G1787" s="14"/>
      <c r="H1787" s="15"/>
    </row>
    <row r="1788" ht="13.65" customHeight="1">
      <c r="A1788" s="8">
        <v>6</v>
      </c>
      <c r="B1788" t="s" s="9">
        <v>30</v>
      </c>
      <c r="C1788" t="s" s="9">
        <v>68</v>
      </c>
      <c r="D1788" t="s" s="9">
        <v>58</v>
      </c>
      <c r="E1788" t="s" s="9">
        <v>33</v>
      </c>
      <c r="F1788" s="10">
        <v>114</v>
      </c>
      <c r="G1788" s="14"/>
      <c r="H1788" s="15"/>
    </row>
    <row r="1789" ht="13.65" customHeight="1">
      <c r="A1789" s="8">
        <v>7</v>
      </c>
      <c r="B1789" t="s" s="9">
        <v>39</v>
      </c>
      <c r="C1789" t="s" s="9">
        <v>68</v>
      </c>
      <c r="D1789" t="s" s="9">
        <v>58</v>
      </c>
      <c r="E1789" t="s" s="9">
        <v>33</v>
      </c>
      <c r="F1789" s="10">
        <v>49</v>
      </c>
      <c r="G1789" s="14"/>
      <c r="H1789" s="15"/>
    </row>
    <row r="1790" ht="13.65" customHeight="1">
      <c r="A1790" s="8">
        <v>8</v>
      </c>
      <c r="B1790" t="s" s="9">
        <v>30</v>
      </c>
      <c r="C1790" t="s" s="9">
        <v>68</v>
      </c>
      <c r="D1790" t="s" s="9">
        <v>58</v>
      </c>
      <c r="E1790" t="s" s="9">
        <v>33</v>
      </c>
      <c r="F1790" s="10">
        <v>64</v>
      </c>
      <c r="G1790" s="14"/>
      <c r="H1790" s="15"/>
    </row>
    <row r="1791" ht="13.65" customHeight="1">
      <c r="A1791" s="8">
        <v>9</v>
      </c>
      <c r="B1791" t="s" s="9">
        <v>36</v>
      </c>
      <c r="C1791" t="s" s="9">
        <v>68</v>
      </c>
      <c r="D1791" t="s" s="9">
        <v>58</v>
      </c>
      <c r="E1791" t="s" s="9">
        <v>33</v>
      </c>
      <c r="F1791" s="10">
        <v>66</v>
      </c>
      <c r="G1791" s="14"/>
      <c r="H1791" s="15"/>
    </row>
    <row r="1792" ht="13.65" customHeight="1">
      <c r="A1792" s="8">
        <v>10</v>
      </c>
      <c r="B1792" t="s" s="9">
        <v>45</v>
      </c>
      <c r="C1792" t="s" s="9">
        <v>68</v>
      </c>
      <c r="D1792" t="s" s="9">
        <v>58</v>
      </c>
      <c r="E1792" t="s" s="9">
        <v>33</v>
      </c>
      <c r="F1792" s="10">
        <v>50</v>
      </c>
      <c r="G1792" s="16"/>
      <c r="H1792" s="17"/>
    </row>
    <row r="1793" ht="13" customHeight="1">
      <c r="A1793" s="8">
        <v>1</v>
      </c>
      <c r="B1793" t="s" s="9">
        <v>34</v>
      </c>
      <c r="C1793" t="s" s="9">
        <v>69</v>
      </c>
      <c r="D1793" t="s" s="9">
        <v>32</v>
      </c>
      <c r="E1793" t="s" s="9">
        <v>33</v>
      </c>
      <c r="F1793" s="10">
        <v>12905</v>
      </c>
      <c r="G1793" s="10">
        <v>14521657</v>
      </c>
      <c r="H1793" s="11" cm="1">
        <f t="array" ref="H1793">F1793/G1793*100000</f>
        <v>88.86726907266851</v>
      </c>
    </row>
    <row r="1794" ht="13" customHeight="1">
      <c r="A1794" s="8">
        <v>2</v>
      </c>
      <c r="B1794" t="s" s="9">
        <v>30</v>
      </c>
      <c r="C1794" t="s" s="9">
        <v>69</v>
      </c>
      <c r="D1794" t="s" s="9">
        <v>32</v>
      </c>
      <c r="E1794" t="s" s="9">
        <v>33</v>
      </c>
      <c r="F1794" s="10">
        <v>12153</v>
      </c>
      <c r="G1794" s="10">
        <v>14521657</v>
      </c>
      <c r="H1794" s="11" cm="1">
        <f t="array" ref="H1794">F1794/G1794*100000</f>
        <v>83.6887966710686</v>
      </c>
    </row>
    <row r="1795" ht="13" customHeight="1">
      <c r="A1795" s="8">
        <v>3</v>
      </c>
      <c r="B1795" t="s" s="9">
        <v>37</v>
      </c>
      <c r="C1795" t="s" s="9">
        <v>69</v>
      </c>
      <c r="D1795" t="s" s="9">
        <v>32</v>
      </c>
      <c r="E1795" t="s" s="9">
        <v>33</v>
      </c>
      <c r="F1795" s="10">
        <v>5998</v>
      </c>
      <c r="G1795" s="10">
        <v>14521657</v>
      </c>
      <c r="H1795" s="11" cm="1">
        <f t="array" ref="H1795">F1795/G1795*100000</f>
        <v>41.3038264159524</v>
      </c>
    </row>
    <row r="1796" ht="13" customHeight="1">
      <c r="A1796" s="8">
        <v>4</v>
      </c>
      <c r="B1796" t="s" s="9">
        <v>35</v>
      </c>
      <c r="C1796" t="s" s="9">
        <v>69</v>
      </c>
      <c r="D1796" t="s" s="9">
        <v>32</v>
      </c>
      <c r="E1796" t="s" s="9">
        <v>33</v>
      </c>
      <c r="F1796" s="10">
        <v>4325</v>
      </c>
      <c r="G1796" s="10">
        <v>14521657</v>
      </c>
      <c r="H1796" s="11" cm="1">
        <f t="array" ref="H1796">F1796/G1796*100000</f>
        <v>29.7831025756909</v>
      </c>
    </row>
    <row r="1797" ht="13" customHeight="1">
      <c r="A1797" s="8">
        <v>5</v>
      </c>
      <c r="B1797" t="s" s="9">
        <v>37</v>
      </c>
      <c r="C1797" t="s" s="9">
        <v>69</v>
      </c>
      <c r="D1797" t="s" s="9">
        <v>32</v>
      </c>
      <c r="E1797" t="s" s="9">
        <v>33</v>
      </c>
      <c r="F1797" s="10">
        <v>2738</v>
      </c>
      <c r="G1797" s="10">
        <v>14521657</v>
      </c>
      <c r="H1797" s="11" cm="1">
        <f t="array" ref="H1797">F1797/G1797*100000</f>
        <v>18.8545976536975</v>
      </c>
    </row>
    <row r="1798" ht="13" customHeight="1">
      <c r="A1798" s="8">
        <v>6</v>
      </c>
      <c r="B1798" t="s" s="9">
        <v>39</v>
      </c>
      <c r="C1798" t="s" s="9">
        <v>69</v>
      </c>
      <c r="D1798" t="s" s="9">
        <v>32</v>
      </c>
      <c r="E1798" t="s" s="9">
        <v>33</v>
      </c>
      <c r="F1798" s="10">
        <v>1720</v>
      </c>
      <c r="G1798" s="10">
        <v>14521657</v>
      </c>
      <c r="H1798" s="11" cm="1">
        <f t="array" ref="H1798">F1798/G1798*100000</f>
        <v>11.8443783653615</v>
      </c>
    </row>
    <row r="1799" ht="13" customHeight="1">
      <c r="A1799" s="8">
        <v>7</v>
      </c>
      <c r="B1799" t="s" s="9">
        <v>30</v>
      </c>
      <c r="C1799" t="s" s="9">
        <v>69</v>
      </c>
      <c r="D1799" t="s" s="9">
        <v>32</v>
      </c>
      <c r="E1799" t="s" s="9">
        <v>33</v>
      </c>
      <c r="F1799" s="10">
        <v>1862</v>
      </c>
      <c r="G1799" s="10">
        <v>14521657</v>
      </c>
      <c r="H1799" s="11" cm="1">
        <f t="array" ref="H1799">F1799/G1799*100000</f>
        <v>12.8222282071529</v>
      </c>
    </row>
    <row r="1800" ht="13" customHeight="1">
      <c r="A1800" s="8">
        <v>8</v>
      </c>
      <c r="B1800" t="s" s="9">
        <v>30</v>
      </c>
      <c r="C1800" t="s" s="9">
        <v>69</v>
      </c>
      <c r="D1800" t="s" s="9">
        <v>32</v>
      </c>
      <c r="E1800" t="s" s="9">
        <v>33</v>
      </c>
      <c r="F1800" s="10">
        <v>1924</v>
      </c>
      <c r="G1800" s="10">
        <v>14521657</v>
      </c>
      <c r="H1800" s="11" cm="1">
        <f t="array" ref="H1800">F1800/G1800*100000</f>
        <v>13.2491767296253</v>
      </c>
    </row>
    <row r="1801" ht="13" customHeight="1">
      <c r="A1801" s="8">
        <v>9</v>
      </c>
      <c r="B1801" t="s" s="9">
        <v>30</v>
      </c>
      <c r="C1801" t="s" s="9">
        <v>69</v>
      </c>
      <c r="D1801" t="s" s="9">
        <v>32</v>
      </c>
      <c r="E1801" t="s" s="9">
        <v>33</v>
      </c>
      <c r="F1801" s="10">
        <v>1802</v>
      </c>
      <c r="G1801" s="10">
        <v>14521657</v>
      </c>
      <c r="H1801" s="11" cm="1">
        <f t="array" ref="H1801">F1801/G1801*100000</f>
        <v>12.4090522176636</v>
      </c>
    </row>
    <row r="1802" ht="13" customHeight="1">
      <c r="A1802" s="8">
        <v>10</v>
      </c>
      <c r="B1802" t="s" s="9">
        <v>36</v>
      </c>
      <c r="C1802" t="s" s="9">
        <v>69</v>
      </c>
      <c r="D1802" t="s" s="9">
        <v>32</v>
      </c>
      <c r="E1802" t="s" s="9">
        <v>33</v>
      </c>
      <c r="F1802" s="10">
        <v>1333</v>
      </c>
      <c r="G1802" s="10">
        <v>14521657</v>
      </c>
      <c r="H1802" s="11" cm="1">
        <f t="array" ref="H1802">F1802/G1802*100000</f>
        <v>9.179393233155141</v>
      </c>
    </row>
    <row r="1803" ht="13" customHeight="1">
      <c r="A1803" s="8">
        <v>1</v>
      </c>
      <c r="B1803" t="s" s="9">
        <v>30</v>
      </c>
      <c r="C1803" t="s" s="9">
        <v>69</v>
      </c>
      <c r="D1803" t="s" s="9">
        <v>38</v>
      </c>
      <c r="E1803" t="s" s="9">
        <v>33</v>
      </c>
      <c r="F1803" s="10">
        <v>7599</v>
      </c>
      <c r="G1803" s="10">
        <v>1874281</v>
      </c>
      <c r="H1803" s="11" cm="1">
        <f t="array" ref="H1803">F1803/G1803*100000</f>
        <v>405.435470988608</v>
      </c>
    </row>
    <row r="1804" ht="13" customHeight="1">
      <c r="A1804" s="8">
        <v>2</v>
      </c>
      <c r="B1804" t="s" s="9">
        <v>34</v>
      </c>
      <c r="C1804" t="s" s="9">
        <v>69</v>
      </c>
      <c r="D1804" t="s" s="9">
        <v>38</v>
      </c>
      <c r="E1804" t="s" s="9">
        <v>33</v>
      </c>
      <c r="F1804" s="10">
        <v>2541</v>
      </c>
      <c r="G1804" s="10">
        <v>1874281</v>
      </c>
      <c r="H1804" s="11" cm="1">
        <f t="array" ref="H1804">F1804/G1804*100000</f>
        <v>135.571987338078</v>
      </c>
    </row>
    <row r="1805" ht="13" customHeight="1">
      <c r="A1805" s="8">
        <v>3</v>
      </c>
      <c r="B1805" t="s" s="9">
        <v>30</v>
      </c>
      <c r="C1805" t="s" s="9">
        <v>69</v>
      </c>
      <c r="D1805" t="s" s="9">
        <v>38</v>
      </c>
      <c r="E1805" t="s" s="9">
        <v>33</v>
      </c>
      <c r="F1805" s="10">
        <v>968</v>
      </c>
      <c r="G1805" s="10">
        <v>1874281</v>
      </c>
      <c r="H1805" s="11" cm="1">
        <f t="array" ref="H1805">F1805/G1805*100000</f>
        <v>51.6464713668868</v>
      </c>
    </row>
    <row r="1806" ht="13" customHeight="1">
      <c r="A1806" s="8">
        <v>4</v>
      </c>
      <c r="B1806" t="s" s="9">
        <v>37</v>
      </c>
      <c r="C1806" t="s" s="9">
        <v>69</v>
      </c>
      <c r="D1806" t="s" s="9">
        <v>38</v>
      </c>
      <c r="E1806" t="s" s="9">
        <v>33</v>
      </c>
      <c r="F1806" s="10">
        <v>701</v>
      </c>
      <c r="G1806" s="10">
        <v>1874281</v>
      </c>
      <c r="H1806" s="11" cm="1">
        <f t="array" ref="H1806">F1806/G1806*100000</f>
        <v>37.4010087068054</v>
      </c>
    </row>
    <row r="1807" ht="13" customHeight="1">
      <c r="A1807" s="8">
        <v>5</v>
      </c>
      <c r="B1807" t="s" s="9">
        <v>37</v>
      </c>
      <c r="C1807" t="s" s="9">
        <v>69</v>
      </c>
      <c r="D1807" t="s" s="9">
        <v>38</v>
      </c>
      <c r="E1807" t="s" s="9">
        <v>33</v>
      </c>
      <c r="F1807" s="10">
        <v>518</v>
      </c>
      <c r="G1807" s="10">
        <v>1874281</v>
      </c>
      <c r="H1807" s="11" cm="1">
        <f t="array" ref="H1807">F1807/G1807*100000</f>
        <v>27.6372646364126</v>
      </c>
    </row>
    <row r="1808" ht="13" customHeight="1">
      <c r="A1808" s="8">
        <v>6</v>
      </c>
      <c r="B1808" t="s" s="9">
        <v>41</v>
      </c>
      <c r="C1808" t="s" s="9">
        <v>69</v>
      </c>
      <c r="D1808" t="s" s="9">
        <v>38</v>
      </c>
      <c r="E1808" t="s" s="9">
        <v>33</v>
      </c>
      <c r="F1808" s="10">
        <v>538</v>
      </c>
      <c r="G1808" s="10">
        <v>1874281</v>
      </c>
      <c r="H1808" s="11" cm="1">
        <f t="array" ref="H1808">F1808/G1808*100000</f>
        <v>28.7043404911003</v>
      </c>
    </row>
    <row r="1809" ht="13" customHeight="1">
      <c r="A1809" s="8">
        <v>7</v>
      </c>
      <c r="B1809" t="s" s="9">
        <v>30</v>
      </c>
      <c r="C1809" t="s" s="9">
        <v>69</v>
      </c>
      <c r="D1809" t="s" s="9">
        <v>38</v>
      </c>
      <c r="E1809" t="s" s="9">
        <v>33</v>
      </c>
      <c r="F1809" s="10">
        <v>590</v>
      </c>
      <c r="G1809" s="10">
        <v>1874281</v>
      </c>
      <c r="H1809" s="11" cm="1">
        <f t="array" ref="H1809">F1809/G1809*100000</f>
        <v>31.4787377132885</v>
      </c>
    </row>
    <row r="1810" ht="13" customHeight="1">
      <c r="A1810" s="8">
        <v>8</v>
      </c>
      <c r="B1810" t="s" s="9">
        <v>35</v>
      </c>
      <c r="C1810" t="s" s="9">
        <v>69</v>
      </c>
      <c r="D1810" t="s" s="9">
        <v>38</v>
      </c>
      <c r="E1810" t="s" s="9">
        <v>33</v>
      </c>
      <c r="F1810" s="10">
        <v>849</v>
      </c>
      <c r="G1810" s="10">
        <v>1874281</v>
      </c>
      <c r="H1810" s="11" cm="1">
        <f t="array" ref="H1810">F1810/G1810*100000</f>
        <v>45.2973700314947</v>
      </c>
    </row>
    <row r="1811" ht="13" customHeight="1">
      <c r="A1811" s="8">
        <v>9</v>
      </c>
      <c r="B1811" t="s" s="9">
        <v>39</v>
      </c>
      <c r="C1811" t="s" s="9">
        <v>69</v>
      </c>
      <c r="D1811" t="s" s="9">
        <v>38</v>
      </c>
      <c r="E1811" t="s" s="9">
        <v>33</v>
      </c>
      <c r="F1811" s="10">
        <v>378</v>
      </c>
      <c r="G1811" s="10">
        <v>1874281</v>
      </c>
      <c r="H1811" s="11" cm="1">
        <f t="array" ref="H1811">F1811/G1811*100000</f>
        <v>20.1677336535984</v>
      </c>
    </row>
    <row r="1812" ht="13" customHeight="1">
      <c r="A1812" s="8">
        <v>10</v>
      </c>
      <c r="B1812" t="s" s="9">
        <v>41</v>
      </c>
      <c r="C1812" t="s" s="9">
        <v>69</v>
      </c>
      <c r="D1812" t="s" s="9">
        <v>38</v>
      </c>
      <c r="E1812" t="s" s="9">
        <v>33</v>
      </c>
      <c r="F1812" s="10">
        <v>434</v>
      </c>
      <c r="G1812" s="10">
        <v>1874281</v>
      </c>
      <c r="H1812" s="11" cm="1">
        <f t="array" ref="H1812">F1812/G1812*100000</f>
        <v>23.1555460467241</v>
      </c>
    </row>
    <row r="1813" ht="13" customHeight="1">
      <c r="A1813" s="8">
        <v>1</v>
      </c>
      <c r="B1813" t="s" s="9">
        <v>30</v>
      </c>
      <c r="C1813" t="s" s="9">
        <v>69</v>
      </c>
      <c r="D1813" t="s" s="9">
        <v>42</v>
      </c>
      <c r="E1813" t="s" s="9">
        <v>33</v>
      </c>
      <c r="F1813" s="10">
        <v>7242</v>
      </c>
      <c r="G1813" s="10">
        <v>5458063</v>
      </c>
      <c r="H1813" s="11" cm="1">
        <f t="array" ref="H1813">F1813/G1813*100000</f>
        <v>132.684434019908</v>
      </c>
    </row>
    <row r="1814" ht="13" customHeight="1">
      <c r="A1814" s="8">
        <v>2</v>
      </c>
      <c r="B1814" t="s" s="9">
        <v>34</v>
      </c>
      <c r="C1814" t="s" s="9">
        <v>69</v>
      </c>
      <c r="D1814" t="s" s="9">
        <v>42</v>
      </c>
      <c r="E1814" t="s" s="9">
        <v>33</v>
      </c>
      <c r="F1814" s="10">
        <v>4424</v>
      </c>
      <c r="G1814" s="10">
        <v>5458063</v>
      </c>
      <c r="H1814" s="11" cm="1">
        <f t="array" ref="H1814">F1814/G1814*100000</f>
        <v>81.05439603756859</v>
      </c>
    </row>
    <row r="1815" ht="13" customHeight="1">
      <c r="A1815" s="8">
        <v>3</v>
      </c>
      <c r="B1815" t="s" s="9">
        <v>35</v>
      </c>
      <c r="C1815" t="s" s="9">
        <v>69</v>
      </c>
      <c r="D1815" t="s" s="9">
        <v>42</v>
      </c>
      <c r="E1815" t="s" s="9">
        <v>33</v>
      </c>
      <c r="F1815" s="10">
        <v>2663</v>
      </c>
      <c r="G1815" s="10">
        <v>5458063</v>
      </c>
      <c r="H1815" s="11" cm="1">
        <f t="array" ref="H1815">F1815/G1815*100000</f>
        <v>48.7902026781296</v>
      </c>
    </row>
    <row r="1816" ht="13" customHeight="1">
      <c r="A1816" s="8">
        <v>4</v>
      </c>
      <c r="B1816" t="s" s="9">
        <v>37</v>
      </c>
      <c r="C1816" t="s" s="9">
        <v>69</v>
      </c>
      <c r="D1816" t="s" s="9">
        <v>42</v>
      </c>
      <c r="E1816" t="s" s="9">
        <v>33</v>
      </c>
      <c r="F1816" s="10">
        <v>1165</v>
      </c>
      <c r="G1816" s="10">
        <v>5458063</v>
      </c>
      <c r="H1816" s="11" cm="1">
        <f t="array" ref="H1816">F1816/G1816*100000</f>
        <v>21.344568576801</v>
      </c>
    </row>
    <row r="1817" ht="13" customHeight="1">
      <c r="A1817" s="8">
        <v>5</v>
      </c>
      <c r="B1817" t="s" s="9">
        <v>30</v>
      </c>
      <c r="C1817" t="s" s="9">
        <v>69</v>
      </c>
      <c r="D1817" t="s" s="9">
        <v>42</v>
      </c>
      <c r="E1817" t="s" s="9">
        <v>33</v>
      </c>
      <c r="F1817" s="10">
        <v>1156</v>
      </c>
      <c r="G1817" s="10">
        <v>5458063</v>
      </c>
      <c r="H1817" s="11" cm="1">
        <f t="array" ref="H1817">F1817/G1817*100000</f>
        <v>21.1796749139759</v>
      </c>
    </row>
    <row r="1818" ht="13" customHeight="1">
      <c r="A1818" s="8">
        <v>6</v>
      </c>
      <c r="B1818" t="s" s="9">
        <v>35</v>
      </c>
      <c r="C1818" t="s" s="9">
        <v>69</v>
      </c>
      <c r="D1818" t="s" s="9">
        <v>42</v>
      </c>
      <c r="E1818" t="s" s="9">
        <v>33</v>
      </c>
      <c r="F1818" s="10">
        <v>1307</v>
      </c>
      <c r="G1818" s="10">
        <v>5458063</v>
      </c>
      <c r="H1818" s="11" cm="1">
        <f t="array" ref="H1818">F1818/G1818*100000</f>
        <v>23.9462241458188</v>
      </c>
    </row>
    <row r="1819" ht="13" customHeight="1">
      <c r="A1819" s="8">
        <v>7</v>
      </c>
      <c r="B1819" t="s" s="9">
        <v>39</v>
      </c>
      <c r="C1819" t="s" s="9">
        <v>69</v>
      </c>
      <c r="D1819" t="s" s="9">
        <v>42</v>
      </c>
      <c r="E1819" t="s" s="9">
        <v>33</v>
      </c>
      <c r="F1819" s="10">
        <v>685</v>
      </c>
      <c r="G1819" s="10">
        <v>5458063</v>
      </c>
      <c r="H1819" s="11" cm="1">
        <f t="array" ref="H1819">F1819/G1819*100000</f>
        <v>12.5502398927971</v>
      </c>
    </row>
    <row r="1820" ht="13" customHeight="1">
      <c r="A1820" s="8">
        <v>8</v>
      </c>
      <c r="B1820" t="s" s="9">
        <v>30</v>
      </c>
      <c r="C1820" t="s" s="9">
        <v>69</v>
      </c>
      <c r="D1820" t="s" s="9">
        <v>42</v>
      </c>
      <c r="E1820" t="s" s="9">
        <v>33</v>
      </c>
      <c r="F1820" s="10">
        <v>881</v>
      </c>
      <c r="G1820" s="10">
        <v>5458063</v>
      </c>
      <c r="H1820" s="11" cm="1">
        <f t="array" ref="H1820">F1820/G1820*100000</f>
        <v>16.1412574387654</v>
      </c>
    </row>
    <row r="1821" ht="13" customHeight="1">
      <c r="A1821" s="8">
        <v>9</v>
      </c>
      <c r="B1821" t="s" s="9">
        <v>41</v>
      </c>
      <c r="C1821" t="s" s="9">
        <v>69</v>
      </c>
      <c r="D1821" t="s" s="9">
        <v>42</v>
      </c>
      <c r="E1821" t="s" s="9">
        <v>33</v>
      </c>
      <c r="F1821" s="10">
        <v>761</v>
      </c>
      <c r="G1821" s="10">
        <v>5458063</v>
      </c>
      <c r="H1821" s="11" cm="1">
        <f t="array" ref="H1821">F1821/G1821*100000</f>
        <v>13.9426752677644</v>
      </c>
    </row>
    <row r="1822" ht="13" customHeight="1">
      <c r="A1822" s="8">
        <v>10</v>
      </c>
      <c r="B1822" t="s" s="9">
        <v>36</v>
      </c>
      <c r="C1822" t="s" s="9">
        <v>69</v>
      </c>
      <c r="D1822" t="s" s="9">
        <v>42</v>
      </c>
      <c r="E1822" t="s" s="9">
        <v>33</v>
      </c>
      <c r="F1822" s="10">
        <v>933</v>
      </c>
      <c r="G1822" s="10">
        <v>5458063</v>
      </c>
      <c r="H1822" s="11" cm="1">
        <f t="array" ref="H1822">F1822/G1822*100000</f>
        <v>17.0939763795324</v>
      </c>
    </row>
    <row r="1823" ht="13" customHeight="1">
      <c r="A1823" s="8">
        <v>1</v>
      </c>
      <c r="B1823" t="s" s="9">
        <v>30</v>
      </c>
      <c r="C1823" t="s" s="9">
        <v>69</v>
      </c>
      <c r="D1823" t="s" s="9">
        <v>43</v>
      </c>
      <c r="E1823" t="s" s="9">
        <v>33</v>
      </c>
      <c r="F1823" s="10">
        <v>2514</v>
      </c>
      <c r="G1823" s="10">
        <v>3817144</v>
      </c>
      <c r="H1823" s="11" cm="1">
        <f t="array" ref="H1823">F1823/G1823*100000</f>
        <v>65.8607587243237</v>
      </c>
    </row>
    <row r="1824" ht="13" customHeight="1">
      <c r="A1824" s="8">
        <v>2</v>
      </c>
      <c r="B1824" t="s" s="9">
        <v>34</v>
      </c>
      <c r="C1824" t="s" s="9">
        <v>69</v>
      </c>
      <c r="D1824" t="s" s="9">
        <v>43</v>
      </c>
      <c r="E1824" t="s" s="9">
        <v>33</v>
      </c>
      <c r="F1824" s="10">
        <v>1112</v>
      </c>
      <c r="G1824" s="10">
        <v>3817144</v>
      </c>
      <c r="H1824" s="11" cm="1">
        <f t="array" ref="H1824">F1824/G1824*100000</f>
        <v>29.1317278048719</v>
      </c>
    </row>
    <row r="1825" ht="13" customHeight="1">
      <c r="A1825" s="8">
        <v>3</v>
      </c>
      <c r="B1825" t="s" s="9">
        <v>30</v>
      </c>
      <c r="C1825" t="s" s="9">
        <v>69</v>
      </c>
      <c r="D1825" t="s" s="9">
        <v>43</v>
      </c>
      <c r="E1825" t="s" s="9">
        <v>33</v>
      </c>
      <c r="F1825" s="10">
        <v>616</v>
      </c>
      <c r="G1825" s="10">
        <v>3817144</v>
      </c>
      <c r="H1825" s="11" cm="1">
        <f t="array" ref="H1825">F1825/G1825*100000</f>
        <v>16.1377197192456</v>
      </c>
    </row>
    <row r="1826" ht="13" customHeight="1">
      <c r="A1826" s="8">
        <v>4</v>
      </c>
      <c r="B1826" t="s" s="9">
        <v>30</v>
      </c>
      <c r="C1826" t="s" s="9">
        <v>69</v>
      </c>
      <c r="D1826" t="s" s="9">
        <v>43</v>
      </c>
      <c r="E1826" t="s" s="9">
        <v>33</v>
      </c>
      <c r="F1826" s="10">
        <v>504</v>
      </c>
      <c r="G1826" s="10">
        <v>3817144</v>
      </c>
      <c r="H1826" s="11" cm="1">
        <f t="array" ref="H1826">F1826/G1826*100000</f>
        <v>13.2035888612009</v>
      </c>
    </row>
    <row r="1827" ht="13" customHeight="1">
      <c r="A1827" s="8">
        <v>5</v>
      </c>
      <c r="B1827" t="s" s="9">
        <v>36</v>
      </c>
      <c r="C1827" t="s" s="9">
        <v>69</v>
      </c>
      <c r="D1827" t="s" s="9">
        <v>43</v>
      </c>
      <c r="E1827" t="s" s="9">
        <v>33</v>
      </c>
      <c r="F1827" s="10">
        <v>299</v>
      </c>
      <c r="G1827" s="10">
        <v>3817144</v>
      </c>
      <c r="H1827" s="11" cm="1">
        <f t="array" ref="H1827">F1827/G1827*100000</f>
        <v>7.83308148710135</v>
      </c>
    </row>
    <row r="1828" ht="13" customHeight="1">
      <c r="A1828" s="8">
        <v>6</v>
      </c>
      <c r="B1828" t="s" s="9">
        <v>37</v>
      </c>
      <c r="C1828" t="s" s="9">
        <v>69</v>
      </c>
      <c r="D1828" t="s" s="9">
        <v>43</v>
      </c>
      <c r="E1828" t="s" s="9">
        <v>33</v>
      </c>
      <c r="F1828" s="10">
        <v>233</v>
      </c>
      <c r="G1828" s="10">
        <v>3817144</v>
      </c>
      <c r="H1828" s="11" cm="1">
        <f t="array" ref="H1828">F1828/G1828*100000</f>
        <v>6.10404008861075</v>
      </c>
    </row>
    <row r="1829" ht="13" customHeight="1">
      <c r="A1829" s="8">
        <v>7</v>
      </c>
      <c r="B1829" t="s" s="9">
        <v>30</v>
      </c>
      <c r="C1829" t="s" s="9">
        <v>69</v>
      </c>
      <c r="D1829" t="s" s="9">
        <v>43</v>
      </c>
      <c r="E1829" t="s" s="9">
        <v>33</v>
      </c>
      <c r="F1829" s="10">
        <v>243</v>
      </c>
      <c r="G1829" s="10">
        <v>3817144</v>
      </c>
      <c r="H1829" s="11" cm="1">
        <f t="array" ref="H1829">F1829/G1829*100000</f>
        <v>6.36601605807902</v>
      </c>
    </row>
    <row r="1830" ht="13" customHeight="1">
      <c r="A1830" s="8">
        <v>8</v>
      </c>
      <c r="B1830" t="s" s="9">
        <v>35</v>
      </c>
      <c r="C1830" t="s" s="9">
        <v>69</v>
      </c>
      <c r="D1830" t="s" s="9">
        <v>43</v>
      </c>
      <c r="E1830" t="s" s="9">
        <v>33</v>
      </c>
      <c r="F1830" s="10">
        <v>351</v>
      </c>
      <c r="G1830" s="10">
        <v>3817144</v>
      </c>
      <c r="H1830" s="11" cm="1">
        <f t="array" ref="H1830">F1830/G1830*100000</f>
        <v>9.195356528336371</v>
      </c>
    </row>
    <row r="1831" ht="13" customHeight="1">
      <c r="A1831" s="8">
        <v>9</v>
      </c>
      <c r="B1831" t="s" s="9">
        <v>37</v>
      </c>
      <c r="C1831" t="s" s="9">
        <v>69</v>
      </c>
      <c r="D1831" t="s" s="9">
        <v>43</v>
      </c>
      <c r="E1831" t="s" s="9">
        <v>33</v>
      </c>
      <c r="F1831" s="10">
        <v>215</v>
      </c>
      <c r="G1831" s="10">
        <v>3817144</v>
      </c>
      <c r="H1831" s="11" cm="1">
        <f t="array" ref="H1831">F1831/G1831*100000</f>
        <v>5.63248334356786</v>
      </c>
    </row>
    <row r="1832" ht="13" customHeight="1">
      <c r="A1832" s="8">
        <v>10</v>
      </c>
      <c r="B1832" t="s" s="9">
        <v>39</v>
      </c>
      <c r="C1832" t="s" s="9">
        <v>69</v>
      </c>
      <c r="D1832" t="s" s="9">
        <v>43</v>
      </c>
      <c r="E1832" t="s" s="9">
        <v>33</v>
      </c>
      <c r="F1832" s="10">
        <v>180</v>
      </c>
      <c r="G1832" s="10">
        <v>3817144</v>
      </c>
      <c r="H1832" s="11" cm="1">
        <f t="array" ref="H1832">F1832/G1832*100000</f>
        <v>4.71556745042891</v>
      </c>
    </row>
    <row r="1833" ht="13" customHeight="1">
      <c r="A1833" s="8">
        <v>1</v>
      </c>
      <c r="B1833" t="s" s="9">
        <v>30</v>
      </c>
      <c r="C1833" t="s" s="9">
        <v>69</v>
      </c>
      <c r="D1833" t="s" s="9">
        <v>44</v>
      </c>
      <c r="E1833" t="s" s="9">
        <v>33</v>
      </c>
      <c r="F1833" s="10">
        <v>16514</v>
      </c>
      <c r="G1833" s="10">
        <v>13239670</v>
      </c>
      <c r="H1833" s="11" cm="1">
        <f t="array" ref="H1833">F1833/G1833*100000</f>
        <v>124.731205536090</v>
      </c>
    </row>
    <row r="1834" ht="13" customHeight="1">
      <c r="A1834" s="8">
        <v>2</v>
      </c>
      <c r="B1834" t="s" s="9">
        <v>34</v>
      </c>
      <c r="C1834" t="s" s="9">
        <v>69</v>
      </c>
      <c r="D1834" t="s" s="9">
        <v>44</v>
      </c>
      <c r="E1834" t="s" s="9">
        <v>33</v>
      </c>
      <c r="F1834" s="10">
        <v>7754</v>
      </c>
      <c r="G1834" s="10">
        <v>13239670</v>
      </c>
      <c r="H1834" s="11" cm="1">
        <f t="array" ref="H1834">F1834/G1834*100000</f>
        <v>58.5664144196948</v>
      </c>
    </row>
    <row r="1835" ht="13" customHeight="1">
      <c r="A1835" s="8">
        <v>3</v>
      </c>
      <c r="B1835" t="s" s="9">
        <v>35</v>
      </c>
      <c r="C1835" t="s" s="9">
        <v>69</v>
      </c>
      <c r="D1835" t="s" s="9">
        <v>44</v>
      </c>
      <c r="E1835" t="s" s="9">
        <v>33</v>
      </c>
      <c r="F1835" s="10">
        <v>4199</v>
      </c>
      <c r="G1835" s="10">
        <v>13239670</v>
      </c>
      <c r="H1835" s="11" cm="1">
        <f t="array" ref="H1835">F1835/G1835*100000</f>
        <v>31.7152919974592</v>
      </c>
    </row>
    <row r="1836" ht="13" customHeight="1">
      <c r="A1836" s="8">
        <v>4</v>
      </c>
      <c r="B1836" t="s" s="9">
        <v>37</v>
      </c>
      <c r="C1836" t="s" s="9">
        <v>69</v>
      </c>
      <c r="D1836" t="s" s="9">
        <v>44</v>
      </c>
      <c r="E1836" t="s" s="9">
        <v>33</v>
      </c>
      <c r="F1836" s="10">
        <v>2827</v>
      </c>
      <c r="G1836" s="10">
        <v>13239670</v>
      </c>
      <c r="H1836" s="11" cm="1">
        <f t="array" ref="H1836">F1836/G1836*100000</f>
        <v>21.3524959458959</v>
      </c>
    </row>
    <row r="1837" ht="13" customHeight="1">
      <c r="A1837" s="8">
        <v>5</v>
      </c>
      <c r="B1837" t="s" s="9">
        <v>39</v>
      </c>
      <c r="C1837" t="s" s="9">
        <v>69</v>
      </c>
      <c r="D1837" t="s" s="9">
        <v>44</v>
      </c>
      <c r="E1837" t="s" s="9">
        <v>33</v>
      </c>
      <c r="F1837" s="10">
        <v>1774</v>
      </c>
      <c r="G1837" s="10">
        <v>13239670</v>
      </c>
      <c r="H1837" s="11" cm="1">
        <f t="array" ref="H1837">F1837/G1837*100000</f>
        <v>13.3991255069046</v>
      </c>
    </row>
    <row r="1838" ht="13" customHeight="1">
      <c r="A1838" s="8">
        <v>6</v>
      </c>
      <c r="B1838" t="s" s="9">
        <v>30</v>
      </c>
      <c r="C1838" t="s" s="9">
        <v>69</v>
      </c>
      <c r="D1838" t="s" s="9">
        <v>44</v>
      </c>
      <c r="E1838" t="s" s="9">
        <v>33</v>
      </c>
      <c r="F1838" s="10">
        <v>2131</v>
      </c>
      <c r="G1838" s="10">
        <v>13239670</v>
      </c>
      <c r="H1838" s="11" cm="1">
        <f t="array" ref="H1838">F1838/G1838*100000</f>
        <v>16.0955673366481</v>
      </c>
    </row>
    <row r="1839" ht="13" customHeight="1">
      <c r="A1839" s="8">
        <v>7</v>
      </c>
      <c r="B1839" t="s" s="9">
        <v>30</v>
      </c>
      <c r="C1839" t="s" s="9">
        <v>69</v>
      </c>
      <c r="D1839" t="s" s="9">
        <v>44</v>
      </c>
      <c r="E1839" t="s" s="9">
        <v>33</v>
      </c>
      <c r="F1839" s="10">
        <v>1893</v>
      </c>
      <c r="G1839" s="10">
        <v>13239670</v>
      </c>
      <c r="H1839" s="11" cm="1">
        <f t="array" ref="H1839">F1839/G1839*100000</f>
        <v>14.2979394501525</v>
      </c>
    </row>
    <row r="1840" ht="13" customHeight="1">
      <c r="A1840" s="8">
        <v>8</v>
      </c>
      <c r="B1840" t="s" s="9">
        <v>41</v>
      </c>
      <c r="C1840" t="s" s="9">
        <v>69</v>
      </c>
      <c r="D1840" t="s" s="9">
        <v>44</v>
      </c>
      <c r="E1840" t="s" s="9">
        <v>33</v>
      </c>
      <c r="F1840" s="10">
        <v>1818</v>
      </c>
      <c r="G1840" s="10">
        <v>13239670</v>
      </c>
      <c r="H1840" s="11" cm="1">
        <f t="array" ref="H1840">F1840/G1840*100000</f>
        <v>13.7314600741559</v>
      </c>
    </row>
    <row r="1841" ht="13" customHeight="1">
      <c r="A1841" s="8">
        <v>9</v>
      </c>
      <c r="B1841" t="s" s="9">
        <v>30</v>
      </c>
      <c r="C1841" t="s" s="9">
        <v>69</v>
      </c>
      <c r="D1841" t="s" s="9">
        <v>44</v>
      </c>
      <c r="E1841" t="s" s="9">
        <v>33</v>
      </c>
      <c r="F1841" s="10">
        <v>1593</v>
      </c>
      <c r="G1841" s="10">
        <v>13239670</v>
      </c>
      <c r="H1841" s="11" cm="1">
        <f t="array" ref="H1841">F1841/G1841*100000</f>
        <v>12.0320219461663</v>
      </c>
    </row>
    <row r="1842" ht="13" customHeight="1">
      <c r="A1842" s="8">
        <v>10</v>
      </c>
      <c r="B1842" t="s" s="9">
        <v>30</v>
      </c>
      <c r="C1842" t="s" s="9">
        <v>69</v>
      </c>
      <c r="D1842" t="s" s="9">
        <v>44</v>
      </c>
      <c r="E1842" t="s" s="9">
        <v>33</v>
      </c>
      <c r="F1842" s="10">
        <v>1460</v>
      </c>
      <c r="G1842" s="10">
        <v>13239670</v>
      </c>
      <c r="H1842" s="11" cm="1">
        <f t="array" ref="H1842">F1842/G1842*100000</f>
        <v>11.0274651860658</v>
      </c>
    </row>
    <row r="1843" ht="13" customHeight="1">
      <c r="A1843" s="8">
        <v>1</v>
      </c>
      <c r="B1843" t="s" s="9">
        <v>30</v>
      </c>
      <c r="C1843" t="s" s="9">
        <v>69</v>
      </c>
      <c r="D1843" t="s" s="9">
        <v>46</v>
      </c>
      <c r="E1843" t="s" s="9">
        <v>33</v>
      </c>
      <c r="F1843" s="10">
        <v>11622</v>
      </c>
      <c r="G1843" s="10">
        <v>17477569</v>
      </c>
      <c r="H1843" s="11" cm="1">
        <f t="array" ref="H1843">F1843/G1843*100000</f>
        <v>66.4966620929947</v>
      </c>
    </row>
    <row r="1844" ht="13" customHeight="1">
      <c r="A1844" s="8">
        <v>2</v>
      </c>
      <c r="B1844" t="s" s="9">
        <v>30</v>
      </c>
      <c r="C1844" t="s" s="9">
        <v>69</v>
      </c>
      <c r="D1844" t="s" s="9">
        <v>46</v>
      </c>
      <c r="E1844" t="s" s="9">
        <v>33</v>
      </c>
      <c r="F1844" s="10">
        <v>4673</v>
      </c>
      <c r="G1844" s="10">
        <v>17477569</v>
      </c>
      <c r="H1844" s="11" cm="1">
        <f t="array" ref="H1844">F1844/G1844*100000</f>
        <v>26.7371280296476</v>
      </c>
    </row>
    <row r="1845" ht="13" customHeight="1">
      <c r="A1845" s="8">
        <v>3</v>
      </c>
      <c r="B1845" t="s" s="9">
        <v>35</v>
      </c>
      <c r="C1845" t="s" s="9">
        <v>69</v>
      </c>
      <c r="D1845" t="s" s="9">
        <v>46</v>
      </c>
      <c r="E1845" t="s" s="9">
        <v>33</v>
      </c>
      <c r="F1845" s="10">
        <v>4706</v>
      </c>
      <c r="G1845" s="10">
        <v>17477569</v>
      </c>
      <c r="H1845" s="11" cm="1">
        <f t="array" ref="H1845">F1845/G1845*100000</f>
        <v>26.9259414738972</v>
      </c>
    </row>
    <row r="1846" ht="13" customHeight="1">
      <c r="A1846" s="8">
        <v>4</v>
      </c>
      <c r="B1846" t="s" s="9">
        <v>34</v>
      </c>
      <c r="C1846" t="s" s="9">
        <v>69</v>
      </c>
      <c r="D1846" t="s" s="9">
        <v>46</v>
      </c>
      <c r="E1846" t="s" s="9">
        <v>33</v>
      </c>
      <c r="F1846" s="10">
        <v>2733</v>
      </c>
      <c r="G1846" s="10">
        <v>17477569</v>
      </c>
      <c r="H1846" s="11" cm="1">
        <f t="array" ref="H1846">F1846/G1846*100000</f>
        <v>15.6371861555803</v>
      </c>
    </row>
    <row r="1847" ht="13" customHeight="1">
      <c r="A1847" s="8">
        <v>5</v>
      </c>
      <c r="B1847" t="s" s="9">
        <v>41</v>
      </c>
      <c r="C1847" t="s" s="9">
        <v>69</v>
      </c>
      <c r="D1847" t="s" s="9">
        <v>46</v>
      </c>
      <c r="E1847" t="s" s="9">
        <v>33</v>
      </c>
      <c r="F1847" s="10">
        <v>3170</v>
      </c>
      <c r="G1847" s="10">
        <v>17477569</v>
      </c>
      <c r="H1847" s="11" cm="1">
        <f t="array" ref="H1847">F1847/G1847*100000</f>
        <v>18.1375338870068</v>
      </c>
    </row>
    <row r="1848" ht="13" customHeight="1">
      <c r="A1848" s="8">
        <v>6</v>
      </c>
      <c r="B1848" t="s" s="9">
        <v>30</v>
      </c>
      <c r="C1848" t="s" s="9">
        <v>69</v>
      </c>
      <c r="D1848" t="s" s="9">
        <v>46</v>
      </c>
      <c r="E1848" t="s" s="9">
        <v>33</v>
      </c>
      <c r="F1848" s="10">
        <v>2948</v>
      </c>
      <c r="G1848" s="10">
        <v>17477569</v>
      </c>
      <c r="H1848" s="11" cm="1">
        <f t="array" ref="H1848">F1848/G1848*100000</f>
        <v>16.8673343529641</v>
      </c>
    </row>
    <row r="1849" ht="13" customHeight="1">
      <c r="A1849" s="8">
        <v>7</v>
      </c>
      <c r="B1849" t="s" s="9">
        <v>39</v>
      </c>
      <c r="C1849" t="s" s="9">
        <v>69</v>
      </c>
      <c r="D1849" t="s" s="9">
        <v>46</v>
      </c>
      <c r="E1849" t="s" s="9">
        <v>33</v>
      </c>
      <c r="F1849" s="10">
        <v>2146</v>
      </c>
      <c r="G1849" s="10">
        <v>17477569</v>
      </c>
      <c r="H1849" s="11" cm="1">
        <f t="array" ref="H1849">F1849/G1849*100000</f>
        <v>12.2785954957466</v>
      </c>
    </row>
    <row r="1850" ht="13" customHeight="1">
      <c r="A1850" s="8">
        <v>8</v>
      </c>
      <c r="B1850" t="s" s="9">
        <v>41</v>
      </c>
      <c r="C1850" t="s" s="9">
        <v>69</v>
      </c>
      <c r="D1850" t="s" s="9">
        <v>46</v>
      </c>
      <c r="E1850" t="s" s="9">
        <v>33</v>
      </c>
      <c r="F1850" s="10">
        <v>3766</v>
      </c>
      <c r="G1850" s="10">
        <v>17477569</v>
      </c>
      <c r="H1850" s="11" cm="1">
        <f t="array" ref="H1850">F1850/G1850*100000</f>
        <v>21.547619122545</v>
      </c>
    </row>
    <row r="1851" ht="13" customHeight="1">
      <c r="A1851" s="8">
        <v>9</v>
      </c>
      <c r="B1851" t="s" s="9">
        <v>37</v>
      </c>
      <c r="C1851" t="s" s="9">
        <v>69</v>
      </c>
      <c r="D1851" t="s" s="9">
        <v>46</v>
      </c>
      <c r="E1851" t="s" s="9">
        <v>33</v>
      </c>
      <c r="F1851" s="10">
        <v>945</v>
      </c>
      <c r="G1851" s="10">
        <v>17477569</v>
      </c>
      <c r="H1851" s="11" cm="1">
        <f t="array" ref="H1851">F1851/G1851*100000</f>
        <v>5.40693044896576</v>
      </c>
    </row>
    <row r="1852" ht="13" customHeight="1">
      <c r="A1852" s="8">
        <v>10</v>
      </c>
      <c r="B1852" t="s" s="9">
        <v>30</v>
      </c>
      <c r="C1852" t="s" s="9">
        <v>69</v>
      </c>
      <c r="D1852" t="s" s="9">
        <v>46</v>
      </c>
      <c r="E1852" t="s" s="9">
        <v>33</v>
      </c>
      <c r="F1852" s="10">
        <v>1237</v>
      </c>
      <c r="G1852" s="10">
        <v>17477569</v>
      </c>
      <c r="H1852" s="11" cm="1">
        <f t="array" ref="H1852">F1852/G1852*100000</f>
        <v>7.07764334959856</v>
      </c>
    </row>
    <row r="1853" ht="13" customHeight="1">
      <c r="A1853" s="8">
        <v>1</v>
      </c>
      <c r="B1853" t="s" s="9">
        <v>30</v>
      </c>
      <c r="C1853" t="s" s="9">
        <v>69</v>
      </c>
      <c r="D1853" t="s" s="9">
        <v>47</v>
      </c>
      <c r="E1853" t="s" s="9">
        <v>33</v>
      </c>
      <c r="F1853" s="10">
        <v>2670</v>
      </c>
      <c r="G1853" s="10">
        <v>3342831</v>
      </c>
      <c r="H1853" s="11" cm="1">
        <f t="array" ref="H1853">F1853/G1853*100000</f>
        <v>79.87241951507571</v>
      </c>
    </row>
    <row r="1854" ht="13" customHeight="1">
      <c r="A1854" s="8">
        <v>2</v>
      </c>
      <c r="B1854" t="s" s="9">
        <v>35</v>
      </c>
      <c r="C1854" t="s" s="9">
        <v>69</v>
      </c>
      <c r="D1854" t="s" s="9">
        <v>47</v>
      </c>
      <c r="E1854" t="s" s="9">
        <v>33</v>
      </c>
      <c r="F1854" s="10">
        <v>1181</v>
      </c>
      <c r="G1854" s="10">
        <v>3342831</v>
      </c>
      <c r="H1854" s="11" cm="1">
        <f t="array" ref="H1854">F1854/G1854*100000</f>
        <v>35.3293361225859</v>
      </c>
    </row>
    <row r="1855" ht="13" customHeight="1">
      <c r="A1855" s="8">
        <v>3</v>
      </c>
      <c r="B1855" t="s" s="9">
        <v>34</v>
      </c>
      <c r="C1855" t="s" s="9">
        <v>69</v>
      </c>
      <c r="D1855" t="s" s="9">
        <v>47</v>
      </c>
      <c r="E1855" t="s" s="9">
        <v>33</v>
      </c>
      <c r="F1855" s="10">
        <v>489</v>
      </c>
      <c r="G1855" s="10">
        <v>3342831</v>
      </c>
      <c r="H1855" s="11" cm="1">
        <f t="array" ref="H1855">F1855/G1855*100000</f>
        <v>14.6283195291655</v>
      </c>
    </row>
    <row r="1856" ht="13" customHeight="1">
      <c r="A1856" s="8">
        <v>4</v>
      </c>
      <c r="B1856" t="s" s="9">
        <v>30</v>
      </c>
      <c r="C1856" t="s" s="9">
        <v>69</v>
      </c>
      <c r="D1856" t="s" s="9">
        <v>47</v>
      </c>
      <c r="E1856" t="s" s="9">
        <v>33</v>
      </c>
      <c r="F1856" s="10">
        <v>450</v>
      </c>
      <c r="G1856" s="10">
        <v>3342831</v>
      </c>
      <c r="H1856" s="11" cm="1">
        <f t="array" ref="H1856">F1856/G1856*100000</f>
        <v>13.4616437384959</v>
      </c>
    </row>
    <row r="1857" ht="13" customHeight="1">
      <c r="A1857" s="8">
        <v>5</v>
      </c>
      <c r="B1857" t="s" s="9">
        <v>39</v>
      </c>
      <c r="C1857" t="s" s="9">
        <v>69</v>
      </c>
      <c r="D1857" t="s" s="9">
        <v>47</v>
      </c>
      <c r="E1857" t="s" s="9">
        <v>33</v>
      </c>
      <c r="F1857" s="10">
        <v>199</v>
      </c>
      <c r="G1857" s="10">
        <v>3342831</v>
      </c>
      <c r="H1857" s="11" cm="1">
        <f t="array" ref="H1857">F1857/G1857*100000</f>
        <v>5.95303800880152</v>
      </c>
    </row>
    <row r="1858" ht="13" customHeight="1">
      <c r="A1858" s="8">
        <v>6</v>
      </c>
      <c r="B1858" t="s" s="9">
        <v>35</v>
      </c>
      <c r="C1858" t="s" s="9">
        <v>69</v>
      </c>
      <c r="D1858" t="s" s="9">
        <v>47</v>
      </c>
      <c r="E1858" t="s" s="9">
        <v>33</v>
      </c>
      <c r="F1858" s="10">
        <v>402</v>
      </c>
      <c r="G1858" s="10">
        <v>3342831</v>
      </c>
      <c r="H1858" s="11" cm="1">
        <f t="array" ref="H1858">F1858/G1858*100000</f>
        <v>12.0257350730563</v>
      </c>
    </row>
    <row r="1859" ht="13" customHeight="1">
      <c r="A1859" s="8">
        <v>7</v>
      </c>
      <c r="B1859" t="s" s="9">
        <v>45</v>
      </c>
      <c r="C1859" t="s" s="9">
        <v>69</v>
      </c>
      <c r="D1859" t="s" s="9">
        <v>47</v>
      </c>
      <c r="E1859" t="s" s="9">
        <v>33</v>
      </c>
      <c r="F1859" s="10">
        <v>281</v>
      </c>
      <c r="G1859" s="10">
        <v>3342831</v>
      </c>
      <c r="H1859" s="11" cm="1">
        <f t="array" ref="H1859">F1859/G1859*100000</f>
        <v>8.40604864559411</v>
      </c>
    </row>
    <row r="1860" ht="13" customHeight="1">
      <c r="A1860" s="8">
        <v>8</v>
      </c>
      <c r="B1860" t="s" s="9">
        <v>30</v>
      </c>
      <c r="C1860" t="s" s="9">
        <v>69</v>
      </c>
      <c r="D1860" t="s" s="9">
        <v>47</v>
      </c>
      <c r="E1860" t="s" s="9">
        <v>33</v>
      </c>
      <c r="F1860" s="10">
        <v>220</v>
      </c>
      <c r="G1860" s="10">
        <v>3342831</v>
      </c>
      <c r="H1860" s="11" cm="1">
        <f t="array" ref="H1860">F1860/G1860*100000</f>
        <v>6.58124804993133</v>
      </c>
    </row>
    <row r="1861" ht="13" customHeight="1">
      <c r="A1861" s="8">
        <v>9</v>
      </c>
      <c r="B1861" t="s" s="9">
        <v>41</v>
      </c>
      <c r="C1861" t="s" s="9">
        <v>69</v>
      </c>
      <c r="D1861" t="s" s="9">
        <v>47</v>
      </c>
      <c r="E1861" t="s" s="9">
        <v>33</v>
      </c>
      <c r="F1861" s="10">
        <v>164</v>
      </c>
      <c r="G1861" s="10">
        <v>3342831</v>
      </c>
      <c r="H1861" s="11" cm="1">
        <f t="array" ref="H1861">F1861/G1861*100000</f>
        <v>4.90602127358517</v>
      </c>
    </row>
    <row r="1862" ht="13" customHeight="1">
      <c r="A1862" s="8">
        <v>10</v>
      </c>
      <c r="B1862" t="s" s="9">
        <v>30</v>
      </c>
      <c r="C1862" t="s" s="9">
        <v>69</v>
      </c>
      <c r="D1862" t="s" s="9">
        <v>47</v>
      </c>
      <c r="E1862" t="s" s="9">
        <v>33</v>
      </c>
      <c r="F1862" s="10">
        <v>193</v>
      </c>
      <c r="G1862" s="10">
        <v>3342831</v>
      </c>
      <c r="H1862" s="11" cm="1">
        <f t="array" ref="H1862">F1862/G1862*100000</f>
        <v>5.77354942562158</v>
      </c>
    </row>
    <row r="1863" ht="13" customHeight="1">
      <c r="A1863" s="8">
        <v>1</v>
      </c>
      <c r="B1863" t="s" s="9">
        <v>30</v>
      </c>
      <c r="C1863" t="s" s="9">
        <v>69</v>
      </c>
      <c r="D1863" t="s" s="9">
        <v>49</v>
      </c>
      <c r="E1863" t="s" s="9">
        <v>33</v>
      </c>
      <c r="F1863" s="10">
        <v>3525</v>
      </c>
      <c r="G1863" s="10">
        <v>6397690</v>
      </c>
      <c r="H1863" s="11" cm="1">
        <f t="array" ref="H1863">F1863/G1863*100000</f>
        <v>55.0980119386841</v>
      </c>
    </row>
    <row r="1864" ht="13" customHeight="1">
      <c r="A1864" s="8">
        <v>2</v>
      </c>
      <c r="B1864" t="s" s="9">
        <v>34</v>
      </c>
      <c r="C1864" t="s" s="9">
        <v>69</v>
      </c>
      <c r="D1864" t="s" s="9">
        <v>49</v>
      </c>
      <c r="E1864" t="s" s="9">
        <v>33</v>
      </c>
      <c r="F1864" s="10">
        <v>1047</v>
      </c>
      <c r="G1864" s="10">
        <v>6397690</v>
      </c>
      <c r="H1864" s="11" cm="1">
        <f t="array" ref="H1864">F1864/G1864*100000</f>
        <v>16.3652818439155</v>
      </c>
    </row>
    <row r="1865" ht="13" customHeight="1">
      <c r="A1865" s="8">
        <v>3</v>
      </c>
      <c r="B1865" t="s" s="9">
        <v>35</v>
      </c>
      <c r="C1865" t="s" s="9">
        <v>69</v>
      </c>
      <c r="D1865" t="s" s="9">
        <v>49</v>
      </c>
      <c r="E1865" t="s" s="9">
        <v>33</v>
      </c>
      <c r="F1865" s="10">
        <v>1234</v>
      </c>
      <c r="G1865" s="10">
        <v>6397690</v>
      </c>
      <c r="H1865" s="11" cm="1">
        <f t="array" ref="H1865">F1865/G1865*100000</f>
        <v>19.2882118389606</v>
      </c>
    </row>
    <row r="1866" ht="13" customHeight="1">
      <c r="A1866" s="8">
        <v>4</v>
      </c>
      <c r="B1866" t="s" s="9">
        <v>30</v>
      </c>
      <c r="C1866" t="s" s="9">
        <v>69</v>
      </c>
      <c r="D1866" t="s" s="9">
        <v>49</v>
      </c>
      <c r="E1866" t="s" s="9">
        <v>33</v>
      </c>
      <c r="F1866" s="10">
        <v>592</v>
      </c>
      <c r="G1866" s="10">
        <v>6397690</v>
      </c>
      <c r="H1866" s="11" cm="1">
        <f t="array" ref="H1866">F1866/G1866*100000</f>
        <v>9.25333987736199</v>
      </c>
    </row>
    <row r="1867" ht="13" customHeight="1">
      <c r="A1867" s="8">
        <v>5</v>
      </c>
      <c r="B1867" t="s" s="9">
        <v>35</v>
      </c>
      <c r="C1867" t="s" s="9">
        <v>69</v>
      </c>
      <c r="D1867" t="s" s="9">
        <v>49</v>
      </c>
      <c r="E1867" t="s" s="9">
        <v>33</v>
      </c>
      <c r="F1867" s="10">
        <v>649</v>
      </c>
      <c r="G1867" s="10">
        <v>6397690</v>
      </c>
      <c r="H1867" s="11" cm="1">
        <f t="array" ref="H1867">F1867/G1867*100000</f>
        <v>10.1442864533918</v>
      </c>
    </row>
    <row r="1868" ht="13" customHeight="1">
      <c r="A1868" s="8">
        <v>6</v>
      </c>
      <c r="B1868" t="s" s="9">
        <v>39</v>
      </c>
      <c r="C1868" t="s" s="9">
        <v>69</v>
      </c>
      <c r="D1868" t="s" s="9">
        <v>49</v>
      </c>
      <c r="E1868" t="s" s="9">
        <v>33</v>
      </c>
      <c r="F1868" s="10">
        <v>265</v>
      </c>
      <c r="G1868" s="10">
        <v>6397690</v>
      </c>
      <c r="H1868" s="11" cm="1">
        <f t="array" ref="H1868">F1868/G1868*100000</f>
        <v>4.14212004645427</v>
      </c>
    </row>
    <row r="1869" ht="13" customHeight="1">
      <c r="A1869" s="8">
        <v>7</v>
      </c>
      <c r="B1869" t="s" s="9">
        <v>41</v>
      </c>
      <c r="C1869" t="s" s="9">
        <v>69</v>
      </c>
      <c r="D1869" t="s" s="9">
        <v>49</v>
      </c>
      <c r="E1869" t="s" s="9">
        <v>33</v>
      </c>
      <c r="F1869" s="10">
        <v>361</v>
      </c>
      <c r="G1869" s="10">
        <v>6397690</v>
      </c>
      <c r="H1869" s="11" cm="1">
        <f t="array" ref="H1869">F1869/G1869*100000</f>
        <v>5.64266164818864</v>
      </c>
    </row>
    <row r="1870" ht="13" customHeight="1">
      <c r="A1870" s="8">
        <v>8</v>
      </c>
      <c r="B1870" t="s" s="9">
        <v>30</v>
      </c>
      <c r="C1870" t="s" s="9">
        <v>69</v>
      </c>
      <c r="D1870" t="s" s="9">
        <v>49</v>
      </c>
      <c r="E1870" t="s" s="9">
        <v>33</v>
      </c>
      <c r="F1870" s="10">
        <v>368</v>
      </c>
      <c r="G1870" s="10">
        <v>6397690</v>
      </c>
      <c r="H1870" s="11" cm="1">
        <f t="array" ref="H1870">F1870/G1870*100000</f>
        <v>5.75207613998177</v>
      </c>
    </row>
    <row r="1871" ht="13" customHeight="1">
      <c r="A1871" s="8">
        <v>9</v>
      </c>
      <c r="B1871" t="s" s="9">
        <v>36</v>
      </c>
      <c r="C1871" t="s" s="9">
        <v>69</v>
      </c>
      <c r="D1871" t="s" s="9">
        <v>49</v>
      </c>
      <c r="E1871" t="s" s="9">
        <v>33</v>
      </c>
      <c r="F1871" s="10">
        <v>423</v>
      </c>
      <c r="G1871" s="10">
        <v>6397690</v>
      </c>
      <c r="H1871" s="11" cm="1">
        <f t="array" ref="H1871">F1871/G1871*100000</f>
        <v>6.61176143264209</v>
      </c>
    </row>
    <row r="1872" ht="13" customHeight="1">
      <c r="A1872" s="8">
        <v>10</v>
      </c>
      <c r="B1872" t="s" s="9">
        <v>36</v>
      </c>
      <c r="C1872" t="s" s="9">
        <v>69</v>
      </c>
      <c r="D1872" t="s" s="9">
        <v>49</v>
      </c>
      <c r="E1872" t="s" s="9">
        <v>33</v>
      </c>
      <c r="F1872" s="10">
        <v>365</v>
      </c>
      <c r="G1872" s="10">
        <v>6397690</v>
      </c>
      <c r="H1872" s="11" cm="1">
        <f t="array" ref="H1872">F1872/G1872*100000</f>
        <v>5.70518421492758</v>
      </c>
    </row>
    <row r="1873" ht="13.65" customHeight="1">
      <c r="A1873" s="8">
        <v>1</v>
      </c>
      <c r="B1873" t="s" s="9">
        <v>30</v>
      </c>
      <c r="C1873" t="s" s="9">
        <v>69</v>
      </c>
      <c r="D1873" t="s" s="9">
        <v>51</v>
      </c>
      <c r="E1873" t="s" s="9">
        <v>33</v>
      </c>
      <c r="F1873" s="10">
        <v>3492</v>
      </c>
      <c r="G1873" s="12"/>
      <c r="H1873" s="13"/>
    </row>
    <row r="1874" ht="13.65" customHeight="1">
      <c r="A1874" s="8">
        <v>2</v>
      </c>
      <c r="B1874" t="s" s="9">
        <v>34</v>
      </c>
      <c r="C1874" t="s" s="9">
        <v>69</v>
      </c>
      <c r="D1874" t="s" s="9">
        <v>51</v>
      </c>
      <c r="E1874" t="s" s="9">
        <v>33</v>
      </c>
      <c r="F1874" s="10">
        <v>1868</v>
      </c>
      <c r="G1874" s="14"/>
      <c r="H1874" s="15"/>
    </row>
    <row r="1875" ht="13.65" customHeight="1">
      <c r="A1875" s="8">
        <v>3</v>
      </c>
      <c r="B1875" t="s" s="9">
        <v>30</v>
      </c>
      <c r="C1875" t="s" s="9">
        <v>69</v>
      </c>
      <c r="D1875" t="s" s="9">
        <v>51</v>
      </c>
      <c r="E1875" t="s" s="9">
        <v>33</v>
      </c>
      <c r="F1875" s="10">
        <v>1391</v>
      </c>
      <c r="G1875" s="14"/>
      <c r="H1875" s="15"/>
    </row>
    <row r="1876" ht="13.65" customHeight="1">
      <c r="A1876" s="8">
        <v>4</v>
      </c>
      <c r="B1876" t="s" s="9">
        <v>35</v>
      </c>
      <c r="C1876" t="s" s="9">
        <v>69</v>
      </c>
      <c r="D1876" t="s" s="9">
        <v>51</v>
      </c>
      <c r="E1876" t="s" s="9">
        <v>33</v>
      </c>
      <c r="F1876" s="10">
        <v>963</v>
      </c>
      <c r="G1876" s="14"/>
      <c r="H1876" s="15"/>
    </row>
    <row r="1877" ht="13.65" customHeight="1">
      <c r="A1877" s="8">
        <v>5</v>
      </c>
      <c r="B1877" t="s" s="9">
        <v>35</v>
      </c>
      <c r="C1877" t="s" s="9">
        <v>69</v>
      </c>
      <c r="D1877" t="s" s="9">
        <v>51</v>
      </c>
      <c r="E1877" t="s" s="9">
        <v>33</v>
      </c>
      <c r="F1877" s="10">
        <v>675</v>
      </c>
      <c r="G1877" s="14"/>
      <c r="H1877" s="15"/>
    </row>
    <row r="1878" ht="13.65" customHeight="1">
      <c r="A1878" s="8">
        <v>6</v>
      </c>
      <c r="B1878" t="s" s="9">
        <v>30</v>
      </c>
      <c r="C1878" t="s" s="9">
        <v>69</v>
      </c>
      <c r="D1878" t="s" s="9">
        <v>51</v>
      </c>
      <c r="E1878" t="s" s="9">
        <v>33</v>
      </c>
      <c r="F1878" s="10">
        <v>452</v>
      </c>
      <c r="G1878" s="14"/>
      <c r="H1878" s="15"/>
    </row>
    <row r="1879" ht="13.65" customHeight="1">
      <c r="A1879" s="8">
        <v>7</v>
      </c>
      <c r="B1879" t="s" s="9">
        <v>39</v>
      </c>
      <c r="C1879" t="s" s="9">
        <v>69</v>
      </c>
      <c r="D1879" t="s" s="9">
        <v>51</v>
      </c>
      <c r="E1879" t="s" s="9">
        <v>33</v>
      </c>
      <c r="F1879" s="10">
        <v>284</v>
      </c>
      <c r="G1879" s="14"/>
      <c r="H1879" s="15"/>
    </row>
    <row r="1880" ht="13.65" customHeight="1">
      <c r="A1880" s="8">
        <v>8</v>
      </c>
      <c r="B1880" t="s" s="9">
        <v>41</v>
      </c>
      <c r="C1880" t="s" s="9">
        <v>69</v>
      </c>
      <c r="D1880" t="s" s="9">
        <v>51</v>
      </c>
      <c r="E1880" t="s" s="9">
        <v>33</v>
      </c>
      <c r="F1880" s="10">
        <v>336</v>
      </c>
      <c r="G1880" s="14"/>
      <c r="H1880" s="15"/>
    </row>
    <row r="1881" ht="13.65" customHeight="1">
      <c r="A1881" s="8">
        <v>9</v>
      </c>
      <c r="B1881" t="s" s="9">
        <v>37</v>
      </c>
      <c r="C1881" t="s" s="9">
        <v>69</v>
      </c>
      <c r="D1881" t="s" s="9">
        <v>51</v>
      </c>
      <c r="E1881" t="s" s="9">
        <v>33</v>
      </c>
      <c r="F1881" s="10">
        <v>335</v>
      </c>
      <c r="G1881" s="14"/>
      <c r="H1881" s="15"/>
    </row>
    <row r="1882" ht="13.65" customHeight="1">
      <c r="A1882" s="8">
        <v>10</v>
      </c>
      <c r="B1882" t="s" s="9">
        <v>30</v>
      </c>
      <c r="C1882" t="s" s="9">
        <v>69</v>
      </c>
      <c r="D1882" t="s" s="9">
        <v>51</v>
      </c>
      <c r="E1882" t="s" s="9">
        <v>33</v>
      </c>
      <c r="F1882" s="10">
        <v>565</v>
      </c>
      <c r="G1882" s="14"/>
      <c r="H1882" s="15"/>
    </row>
    <row r="1883" ht="13.65" customHeight="1">
      <c r="A1883" s="8">
        <v>1</v>
      </c>
      <c r="B1883" t="s" s="9">
        <v>35</v>
      </c>
      <c r="C1883" t="s" s="9">
        <v>69</v>
      </c>
      <c r="D1883" t="s" s="9">
        <v>52</v>
      </c>
      <c r="E1883" t="s" s="9">
        <v>33</v>
      </c>
      <c r="F1883" s="10">
        <v>7101</v>
      </c>
      <c r="G1883" s="14"/>
      <c r="H1883" s="15"/>
    </row>
    <row r="1884" ht="13.65" customHeight="1">
      <c r="A1884" s="8">
        <v>2</v>
      </c>
      <c r="B1884" t="s" s="9">
        <v>30</v>
      </c>
      <c r="C1884" t="s" s="9">
        <v>69</v>
      </c>
      <c r="D1884" t="s" s="9">
        <v>52</v>
      </c>
      <c r="E1884" t="s" s="9">
        <v>33</v>
      </c>
      <c r="F1884" s="10">
        <v>5801</v>
      </c>
      <c r="G1884" s="14"/>
      <c r="H1884" s="15"/>
    </row>
    <row r="1885" ht="13.65" customHeight="1">
      <c r="A1885" s="8">
        <v>3</v>
      </c>
      <c r="B1885" t="s" s="9">
        <v>30</v>
      </c>
      <c r="C1885" t="s" s="9">
        <v>69</v>
      </c>
      <c r="D1885" t="s" s="9">
        <v>52</v>
      </c>
      <c r="E1885" t="s" s="9">
        <v>33</v>
      </c>
      <c r="F1885" s="10">
        <v>2494</v>
      </c>
      <c r="G1885" s="14"/>
      <c r="H1885" s="15"/>
    </row>
    <row r="1886" ht="13.65" customHeight="1">
      <c r="A1886" s="8">
        <v>4</v>
      </c>
      <c r="B1886" t="s" s="9">
        <v>34</v>
      </c>
      <c r="C1886" t="s" s="9">
        <v>69</v>
      </c>
      <c r="D1886" t="s" s="9">
        <v>52</v>
      </c>
      <c r="E1886" t="s" s="9">
        <v>33</v>
      </c>
      <c r="F1886" s="10">
        <v>1394</v>
      </c>
      <c r="G1886" s="14"/>
      <c r="H1886" s="15"/>
    </row>
    <row r="1887" ht="13.65" customHeight="1">
      <c r="A1887" s="8">
        <v>5</v>
      </c>
      <c r="B1887" t="s" s="9">
        <v>39</v>
      </c>
      <c r="C1887" t="s" s="9">
        <v>69</v>
      </c>
      <c r="D1887" t="s" s="9">
        <v>52</v>
      </c>
      <c r="E1887" t="s" s="9">
        <v>33</v>
      </c>
      <c r="F1887" s="10">
        <v>706</v>
      </c>
      <c r="G1887" s="14"/>
      <c r="H1887" s="15"/>
    </row>
    <row r="1888" ht="13.65" customHeight="1">
      <c r="A1888" s="8">
        <v>6</v>
      </c>
      <c r="B1888" t="s" s="9">
        <v>30</v>
      </c>
      <c r="C1888" t="s" s="9">
        <v>69</v>
      </c>
      <c r="D1888" t="s" s="9">
        <v>52</v>
      </c>
      <c r="E1888" t="s" s="9">
        <v>33</v>
      </c>
      <c r="F1888" s="10">
        <v>710</v>
      </c>
      <c r="G1888" s="14"/>
      <c r="H1888" s="15"/>
    </row>
    <row r="1889" ht="13.65" customHeight="1">
      <c r="A1889" s="8">
        <v>7</v>
      </c>
      <c r="B1889" t="s" s="9">
        <v>35</v>
      </c>
      <c r="C1889" t="s" s="9">
        <v>69</v>
      </c>
      <c r="D1889" t="s" s="9">
        <v>52</v>
      </c>
      <c r="E1889" t="s" s="9">
        <v>33</v>
      </c>
      <c r="F1889" s="10">
        <v>1059</v>
      </c>
      <c r="G1889" s="14"/>
      <c r="H1889" s="15"/>
    </row>
    <row r="1890" ht="13.65" customHeight="1">
      <c r="A1890" s="8">
        <v>8</v>
      </c>
      <c r="B1890" t="s" s="9">
        <v>45</v>
      </c>
      <c r="C1890" t="s" s="9">
        <v>69</v>
      </c>
      <c r="D1890" t="s" s="9">
        <v>52</v>
      </c>
      <c r="E1890" t="s" s="9">
        <v>33</v>
      </c>
      <c r="F1890" s="10">
        <v>678</v>
      </c>
      <c r="G1890" s="14"/>
      <c r="H1890" s="15"/>
    </row>
    <row r="1891" ht="13.65" customHeight="1">
      <c r="A1891" s="8">
        <v>9</v>
      </c>
      <c r="B1891" t="s" s="9">
        <v>36</v>
      </c>
      <c r="C1891" t="s" s="9">
        <v>69</v>
      </c>
      <c r="D1891" t="s" s="9">
        <v>52</v>
      </c>
      <c r="E1891" t="s" s="9">
        <v>33</v>
      </c>
      <c r="F1891" s="10">
        <v>617</v>
      </c>
      <c r="G1891" s="14"/>
      <c r="H1891" s="15"/>
    </row>
    <row r="1892" ht="13.65" customHeight="1">
      <c r="A1892" s="8">
        <v>10</v>
      </c>
      <c r="B1892" t="s" s="9">
        <v>45</v>
      </c>
      <c r="C1892" t="s" s="9">
        <v>69</v>
      </c>
      <c r="D1892" t="s" s="9">
        <v>52</v>
      </c>
      <c r="E1892" t="s" s="9">
        <v>33</v>
      </c>
      <c r="F1892" s="10">
        <v>546</v>
      </c>
      <c r="G1892" s="16"/>
      <c r="H1892" s="17"/>
    </row>
    <row r="1893" ht="13" customHeight="1">
      <c r="A1893" s="8">
        <v>1</v>
      </c>
      <c r="B1893" t="s" s="9">
        <v>30</v>
      </c>
      <c r="C1893" t="s" s="9">
        <v>69</v>
      </c>
      <c r="D1893" t="s" s="9">
        <v>53</v>
      </c>
      <c r="E1893" t="s" s="9">
        <v>33</v>
      </c>
      <c r="F1893" s="10">
        <v>5744</v>
      </c>
      <c r="G1893" s="10">
        <v>5049226</v>
      </c>
      <c r="H1893" s="11" cm="1">
        <f t="array" ref="H1893">F1893/G1893*100000</f>
        <v>113.760009950040</v>
      </c>
    </row>
    <row r="1894" ht="13" customHeight="1">
      <c r="A1894" s="8">
        <v>2</v>
      </c>
      <c r="B1894" t="s" s="9">
        <v>34</v>
      </c>
      <c r="C1894" t="s" s="9">
        <v>69</v>
      </c>
      <c r="D1894" t="s" s="9">
        <v>53</v>
      </c>
      <c r="E1894" t="s" s="9">
        <v>33</v>
      </c>
      <c r="F1894" s="10">
        <v>2148</v>
      </c>
      <c r="G1894" s="10">
        <v>5049226</v>
      </c>
      <c r="H1894" s="11" cm="1">
        <f t="array" ref="H1894">F1894/G1894*100000</f>
        <v>42.541173637306</v>
      </c>
    </row>
    <row r="1895" ht="13" customHeight="1">
      <c r="A1895" s="8">
        <v>3</v>
      </c>
      <c r="B1895" t="s" s="9">
        <v>30</v>
      </c>
      <c r="C1895" t="s" s="9">
        <v>69</v>
      </c>
      <c r="D1895" t="s" s="9">
        <v>53</v>
      </c>
      <c r="E1895" t="s" s="9">
        <v>33</v>
      </c>
      <c r="F1895" s="10">
        <v>2061</v>
      </c>
      <c r="G1895" s="10">
        <v>5049226</v>
      </c>
      <c r="H1895" s="11" cm="1">
        <f t="array" ref="H1895">F1895/G1895*100000</f>
        <v>40.8181372749011</v>
      </c>
    </row>
    <row r="1896" ht="13" customHeight="1">
      <c r="A1896" s="8">
        <v>4</v>
      </c>
      <c r="B1896" t="s" s="9">
        <v>35</v>
      </c>
      <c r="C1896" t="s" s="9">
        <v>69</v>
      </c>
      <c r="D1896" t="s" s="9">
        <v>53</v>
      </c>
      <c r="E1896" t="s" s="9">
        <v>33</v>
      </c>
      <c r="F1896" s="10">
        <v>1603</v>
      </c>
      <c r="G1896" s="10">
        <v>5049226</v>
      </c>
      <c r="H1896" s="11" cm="1">
        <f t="array" ref="H1896">F1896/G1896*100000</f>
        <v>31.7474401027009</v>
      </c>
    </row>
    <row r="1897" ht="13" customHeight="1">
      <c r="A1897" s="8">
        <v>5</v>
      </c>
      <c r="B1897" t="s" s="9">
        <v>30</v>
      </c>
      <c r="C1897" t="s" s="9">
        <v>69</v>
      </c>
      <c r="D1897" t="s" s="9">
        <v>53</v>
      </c>
      <c r="E1897" t="s" s="9">
        <v>33</v>
      </c>
      <c r="F1897" s="10">
        <v>1018</v>
      </c>
      <c r="G1897" s="10">
        <v>5049226</v>
      </c>
      <c r="H1897" s="11" cm="1">
        <f t="array" ref="H1897">F1897/G1897*100000</f>
        <v>20.1615059417027</v>
      </c>
    </row>
    <row r="1898" ht="13" customHeight="1">
      <c r="A1898" s="8">
        <v>6</v>
      </c>
      <c r="B1898" t="s" s="9">
        <v>39</v>
      </c>
      <c r="C1898" t="s" s="9">
        <v>69</v>
      </c>
      <c r="D1898" t="s" s="9">
        <v>53</v>
      </c>
      <c r="E1898" t="s" s="9">
        <v>33</v>
      </c>
      <c r="F1898" s="10">
        <v>644</v>
      </c>
      <c r="G1898" s="10">
        <v>5049226</v>
      </c>
      <c r="H1898" s="11" cm="1">
        <f t="array" ref="H1898">F1898/G1898*100000</f>
        <v>12.7544300849279</v>
      </c>
    </row>
    <row r="1899" ht="13" customHeight="1">
      <c r="A1899" s="8">
        <v>7</v>
      </c>
      <c r="B1899" t="s" s="9">
        <v>35</v>
      </c>
      <c r="C1899" t="s" s="9">
        <v>69</v>
      </c>
      <c r="D1899" t="s" s="9">
        <v>53</v>
      </c>
      <c r="E1899" t="s" s="9">
        <v>33</v>
      </c>
      <c r="F1899" s="10">
        <v>903</v>
      </c>
      <c r="G1899" s="10">
        <v>5049226</v>
      </c>
      <c r="H1899" s="11" cm="1">
        <f t="array" ref="H1899">F1899/G1899*100000</f>
        <v>17.8839291408228</v>
      </c>
    </row>
    <row r="1900" ht="13" customHeight="1">
      <c r="A1900" s="8">
        <v>8</v>
      </c>
      <c r="B1900" t="s" s="9">
        <v>36</v>
      </c>
      <c r="C1900" t="s" s="9">
        <v>69</v>
      </c>
      <c r="D1900" t="s" s="9">
        <v>53</v>
      </c>
      <c r="E1900" t="s" s="9">
        <v>33</v>
      </c>
      <c r="F1900" s="10">
        <v>658</v>
      </c>
      <c r="G1900" s="10">
        <v>5049226</v>
      </c>
      <c r="H1900" s="11" cm="1">
        <f t="array" ref="H1900">F1900/G1900*100000</f>
        <v>13.0317003041654</v>
      </c>
    </row>
    <row r="1901" ht="13" customHeight="1">
      <c r="A1901" s="8">
        <v>9</v>
      </c>
      <c r="B1901" t="s" s="9">
        <v>36</v>
      </c>
      <c r="C1901" t="s" s="9">
        <v>69</v>
      </c>
      <c r="D1901" t="s" s="9">
        <v>53</v>
      </c>
      <c r="E1901" t="s" s="9">
        <v>33</v>
      </c>
      <c r="F1901" s="10">
        <v>506</v>
      </c>
      <c r="G1901" s="10">
        <v>5049226</v>
      </c>
      <c r="H1901" s="11" cm="1">
        <f t="array" ref="H1901">F1901/G1901*100000</f>
        <v>10.0213379238719</v>
      </c>
    </row>
    <row r="1902" ht="13" customHeight="1">
      <c r="A1902" s="8">
        <v>10</v>
      </c>
      <c r="B1902" t="s" s="9">
        <v>41</v>
      </c>
      <c r="C1902" t="s" s="9">
        <v>69</v>
      </c>
      <c r="D1902" t="s" s="9">
        <v>53</v>
      </c>
      <c r="E1902" t="s" s="9">
        <v>33</v>
      </c>
      <c r="F1902" s="10">
        <v>404</v>
      </c>
      <c r="G1902" s="10">
        <v>5049226</v>
      </c>
      <c r="H1902" s="11" cm="1">
        <f t="array" ref="H1902">F1902/G1902*100000</f>
        <v>8.001226326569659</v>
      </c>
    </row>
    <row r="1903" ht="13" customHeight="1">
      <c r="A1903" s="8">
        <v>1</v>
      </c>
      <c r="B1903" t="s" s="9">
        <v>30</v>
      </c>
      <c r="C1903" t="s" s="9">
        <v>69</v>
      </c>
      <c r="D1903" t="s" s="9">
        <v>54</v>
      </c>
      <c r="E1903" t="s" s="9">
        <v>33</v>
      </c>
      <c r="F1903" s="10">
        <v>1507</v>
      </c>
      <c r="G1903" s="10">
        <v>3901529</v>
      </c>
      <c r="H1903" s="11" cm="1">
        <f t="array" ref="H1903">F1903/G1903*100000</f>
        <v>38.6258823143439</v>
      </c>
    </row>
    <row r="1904" ht="13" customHeight="1">
      <c r="A1904" s="8">
        <v>2</v>
      </c>
      <c r="B1904" t="s" s="9">
        <v>35</v>
      </c>
      <c r="C1904" t="s" s="9">
        <v>69</v>
      </c>
      <c r="D1904" t="s" s="9">
        <v>54</v>
      </c>
      <c r="E1904" t="s" s="9">
        <v>33</v>
      </c>
      <c r="F1904" s="10">
        <v>573</v>
      </c>
      <c r="G1904" s="10">
        <v>3901529</v>
      </c>
      <c r="H1904" s="11" cm="1">
        <f t="array" ref="H1904">F1904/G1904*100000</f>
        <v>14.6865498116251</v>
      </c>
    </row>
    <row r="1905" ht="13" customHeight="1">
      <c r="A1905" s="8">
        <v>3</v>
      </c>
      <c r="B1905" t="s" s="9">
        <v>34</v>
      </c>
      <c r="C1905" t="s" s="9">
        <v>69</v>
      </c>
      <c r="D1905" t="s" s="9">
        <v>54</v>
      </c>
      <c r="E1905" t="s" s="9">
        <v>33</v>
      </c>
      <c r="F1905" s="10">
        <v>382</v>
      </c>
      <c r="G1905" s="10">
        <v>3901529</v>
      </c>
      <c r="H1905" s="11" cm="1">
        <f t="array" ref="H1905">F1905/G1905*100000</f>
        <v>9.79103320775009</v>
      </c>
    </row>
    <row r="1906" ht="13" customHeight="1">
      <c r="A1906" s="8">
        <v>4</v>
      </c>
      <c r="B1906" t="s" s="9">
        <v>30</v>
      </c>
      <c r="C1906" t="s" s="9">
        <v>69</v>
      </c>
      <c r="D1906" t="s" s="9">
        <v>54</v>
      </c>
      <c r="E1906" t="s" s="9">
        <v>33</v>
      </c>
      <c r="F1906" s="10">
        <v>496</v>
      </c>
      <c r="G1906" s="10">
        <v>3901529</v>
      </c>
      <c r="H1906" s="11" cm="1">
        <f t="array" ref="H1906">F1906/G1906*100000</f>
        <v>12.7129645838849</v>
      </c>
    </row>
    <row r="1907" ht="13" customHeight="1">
      <c r="A1907" s="8">
        <v>5</v>
      </c>
      <c r="B1907" t="s" s="9">
        <v>39</v>
      </c>
      <c r="C1907" t="s" s="9">
        <v>69</v>
      </c>
      <c r="D1907" t="s" s="9">
        <v>54</v>
      </c>
      <c r="E1907" t="s" s="9">
        <v>33</v>
      </c>
      <c r="F1907" s="10">
        <v>160</v>
      </c>
      <c r="G1907" s="10">
        <v>3901529</v>
      </c>
      <c r="H1907" s="11" cm="1">
        <f t="array" ref="H1907">F1907/G1907*100000</f>
        <v>4.10095631738224</v>
      </c>
    </row>
    <row r="1908" ht="13" customHeight="1">
      <c r="A1908" s="8">
        <v>6</v>
      </c>
      <c r="B1908" t="s" s="9">
        <v>39</v>
      </c>
      <c r="C1908" t="s" s="9">
        <v>69</v>
      </c>
      <c r="D1908" t="s" s="9">
        <v>54</v>
      </c>
      <c r="E1908" t="s" s="9">
        <v>33</v>
      </c>
      <c r="F1908" s="10">
        <v>159</v>
      </c>
      <c r="G1908" s="10">
        <v>3901529</v>
      </c>
      <c r="H1908" s="11" cm="1">
        <f t="array" ref="H1908">F1908/G1908*100000</f>
        <v>4.0753253403986</v>
      </c>
    </row>
    <row r="1909" ht="13" customHeight="1">
      <c r="A1909" s="8">
        <v>7</v>
      </c>
      <c r="B1909" t="s" s="9">
        <v>35</v>
      </c>
      <c r="C1909" t="s" s="9">
        <v>69</v>
      </c>
      <c r="D1909" t="s" s="9">
        <v>54</v>
      </c>
      <c r="E1909" t="s" s="9">
        <v>33</v>
      </c>
      <c r="F1909" s="10">
        <v>255</v>
      </c>
      <c r="G1909" s="10">
        <v>3901529</v>
      </c>
      <c r="H1909" s="11" cm="1">
        <f t="array" ref="H1909">F1909/G1909*100000</f>
        <v>6.53589913082794</v>
      </c>
    </row>
    <row r="1910" ht="13" customHeight="1">
      <c r="A1910" s="8">
        <v>8</v>
      </c>
      <c r="B1910" t="s" s="9">
        <v>30</v>
      </c>
      <c r="C1910" t="s" s="9">
        <v>69</v>
      </c>
      <c r="D1910" t="s" s="9">
        <v>54</v>
      </c>
      <c r="E1910" t="s" s="9">
        <v>33</v>
      </c>
      <c r="F1910" s="10">
        <v>128</v>
      </c>
      <c r="G1910" s="10">
        <v>3901529</v>
      </c>
      <c r="H1910" s="11" cm="1">
        <f t="array" ref="H1910">F1910/G1910*100000</f>
        <v>3.28076505390579</v>
      </c>
    </row>
    <row r="1911" ht="13" customHeight="1">
      <c r="A1911" s="8">
        <v>9</v>
      </c>
      <c r="B1911" t="s" s="9">
        <v>45</v>
      </c>
      <c r="C1911" t="s" s="9">
        <v>69</v>
      </c>
      <c r="D1911" t="s" s="9">
        <v>54</v>
      </c>
      <c r="E1911" t="s" s="9">
        <v>33</v>
      </c>
      <c r="F1911" s="10">
        <v>134</v>
      </c>
      <c r="G1911" s="10">
        <v>3901529</v>
      </c>
      <c r="H1911" s="11" cm="1">
        <f t="array" ref="H1911">F1911/G1911*100000</f>
        <v>3.43455091580762</v>
      </c>
    </row>
    <row r="1912" ht="13" customHeight="1">
      <c r="A1912" s="8">
        <v>10</v>
      </c>
      <c r="B1912" t="s" s="9">
        <v>37</v>
      </c>
      <c r="C1912" t="s" s="9">
        <v>69</v>
      </c>
      <c r="D1912" t="s" s="9">
        <v>54</v>
      </c>
      <c r="E1912" t="s" s="9">
        <v>33</v>
      </c>
      <c r="F1912" s="10">
        <v>129</v>
      </c>
      <c r="G1912" s="10">
        <v>3901529</v>
      </c>
      <c r="H1912" s="11" cm="1">
        <f t="array" ref="H1912">F1912/G1912*100000</f>
        <v>3.30639603088943</v>
      </c>
    </row>
    <row r="1913" ht="13" customHeight="1">
      <c r="A1913" s="8">
        <v>1</v>
      </c>
      <c r="B1913" t="s" s="9">
        <v>30</v>
      </c>
      <c r="C1913" t="s" s="9">
        <v>69</v>
      </c>
      <c r="D1913" t="s" s="9">
        <v>55</v>
      </c>
      <c r="E1913" t="s" s="9">
        <v>33</v>
      </c>
      <c r="F1913" s="10">
        <v>4331</v>
      </c>
      <c r="G1913" s="10">
        <v>5273604</v>
      </c>
      <c r="H1913" s="11" cm="1">
        <f t="array" ref="H1913">F1913/G1913*100000</f>
        <v>82.12599960103191</v>
      </c>
    </row>
    <row r="1914" ht="13" customHeight="1">
      <c r="A1914" s="8">
        <v>2</v>
      </c>
      <c r="B1914" t="s" s="9">
        <v>30</v>
      </c>
      <c r="C1914" t="s" s="9">
        <v>69</v>
      </c>
      <c r="D1914" t="s" s="9">
        <v>55</v>
      </c>
      <c r="E1914" t="s" s="9">
        <v>33</v>
      </c>
      <c r="F1914" s="10">
        <v>1800</v>
      </c>
      <c r="G1914" s="10">
        <v>5273604</v>
      </c>
      <c r="H1914" s="11" cm="1">
        <f t="array" ref="H1914">F1914/G1914*100000</f>
        <v>34.1322556642478</v>
      </c>
    </row>
    <row r="1915" ht="13" customHeight="1">
      <c r="A1915" s="8">
        <v>3</v>
      </c>
      <c r="B1915" t="s" s="9">
        <v>35</v>
      </c>
      <c r="C1915" t="s" s="9">
        <v>69</v>
      </c>
      <c r="D1915" t="s" s="9">
        <v>55</v>
      </c>
      <c r="E1915" t="s" s="9">
        <v>33</v>
      </c>
      <c r="F1915" s="10">
        <v>1233</v>
      </c>
      <c r="G1915" s="10">
        <v>5273604</v>
      </c>
      <c r="H1915" s="11" cm="1">
        <f t="array" ref="H1915">F1915/G1915*100000</f>
        <v>23.3805951300098</v>
      </c>
    </row>
    <row r="1916" ht="13" customHeight="1">
      <c r="A1916" s="8">
        <v>4</v>
      </c>
      <c r="B1916" t="s" s="9">
        <v>35</v>
      </c>
      <c r="C1916" t="s" s="9">
        <v>69</v>
      </c>
      <c r="D1916" t="s" s="9">
        <v>55</v>
      </c>
      <c r="E1916" t="s" s="9">
        <v>33</v>
      </c>
      <c r="F1916" s="10">
        <v>1386</v>
      </c>
      <c r="G1916" s="10">
        <v>5273604</v>
      </c>
      <c r="H1916" s="11" cm="1">
        <f t="array" ref="H1916">F1916/G1916*100000</f>
        <v>26.2818368614708</v>
      </c>
    </row>
    <row r="1917" ht="13" customHeight="1">
      <c r="A1917" s="8">
        <v>5</v>
      </c>
      <c r="B1917" t="s" s="9">
        <v>34</v>
      </c>
      <c r="C1917" t="s" s="9">
        <v>69</v>
      </c>
      <c r="D1917" t="s" s="9">
        <v>55</v>
      </c>
      <c r="E1917" t="s" s="9">
        <v>33</v>
      </c>
      <c r="F1917" s="10">
        <v>987</v>
      </c>
      <c r="G1917" s="10">
        <v>5273604</v>
      </c>
      <c r="H1917" s="11" cm="1">
        <f t="array" ref="H1917">F1917/G1917*100000</f>
        <v>18.7158535225626</v>
      </c>
    </row>
    <row r="1918" ht="13" customHeight="1">
      <c r="A1918" s="8">
        <v>6</v>
      </c>
      <c r="B1918" t="s" s="9">
        <v>41</v>
      </c>
      <c r="C1918" t="s" s="9">
        <v>69</v>
      </c>
      <c r="D1918" t="s" s="9">
        <v>55</v>
      </c>
      <c r="E1918" t="s" s="9">
        <v>33</v>
      </c>
      <c r="F1918" s="10">
        <v>748</v>
      </c>
      <c r="G1918" s="10">
        <v>5273604</v>
      </c>
      <c r="H1918" s="11" cm="1">
        <f t="array" ref="H1918">F1918/G1918*100000</f>
        <v>14.1838484649208</v>
      </c>
    </row>
    <row r="1919" ht="13" customHeight="1">
      <c r="A1919" s="8">
        <v>7</v>
      </c>
      <c r="B1919" t="s" s="9">
        <v>35</v>
      </c>
      <c r="C1919" t="s" s="9">
        <v>69</v>
      </c>
      <c r="D1919" t="s" s="9">
        <v>55</v>
      </c>
      <c r="E1919" t="s" s="9">
        <v>33</v>
      </c>
      <c r="F1919" s="10">
        <v>780</v>
      </c>
      <c r="G1919" s="10">
        <v>5273604</v>
      </c>
      <c r="H1919" s="11" cm="1">
        <f t="array" ref="H1919">F1919/G1919*100000</f>
        <v>14.7906441211741</v>
      </c>
    </row>
    <row r="1920" ht="13" customHeight="1">
      <c r="A1920" s="8">
        <v>8</v>
      </c>
      <c r="B1920" t="s" s="9">
        <v>39</v>
      </c>
      <c r="C1920" t="s" s="9">
        <v>69</v>
      </c>
      <c r="D1920" t="s" s="9">
        <v>55</v>
      </c>
      <c r="E1920" t="s" s="9">
        <v>33</v>
      </c>
      <c r="F1920" s="10">
        <v>328</v>
      </c>
      <c r="G1920" s="10">
        <v>5273604</v>
      </c>
      <c r="H1920" s="11" cm="1">
        <f t="array" ref="H1920">F1920/G1920*100000</f>
        <v>6.21965547659627</v>
      </c>
    </row>
    <row r="1921" ht="13" customHeight="1">
      <c r="A1921" s="8">
        <v>9</v>
      </c>
      <c r="B1921" t="s" s="9">
        <v>36</v>
      </c>
      <c r="C1921" t="s" s="9">
        <v>69</v>
      </c>
      <c r="D1921" t="s" s="9">
        <v>55</v>
      </c>
      <c r="E1921" t="s" s="9">
        <v>33</v>
      </c>
      <c r="F1921" s="10">
        <v>457</v>
      </c>
      <c r="G1921" s="10">
        <v>5273604</v>
      </c>
      <c r="H1921" s="11" cm="1">
        <f t="array" ref="H1921">F1921/G1921*100000</f>
        <v>8.66580046586737</v>
      </c>
    </row>
    <row r="1922" ht="13" customHeight="1">
      <c r="A1922" s="8">
        <v>10</v>
      </c>
      <c r="B1922" t="s" s="9">
        <v>45</v>
      </c>
      <c r="C1922" t="s" s="9">
        <v>69</v>
      </c>
      <c r="D1922" t="s" s="9">
        <v>55</v>
      </c>
      <c r="E1922" t="s" s="9">
        <v>33</v>
      </c>
      <c r="F1922" s="10">
        <v>376</v>
      </c>
      <c r="G1922" s="10">
        <v>5273604</v>
      </c>
      <c r="H1922" s="11" cm="1">
        <f t="array" ref="H1922">F1922/G1922*100000</f>
        <v>7.12984896097621</v>
      </c>
    </row>
    <row r="1923" ht="13" customHeight="1">
      <c r="A1923" s="8">
        <v>1</v>
      </c>
      <c r="B1923" t="s" s="9">
        <v>30</v>
      </c>
      <c r="C1923" t="s" s="9">
        <v>69</v>
      </c>
      <c r="D1923" t="s" s="9">
        <v>56</v>
      </c>
      <c r="E1923" t="s" s="9">
        <v>33</v>
      </c>
      <c r="F1923" s="10">
        <v>1505</v>
      </c>
      <c r="G1923" s="10">
        <v>5691183</v>
      </c>
      <c r="H1923" s="11" cm="1">
        <f t="array" ref="H1923">F1923/G1923*100000</f>
        <v>26.4444141051166</v>
      </c>
    </row>
    <row r="1924" ht="13" customHeight="1">
      <c r="A1924" s="8">
        <v>2</v>
      </c>
      <c r="B1924" t="s" s="9">
        <v>35</v>
      </c>
      <c r="C1924" t="s" s="9">
        <v>69</v>
      </c>
      <c r="D1924" t="s" s="9">
        <v>56</v>
      </c>
      <c r="E1924" t="s" s="9">
        <v>33</v>
      </c>
      <c r="F1924" s="10">
        <v>1380</v>
      </c>
      <c r="G1924" s="10">
        <v>5691183</v>
      </c>
      <c r="H1924" s="11" cm="1">
        <f t="array" ref="H1924">F1924/G1924*100000</f>
        <v>24.2480341960538</v>
      </c>
    </row>
    <row r="1925" ht="13" customHeight="1">
      <c r="A1925" s="8">
        <v>3</v>
      </c>
      <c r="B1925" t="s" s="9">
        <v>34</v>
      </c>
      <c r="C1925" t="s" s="9">
        <v>69</v>
      </c>
      <c r="D1925" t="s" s="9">
        <v>56</v>
      </c>
      <c r="E1925" t="s" s="9">
        <v>33</v>
      </c>
      <c r="F1925" s="10">
        <v>774</v>
      </c>
      <c r="G1925" s="10">
        <v>5691183</v>
      </c>
      <c r="H1925" s="11" cm="1">
        <f t="array" ref="H1925">F1925/G1925*100000</f>
        <v>13.5999843969171</v>
      </c>
    </row>
    <row r="1926" ht="13" customHeight="1">
      <c r="A1926" s="8">
        <v>4</v>
      </c>
      <c r="B1926" t="s" s="9">
        <v>30</v>
      </c>
      <c r="C1926" t="s" s="9">
        <v>69</v>
      </c>
      <c r="D1926" t="s" s="9">
        <v>56</v>
      </c>
      <c r="E1926" t="s" s="9">
        <v>33</v>
      </c>
      <c r="F1926" s="10">
        <v>498</v>
      </c>
      <c r="G1926" s="10">
        <v>5691183</v>
      </c>
      <c r="H1926" s="11" cm="1">
        <f t="array" ref="H1926">F1926/G1926*100000</f>
        <v>8.75037755770637</v>
      </c>
    </row>
    <row r="1927" ht="13" customHeight="1">
      <c r="A1927" s="8">
        <v>5</v>
      </c>
      <c r="B1927" t="s" s="9">
        <v>30</v>
      </c>
      <c r="C1927" t="s" s="9">
        <v>69</v>
      </c>
      <c r="D1927" t="s" s="9">
        <v>56</v>
      </c>
      <c r="E1927" t="s" s="9">
        <v>33</v>
      </c>
      <c r="F1927" s="10">
        <v>518</v>
      </c>
      <c r="G1927" s="10">
        <v>5691183</v>
      </c>
      <c r="H1927" s="11" cm="1">
        <f t="array" ref="H1927">F1927/G1927*100000</f>
        <v>9.101798343156419</v>
      </c>
    </row>
    <row r="1928" ht="13" customHeight="1">
      <c r="A1928" s="8">
        <v>6</v>
      </c>
      <c r="B1928" t="s" s="9">
        <v>35</v>
      </c>
      <c r="C1928" t="s" s="9">
        <v>69</v>
      </c>
      <c r="D1928" t="s" s="9">
        <v>56</v>
      </c>
      <c r="E1928" t="s" s="9">
        <v>33</v>
      </c>
      <c r="F1928" s="10">
        <v>558</v>
      </c>
      <c r="G1928" s="10">
        <v>5691183</v>
      </c>
      <c r="H1928" s="11" cm="1">
        <f t="array" ref="H1928">F1928/G1928*100000</f>
        <v>9.80463991405653</v>
      </c>
    </row>
    <row r="1929" ht="13" customHeight="1">
      <c r="A1929" s="8">
        <v>7</v>
      </c>
      <c r="B1929" t="s" s="9">
        <v>37</v>
      </c>
      <c r="C1929" t="s" s="9">
        <v>69</v>
      </c>
      <c r="D1929" t="s" s="9">
        <v>56</v>
      </c>
      <c r="E1929" t="s" s="9">
        <v>33</v>
      </c>
      <c r="F1929" s="10">
        <v>291</v>
      </c>
      <c r="G1929" s="10">
        <v>5691183</v>
      </c>
      <c r="H1929" s="11" cm="1">
        <f t="array" ref="H1929">F1929/G1929*100000</f>
        <v>5.1131724282983</v>
      </c>
    </row>
    <row r="1930" ht="13" customHeight="1">
      <c r="A1930" s="8">
        <v>8</v>
      </c>
      <c r="B1930" t="s" s="9">
        <v>39</v>
      </c>
      <c r="C1930" t="s" s="9">
        <v>69</v>
      </c>
      <c r="D1930" t="s" s="9">
        <v>56</v>
      </c>
      <c r="E1930" t="s" s="9">
        <v>33</v>
      </c>
      <c r="F1930" s="10">
        <v>185</v>
      </c>
      <c r="G1930" s="10">
        <v>5691183</v>
      </c>
      <c r="H1930" s="11" cm="1">
        <f t="array" ref="H1930">F1930/G1930*100000</f>
        <v>3.25064226541301</v>
      </c>
    </row>
    <row r="1931" ht="13" customHeight="1">
      <c r="A1931" s="8">
        <v>9</v>
      </c>
      <c r="B1931" t="s" s="9">
        <v>45</v>
      </c>
      <c r="C1931" t="s" s="9">
        <v>69</v>
      </c>
      <c r="D1931" t="s" s="9">
        <v>56</v>
      </c>
      <c r="E1931" t="s" s="9">
        <v>33</v>
      </c>
      <c r="F1931" s="10">
        <v>190</v>
      </c>
      <c r="G1931" s="10">
        <v>5691183</v>
      </c>
      <c r="H1931" s="11" cm="1">
        <f t="array" ref="H1931">F1931/G1931*100000</f>
        <v>3.33849746177552</v>
      </c>
    </row>
    <row r="1932" ht="13" customHeight="1">
      <c r="A1932" s="8">
        <v>10</v>
      </c>
      <c r="B1932" t="s" s="9">
        <v>30</v>
      </c>
      <c r="C1932" t="s" s="9">
        <v>69</v>
      </c>
      <c r="D1932" t="s" s="9">
        <v>56</v>
      </c>
      <c r="E1932" t="s" s="9">
        <v>33</v>
      </c>
      <c r="F1932" s="10">
        <v>166</v>
      </c>
      <c r="G1932" s="10">
        <v>5691183</v>
      </c>
      <c r="H1932" s="11" cm="1">
        <f t="array" ref="H1932">F1932/G1932*100000</f>
        <v>2.91679251923546</v>
      </c>
    </row>
    <row r="1933" ht="13" customHeight="1">
      <c r="A1933" s="8">
        <v>1</v>
      </c>
      <c r="B1933" t="s" s="9">
        <v>35</v>
      </c>
      <c r="C1933" t="s" s="9">
        <v>69</v>
      </c>
      <c r="D1933" t="s" s="9">
        <v>57</v>
      </c>
      <c r="E1933" t="s" s="9">
        <v>33</v>
      </c>
      <c r="F1933" s="10">
        <v>1403</v>
      </c>
      <c r="G1933" s="10">
        <v>5214931</v>
      </c>
      <c r="H1933" s="11" cm="1">
        <f t="array" ref="H1933">F1933/G1933*100000</f>
        <v>26.903519912344</v>
      </c>
    </row>
    <row r="1934" ht="13" customHeight="1">
      <c r="A1934" s="8">
        <v>2</v>
      </c>
      <c r="B1934" t="s" s="9">
        <v>30</v>
      </c>
      <c r="C1934" t="s" s="9">
        <v>69</v>
      </c>
      <c r="D1934" t="s" s="9">
        <v>57</v>
      </c>
      <c r="E1934" t="s" s="9">
        <v>33</v>
      </c>
      <c r="F1934" s="10">
        <v>510</v>
      </c>
      <c r="G1934" s="10">
        <v>5214931</v>
      </c>
      <c r="H1934" s="11" cm="1">
        <f t="array" ref="H1934">F1934/G1934*100000</f>
        <v>9.779611657373801</v>
      </c>
    </row>
    <row r="1935" ht="13" customHeight="1">
      <c r="A1935" s="8">
        <v>3</v>
      </c>
      <c r="B1935" t="s" s="9">
        <v>34</v>
      </c>
      <c r="C1935" t="s" s="9">
        <v>69</v>
      </c>
      <c r="D1935" t="s" s="9">
        <v>57</v>
      </c>
      <c r="E1935" t="s" s="9">
        <v>33</v>
      </c>
      <c r="F1935" s="10">
        <v>364</v>
      </c>
      <c r="G1935" s="10">
        <v>5214931</v>
      </c>
      <c r="H1935" s="11" cm="1">
        <f t="array" ref="H1935">F1935/G1935*100000</f>
        <v>6.9799581240864</v>
      </c>
    </row>
    <row r="1936" ht="13" customHeight="1">
      <c r="A1936" s="8">
        <v>4</v>
      </c>
      <c r="B1936" t="s" s="9">
        <v>41</v>
      </c>
      <c r="C1936" t="s" s="9">
        <v>69</v>
      </c>
      <c r="D1936" t="s" s="9">
        <v>57</v>
      </c>
      <c r="E1936" t="s" s="9">
        <v>33</v>
      </c>
      <c r="F1936" s="10">
        <v>163</v>
      </c>
      <c r="G1936" s="10">
        <v>5214931</v>
      </c>
      <c r="H1936" s="11" cm="1">
        <f t="array" ref="H1936">F1936/G1936*100000</f>
        <v>3.12564058853319</v>
      </c>
    </row>
    <row r="1937" ht="13" customHeight="1">
      <c r="A1937" s="8">
        <v>5</v>
      </c>
      <c r="B1937" t="s" s="9">
        <v>45</v>
      </c>
      <c r="C1937" t="s" s="9">
        <v>69</v>
      </c>
      <c r="D1937" t="s" s="9">
        <v>57</v>
      </c>
      <c r="E1937" t="s" s="9">
        <v>33</v>
      </c>
      <c r="F1937" s="10">
        <v>118</v>
      </c>
      <c r="G1937" s="10">
        <v>5214931</v>
      </c>
      <c r="H1937" s="11" cm="1">
        <f t="array" ref="H1937">F1937/G1937*100000</f>
        <v>2.26273367758845</v>
      </c>
    </row>
    <row r="1938" ht="13" customHeight="1">
      <c r="A1938" s="8">
        <v>6</v>
      </c>
      <c r="B1938" t="s" s="9">
        <v>45</v>
      </c>
      <c r="C1938" t="s" s="9">
        <v>69</v>
      </c>
      <c r="D1938" t="s" s="9">
        <v>57</v>
      </c>
      <c r="E1938" t="s" s="9">
        <v>33</v>
      </c>
      <c r="F1938" s="10">
        <v>43</v>
      </c>
      <c r="G1938" s="10">
        <v>5214931</v>
      </c>
      <c r="H1938" s="11" cm="1">
        <f t="array" ref="H1938">F1938/G1938*100000</f>
        <v>0.824555492680536</v>
      </c>
    </row>
    <row r="1939" ht="13" customHeight="1">
      <c r="A1939" s="8">
        <v>7</v>
      </c>
      <c r="B1939" t="s" s="9">
        <v>30</v>
      </c>
      <c r="C1939" t="s" s="9">
        <v>69</v>
      </c>
      <c r="D1939" t="s" s="9">
        <v>57</v>
      </c>
      <c r="E1939" t="s" s="9">
        <v>33</v>
      </c>
      <c r="F1939" s="10">
        <v>35</v>
      </c>
      <c r="G1939" s="10">
        <v>5214931</v>
      </c>
      <c r="H1939" s="11" cm="1">
        <f t="array" ref="H1939">F1939/G1939*100000</f>
        <v>0.671149819623692</v>
      </c>
    </row>
    <row r="1940" ht="13" customHeight="1">
      <c r="A1940" s="8">
        <v>8</v>
      </c>
      <c r="B1940" t="s" s="9">
        <v>30</v>
      </c>
      <c r="C1940" t="s" s="9">
        <v>69</v>
      </c>
      <c r="D1940" t="s" s="9">
        <v>57</v>
      </c>
      <c r="E1940" t="s" s="9">
        <v>33</v>
      </c>
      <c r="F1940" s="10">
        <v>22</v>
      </c>
      <c r="G1940" s="10">
        <v>5214931</v>
      </c>
      <c r="H1940" s="11" cm="1">
        <f t="array" ref="H1940">F1940/G1940*100000</f>
        <v>0.421865600906321</v>
      </c>
    </row>
    <row r="1941" ht="13" customHeight="1">
      <c r="A1941" s="8">
        <v>9</v>
      </c>
      <c r="B1941" t="s" s="9">
        <v>30</v>
      </c>
      <c r="C1941" t="s" s="9">
        <v>69</v>
      </c>
      <c r="D1941" t="s" s="9">
        <v>57</v>
      </c>
      <c r="E1941" t="s" s="9">
        <v>33</v>
      </c>
      <c r="F1941" s="10">
        <v>20</v>
      </c>
      <c r="G1941" s="10">
        <v>5214931</v>
      </c>
      <c r="H1941" s="11" cm="1">
        <f t="array" ref="H1941">F1941/G1941*100000</f>
        <v>0.38351418264211</v>
      </c>
    </row>
    <row r="1942" ht="13" customHeight="1">
      <c r="A1942" s="8">
        <v>10</v>
      </c>
      <c r="B1942" t="s" s="9">
        <v>30</v>
      </c>
      <c r="C1942" t="s" s="9">
        <v>69</v>
      </c>
      <c r="D1942" t="s" s="9">
        <v>57</v>
      </c>
      <c r="E1942" t="s" s="9">
        <v>33</v>
      </c>
      <c r="F1942" s="10">
        <v>11</v>
      </c>
      <c r="G1942" s="10">
        <v>5214931</v>
      </c>
      <c r="H1942" s="11" cm="1">
        <f t="array" ref="H1942">F1942/G1942*100000</f>
        <v>0.21093280045316</v>
      </c>
    </row>
    <row r="1943" ht="13" customHeight="1">
      <c r="A1943" s="8">
        <v>1</v>
      </c>
      <c r="B1943" t="s" s="9">
        <v>30</v>
      </c>
      <c r="C1943" t="s" s="9">
        <v>69</v>
      </c>
      <c r="D1943" t="s" s="9">
        <v>20</v>
      </c>
      <c r="E1943" t="s" s="9">
        <v>33</v>
      </c>
      <c r="F1943" s="10">
        <v>2160</v>
      </c>
      <c r="G1943" s="10">
        <v>2889689</v>
      </c>
      <c r="H1943" s="11" cm="1">
        <f t="array" ref="H1943">F1943/G1943*100000</f>
        <v>74.7485283018346</v>
      </c>
    </row>
    <row r="1944" ht="13" customHeight="1">
      <c r="A1944" s="8">
        <v>2</v>
      </c>
      <c r="B1944" t="s" s="9">
        <v>34</v>
      </c>
      <c r="C1944" t="s" s="9">
        <v>69</v>
      </c>
      <c r="D1944" t="s" s="9">
        <v>20</v>
      </c>
      <c r="E1944" t="s" s="9">
        <v>33</v>
      </c>
      <c r="F1944" s="10">
        <v>717</v>
      </c>
      <c r="G1944" s="10">
        <v>2889689</v>
      </c>
      <c r="H1944" s="11" cm="1">
        <f t="array" ref="H1944">F1944/G1944*100000</f>
        <v>24.8123587001923</v>
      </c>
    </row>
    <row r="1945" ht="13" customHeight="1">
      <c r="A1945" s="8">
        <v>3</v>
      </c>
      <c r="B1945" t="s" s="9">
        <v>30</v>
      </c>
      <c r="C1945" t="s" s="9">
        <v>69</v>
      </c>
      <c r="D1945" t="s" s="9">
        <v>20</v>
      </c>
      <c r="E1945" t="s" s="9">
        <v>33</v>
      </c>
      <c r="F1945" s="10">
        <v>705</v>
      </c>
      <c r="G1945" s="10">
        <v>2889689</v>
      </c>
      <c r="H1945" s="11" cm="1">
        <f t="array" ref="H1945">F1945/G1945*100000</f>
        <v>24.3970890985154</v>
      </c>
    </row>
    <row r="1946" ht="13" customHeight="1">
      <c r="A1946" s="8">
        <v>4</v>
      </c>
      <c r="B1946" t="s" s="9">
        <v>39</v>
      </c>
      <c r="C1946" t="s" s="9">
        <v>69</v>
      </c>
      <c r="D1946" t="s" s="9">
        <v>20</v>
      </c>
      <c r="E1946" t="s" s="9">
        <v>33</v>
      </c>
      <c r="F1946" s="10">
        <v>386</v>
      </c>
      <c r="G1946" s="10">
        <v>2889689</v>
      </c>
      <c r="H1946" s="11" cm="1">
        <f t="array" ref="H1946">F1946/G1946*100000</f>
        <v>13.357838853939</v>
      </c>
    </row>
    <row r="1947" ht="13" customHeight="1">
      <c r="A1947" s="8">
        <v>5</v>
      </c>
      <c r="B1947" t="s" s="9">
        <v>35</v>
      </c>
      <c r="C1947" t="s" s="9">
        <v>69</v>
      </c>
      <c r="D1947" t="s" s="9">
        <v>20</v>
      </c>
      <c r="E1947" t="s" s="9">
        <v>33</v>
      </c>
      <c r="F1947" s="10">
        <v>616</v>
      </c>
      <c r="G1947" s="10">
        <v>2889689</v>
      </c>
      <c r="H1947" s="11" cm="1">
        <f t="array" ref="H1947">F1947/G1947*100000</f>
        <v>21.3171728860787</v>
      </c>
    </row>
    <row r="1948" ht="13" customHeight="1">
      <c r="A1948" s="8">
        <v>6</v>
      </c>
      <c r="B1948" t="s" s="9">
        <v>30</v>
      </c>
      <c r="C1948" t="s" s="9">
        <v>69</v>
      </c>
      <c r="D1948" t="s" s="9">
        <v>20</v>
      </c>
      <c r="E1948" t="s" s="9">
        <v>33</v>
      </c>
      <c r="F1948" s="10">
        <v>407</v>
      </c>
      <c r="G1948" s="10">
        <v>2889689</v>
      </c>
      <c r="H1948" s="11" cm="1">
        <f t="array" ref="H1948">F1948/G1948*100000</f>
        <v>14.0845606568735</v>
      </c>
    </row>
    <row r="1949" ht="13" customHeight="1">
      <c r="A1949" s="8">
        <v>7</v>
      </c>
      <c r="B1949" t="s" s="9">
        <v>35</v>
      </c>
      <c r="C1949" t="s" s="9">
        <v>69</v>
      </c>
      <c r="D1949" t="s" s="9">
        <v>20</v>
      </c>
      <c r="E1949" t="s" s="9">
        <v>33</v>
      </c>
      <c r="F1949" s="10">
        <v>350</v>
      </c>
      <c r="G1949" s="10">
        <v>2889689</v>
      </c>
      <c r="H1949" s="11" cm="1">
        <f t="array" ref="H1949">F1949/G1949*100000</f>
        <v>12.1120300489084</v>
      </c>
    </row>
    <row r="1950" ht="13" customHeight="1">
      <c r="A1950" s="8">
        <v>8</v>
      </c>
      <c r="B1950" t="s" s="9">
        <v>37</v>
      </c>
      <c r="C1950" t="s" s="9">
        <v>69</v>
      </c>
      <c r="D1950" t="s" s="9">
        <v>20</v>
      </c>
      <c r="E1950" t="s" s="9">
        <v>33</v>
      </c>
      <c r="F1950" s="10">
        <v>278</v>
      </c>
      <c r="G1950" s="10">
        <v>2889689</v>
      </c>
      <c r="H1950" s="11" cm="1">
        <f t="array" ref="H1950">F1950/G1950*100000</f>
        <v>9.620412438847231</v>
      </c>
    </row>
    <row r="1951" ht="13" customHeight="1">
      <c r="A1951" s="8">
        <v>9</v>
      </c>
      <c r="B1951" t="s" s="9">
        <v>30</v>
      </c>
      <c r="C1951" t="s" s="9">
        <v>69</v>
      </c>
      <c r="D1951" t="s" s="9">
        <v>20</v>
      </c>
      <c r="E1951" t="s" s="9">
        <v>33</v>
      </c>
      <c r="F1951" s="10">
        <v>255</v>
      </c>
      <c r="G1951" s="10">
        <v>2889689</v>
      </c>
      <c r="H1951" s="11" cm="1">
        <f t="array" ref="H1951">F1951/G1951*100000</f>
        <v>8.824479035633249</v>
      </c>
    </row>
    <row r="1952" ht="13" customHeight="1">
      <c r="A1952" s="8">
        <v>10</v>
      </c>
      <c r="B1952" t="s" s="9">
        <v>36</v>
      </c>
      <c r="C1952" t="s" s="9">
        <v>69</v>
      </c>
      <c r="D1952" t="s" s="9">
        <v>20</v>
      </c>
      <c r="E1952" t="s" s="9">
        <v>33</v>
      </c>
      <c r="F1952" s="10">
        <v>227</v>
      </c>
      <c r="G1952" s="10">
        <v>2889689</v>
      </c>
      <c r="H1952" s="11" cm="1">
        <f t="array" ref="H1952">F1952/G1952*100000</f>
        <v>7.85551663172058</v>
      </c>
    </row>
    <row r="1953" ht="13" customHeight="1">
      <c r="A1953" s="8">
        <v>1</v>
      </c>
      <c r="B1953" t="s" s="9">
        <v>30</v>
      </c>
      <c r="C1953" t="s" s="9">
        <v>69</v>
      </c>
      <c r="D1953" t="s" s="9">
        <v>21</v>
      </c>
      <c r="E1953" t="s" s="9">
        <v>33</v>
      </c>
      <c r="F1953" s="10">
        <v>3630</v>
      </c>
      <c r="G1953" s="10">
        <v>4635519</v>
      </c>
      <c r="H1953" s="11" cm="1">
        <f t="array" ref="H1953">F1953/G1953*100000</f>
        <v>78.3083835919991</v>
      </c>
    </row>
    <row r="1954" ht="13" customHeight="1">
      <c r="A1954" s="8">
        <v>2</v>
      </c>
      <c r="B1954" t="s" s="9">
        <v>30</v>
      </c>
      <c r="C1954" t="s" s="9">
        <v>69</v>
      </c>
      <c r="D1954" t="s" s="9">
        <v>21</v>
      </c>
      <c r="E1954" t="s" s="9">
        <v>33</v>
      </c>
      <c r="F1954" s="10">
        <v>1861</v>
      </c>
      <c r="G1954" s="10">
        <v>4635519</v>
      </c>
      <c r="H1954" s="11" cm="1">
        <f t="array" ref="H1954">F1954/G1954*100000</f>
        <v>40.1465294393141</v>
      </c>
    </row>
    <row r="1955" ht="13" customHeight="1">
      <c r="A1955" s="8">
        <v>3</v>
      </c>
      <c r="B1955" t="s" s="9">
        <v>34</v>
      </c>
      <c r="C1955" t="s" s="9">
        <v>69</v>
      </c>
      <c r="D1955" t="s" s="9">
        <v>21</v>
      </c>
      <c r="E1955" t="s" s="9">
        <v>33</v>
      </c>
      <c r="F1955" s="10">
        <v>967</v>
      </c>
      <c r="G1955" s="10">
        <v>4635519</v>
      </c>
      <c r="H1955" s="11" cm="1">
        <f t="array" ref="H1955">F1955/G1955*100000</f>
        <v>20.8606630670697</v>
      </c>
    </row>
    <row r="1956" ht="13" customHeight="1">
      <c r="A1956" s="8">
        <v>4</v>
      </c>
      <c r="B1956" t="s" s="9">
        <v>36</v>
      </c>
      <c r="C1956" t="s" s="9">
        <v>69</v>
      </c>
      <c r="D1956" t="s" s="9">
        <v>21</v>
      </c>
      <c r="E1956" t="s" s="9">
        <v>33</v>
      </c>
      <c r="F1956" s="10">
        <v>762</v>
      </c>
      <c r="G1956" s="10">
        <v>4635519</v>
      </c>
      <c r="H1956" s="11" cm="1">
        <f t="array" ref="H1956">F1956/G1956*100000</f>
        <v>16.4382887870808</v>
      </c>
    </row>
    <row r="1957" ht="13" customHeight="1">
      <c r="A1957" s="8">
        <v>5</v>
      </c>
      <c r="B1957" t="s" s="9">
        <v>30</v>
      </c>
      <c r="C1957" t="s" s="9">
        <v>69</v>
      </c>
      <c r="D1957" t="s" s="9">
        <v>21</v>
      </c>
      <c r="E1957" t="s" s="9">
        <v>33</v>
      </c>
      <c r="F1957" s="10">
        <v>672</v>
      </c>
      <c r="G1957" s="10">
        <v>4635519</v>
      </c>
      <c r="H1957" s="11" cm="1">
        <f t="array" ref="H1957">F1957/G1957*100000</f>
        <v>14.4967586153783</v>
      </c>
    </row>
    <row r="1958" ht="13" customHeight="1">
      <c r="A1958" s="8">
        <v>6</v>
      </c>
      <c r="B1958" t="s" s="9">
        <v>36</v>
      </c>
      <c r="C1958" t="s" s="9">
        <v>69</v>
      </c>
      <c r="D1958" t="s" s="9">
        <v>21</v>
      </c>
      <c r="E1958" t="s" s="9">
        <v>33</v>
      </c>
      <c r="F1958" s="10">
        <v>583</v>
      </c>
      <c r="G1958" s="10">
        <v>4635519</v>
      </c>
      <c r="H1958" s="11" cm="1">
        <f t="array" ref="H1958">F1958/G1958*100000</f>
        <v>12.5768010011392</v>
      </c>
    </row>
    <row r="1959" ht="13" customHeight="1">
      <c r="A1959" s="8">
        <v>7</v>
      </c>
      <c r="B1959" t="s" s="9">
        <v>30</v>
      </c>
      <c r="C1959" t="s" s="9">
        <v>69</v>
      </c>
      <c r="D1959" t="s" s="9">
        <v>21</v>
      </c>
      <c r="E1959" t="s" s="9">
        <v>33</v>
      </c>
      <c r="F1959" s="10">
        <v>401</v>
      </c>
      <c r="G1959" s="10">
        <v>4635519</v>
      </c>
      <c r="H1959" s="11" cm="1">
        <f t="array" ref="H1959">F1959/G1959*100000</f>
        <v>8.65059554280761</v>
      </c>
    </row>
    <row r="1960" ht="13" customHeight="1">
      <c r="A1960" s="8">
        <v>8</v>
      </c>
      <c r="B1960" t="s" s="9">
        <v>30</v>
      </c>
      <c r="C1960" t="s" s="9">
        <v>69</v>
      </c>
      <c r="D1960" t="s" s="9">
        <v>21</v>
      </c>
      <c r="E1960" t="s" s="9">
        <v>33</v>
      </c>
      <c r="F1960" s="10">
        <v>380</v>
      </c>
      <c r="G1960" s="10">
        <v>4635519</v>
      </c>
      <c r="H1960" s="11" cm="1">
        <f t="array" ref="H1960">F1960/G1960*100000</f>
        <v>8.19757183607704</v>
      </c>
    </row>
    <row r="1961" ht="13" customHeight="1">
      <c r="A1961" s="8">
        <v>9</v>
      </c>
      <c r="B1961" t="s" s="9">
        <v>45</v>
      </c>
      <c r="C1961" t="s" s="9">
        <v>69</v>
      </c>
      <c r="D1961" t="s" s="9">
        <v>21</v>
      </c>
      <c r="E1961" t="s" s="9">
        <v>33</v>
      </c>
      <c r="F1961" s="10">
        <v>367</v>
      </c>
      <c r="G1961" s="10">
        <v>4635519</v>
      </c>
      <c r="H1961" s="11" cm="1">
        <f t="array" ref="H1961">F1961/G1961*100000</f>
        <v>7.91712858905335</v>
      </c>
    </row>
    <row r="1962" ht="13" customHeight="1">
      <c r="A1962" s="8">
        <v>10</v>
      </c>
      <c r="B1962" t="s" s="9">
        <v>45</v>
      </c>
      <c r="C1962" t="s" s="9">
        <v>69</v>
      </c>
      <c r="D1962" t="s" s="9">
        <v>21</v>
      </c>
      <c r="E1962" t="s" s="9">
        <v>33</v>
      </c>
      <c r="F1962" s="10">
        <v>349</v>
      </c>
      <c r="G1962" s="10">
        <v>4635519</v>
      </c>
      <c r="H1962" s="11" cm="1">
        <f t="array" ref="H1962">F1962/G1962*100000</f>
        <v>7.52882255471286</v>
      </c>
    </row>
    <row r="1963" ht="13.65" customHeight="1">
      <c r="A1963" s="8">
        <v>1</v>
      </c>
      <c r="B1963" t="s" s="9">
        <v>30</v>
      </c>
      <c r="C1963" t="s" s="9">
        <v>69</v>
      </c>
      <c r="D1963" t="s" s="9">
        <v>58</v>
      </c>
      <c r="E1963" t="s" s="9">
        <v>33</v>
      </c>
      <c r="F1963" s="10">
        <v>3630</v>
      </c>
      <c r="G1963" s="12"/>
      <c r="H1963" s="13"/>
    </row>
    <row r="1964" ht="13.65" customHeight="1">
      <c r="A1964" s="8">
        <v>2</v>
      </c>
      <c r="B1964" t="s" s="9">
        <v>30</v>
      </c>
      <c r="C1964" t="s" s="9">
        <v>69</v>
      </c>
      <c r="D1964" t="s" s="9">
        <v>58</v>
      </c>
      <c r="E1964" t="s" s="9">
        <v>33</v>
      </c>
      <c r="F1964" s="10">
        <v>1861</v>
      </c>
      <c r="G1964" s="14"/>
      <c r="H1964" s="15"/>
    </row>
    <row r="1965" ht="13.65" customHeight="1">
      <c r="A1965" s="8">
        <v>3</v>
      </c>
      <c r="B1965" t="s" s="9">
        <v>34</v>
      </c>
      <c r="C1965" t="s" s="9">
        <v>69</v>
      </c>
      <c r="D1965" t="s" s="9">
        <v>58</v>
      </c>
      <c r="E1965" t="s" s="9">
        <v>33</v>
      </c>
      <c r="F1965" s="10">
        <v>967</v>
      </c>
      <c r="G1965" s="14"/>
      <c r="H1965" s="15"/>
    </row>
    <row r="1966" ht="13.65" customHeight="1">
      <c r="A1966" s="8">
        <v>4</v>
      </c>
      <c r="B1966" t="s" s="9">
        <v>36</v>
      </c>
      <c r="C1966" t="s" s="9">
        <v>69</v>
      </c>
      <c r="D1966" t="s" s="9">
        <v>58</v>
      </c>
      <c r="E1966" t="s" s="9">
        <v>33</v>
      </c>
      <c r="F1966" s="10">
        <v>762</v>
      </c>
      <c r="G1966" s="14"/>
      <c r="H1966" s="15"/>
    </row>
    <row r="1967" ht="13.65" customHeight="1">
      <c r="A1967" s="8">
        <v>5</v>
      </c>
      <c r="B1967" t="s" s="9">
        <v>30</v>
      </c>
      <c r="C1967" t="s" s="9">
        <v>69</v>
      </c>
      <c r="D1967" t="s" s="9">
        <v>58</v>
      </c>
      <c r="E1967" t="s" s="9">
        <v>33</v>
      </c>
      <c r="F1967" s="10">
        <v>672</v>
      </c>
      <c r="G1967" s="14"/>
      <c r="H1967" s="15"/>
    </row>
    <row r="1968" ht="13.65" customHeight="1">
      <c r="A1968" s="8">
        <v>6</v>
      </c>
      <c r="B1968" t="s" s="9">
        <v>36</v>
      </c>
      <c r="C1968" t="s" s="9">
        <v>69</v>
      </c>
      <c r="D1968" t="s" s="9">
        <v>58</v>
      </c>
      <c r="E1968" t="s" s="9">
        <v>33</v>
      </c>
      <c r="F1968" s="10">
        <v>583</v>
      </c>
      <c r="G1968" s="14"/>
      <c r="H1968" s="15"/>
    </row>
    <row r="1969" ht="13.65" customHeight="1">
      <c r="A1969" s="8">
        <v>7</v>
      </c>
      <c r="B1969" t="s" s="9">
        <v>30</v>
      </c>
      <c r="C1969" t="s" s="9">
        <v>69</v>
      </c>
      <c r="D1969" t="s" s="9">
        <v>58</v>
      </c>
      <c r="E1969" t="s" s="9">
        <v>33</v>
      </c>
      <c r="F1969" s="10">
        <v>401</v>
      </c>
      <c r="G1969" s="14"/>
      <c r="H1969" s="15"/>
    </row>
    <row r="1970" ht="13.65" customHeight="1">
      <c r="A1970" s="8">
        <v>8</v>
      </c>
      <c r="B1970" t="s" s="9">
        <v>30</v>
      </c>
      <c r="C1970" t="s" s="9">
        <v>69</v>
      </c>
      <c r="D1970" t="s" s="9">
        <v>58</v>
      </c>
      <c r="E1970" t="s" s="9">
        <v>33</v>
      </c>
      <c r="F1970" s="10">
        <v>380</v>
      </c>
      <c r="G1970" s="14"/>
      <c r="H1970" s="15"/>
    </row>
    <row r="1971" ht="13.65" customHeight="1">
      <c r="A1971" s="8">
        <v>9</v>
      </c>
      <c r="B1971" t="s" s="9">
        <v>45</v>
      </c>
      <c r="C1971" t="s" s="9">
        <v>69</v>
      </c>
      <c r="D1971" t="s" s="9">
        <v>58</v>
      </c>
      <c r="E1971" t="s" s="9">
        <v>33</v>
      </c>
      <c r="F1971" s="10">
        <v>367</v>
      </c>
      <c r="G1971" s="14"/>
      <c r="H1971" s="15"/>
    </row>
    <row r="1972" ht="13.65" customHeight="1">
      <c r="A1972" s="8">
        <v>10</v>
      </c>
      <c r="B1972" t="s" s="9">
        <v>45</v>
      </c>
      <c r="C1972" t="s" s="9">
        <v>69</v>
      </c>
      <c r="D1972" t="s" s="9">
        <v>58</v>
      </c>
      <c r="E1972" t="s" s="9">
        <v>33</v>
      </c>
      <c r="F1972" s="10">
        <v>349</v>
      </c>
      <c r="G1972" s="16"/>
      <c r="H1972" s="17"/>
    </row>
    <row r="1973" ht="13" customHeight="1">
      <c r="A1973" s="8">
        <v>1</v>
      </c>
      <c r="B1973" t="s" s="9">
        <v>30</v>
      </c>
      <c r="C1973" t="s" s="9">
        <v>70</v>
      </c>
      <c r="D1973" t="s" s="9">
        <v>32</v>
      </c>
      <c r="E1973" t="s" s="9">
        <v>33</v>
      </c>
      <c r="F1973" s="10">
        <v>13971</v>
      </c>
      <c r="G1973" s="10">
        <v>14521657</v>
      </c>
      <c r="H1973" s="11" cm="1">
        <f t="array" ref="H1973">F1973/G1973*100000</f>
        <v>96.208029152596</v>
      </c>
    </row>
    <row r="1974" ht="13" customHeight="1">
      <c r="A1974" s="8">
        <v>2</v>
      </c>
      <c r="B1974" t="s" s="9">
        <v>34</v>
      </c>
      <c r="C1974" t="s" s="9">
        <v>70</v>
      </c>
      <c r="D1974" t="s" s="9">
        <v>32</v>
      </c>
      <c r="E1974" t="s" s="9">
        <v>33</v>
      </c>
      <c r="F1974" s="10">
        <v>11657</v>
      </c>
      <c r="G1974" s="10">
        <v>14521657</v>
      </c>
      <c r="H1974" s="11" cm="1">
        <f t="array" ref="H1974">F1974/G1974*100000</f>
        <v>80.27320849128991</v>
      </c>
    </row>
    <row r="1975" ht="13" customHeight="1">
      <c r="A1975" s="8">
        <v>3</v>
      </c>
      <c r="B1975" t="s" s="9">
        <v>37</v>
      </c>
      <c r="C1975" t="s" s="9">
        <v>70</v>
      </c>
      <c r="D1975" t="s" s="9">
        <v>32</v>
      </c>
      <c r="E1975" t="s" s="9">
        <v>33</v>
      </c>
      <c r="F1975" s="10">
        <v>5131</v>
      </c>
      <c r="G1975" s="10">
        <v>14521657</v>
      </c>
      <c r="H1975" s="11" cm="1">
        <f t="array" ref="H1975">F1975/G1975*100000</f>
        <v>35.3334333678312</v>
      </c>
    </row>
    <row r="1976" ht="13" customHeight="1">
      <c r="A1976" s="8">
        <v>4</v>
      </c>
      <c r="B1976" t="s" s="9">
        <v>35</v>
      </c>
      <c r="C1976" t="s" s="9">
        <v>70</v>
      </c>
      <c r="D1976" t="s" s="9">
        <v>32</v>
      </c>
      <c r="E1976" t="s" s="9">
        <v>33</v>
      </c>
      <c r="F1976" s="10">
        <v>3369</v>
      </c>
      <c r="G1976" s="10">
        <v>14521657</v>
      </c>
      <c r="H1976" s="11" cm="1">
        <f t="array" ref="H1976">F1976/G1976*100000</f>
        <v>23.1998318098272</v>
      </c>
    </row>
    <row r="1977" ht="13" customHeight="1">
      <c r="A1977" s="8">
        <v>5</v>
      </c>
      <c r="B1977" t="s" s="9">
        <v>37</v>
      </c>
      <c r="C1977" t="s" s="9">
        <v>70</v>
      </c>
      <c r="D1977" t="s" s="9">
        <v>32</v>
      </c>
      <c r="E1977" t="s" s="9">
        <v>33</v>
      </c>
      <c r="F1977" s="10">
        <v>2450</v>
      </c>
      <c r="G1977" s="10">
        <v>14521657</v>
      </c>
      <c r="H1977" s="11" cm="1">
        <f t="array" ref="H1977">F1977/G1977*100000</f>
        <v>16.8713529041486</v>
      </c>
    </row>
    <row r="1978" ht="13" customHeight="1">
      <c r="A1978" s="8">
        <v>6</v>
      </c>
      <c r="B1978" t="s" s="9">
        <v>39</v>
      </c>
      <c r="C1978" t="s" s="9">
        <v>70</v>
      </c>
      <c r="D1978" t="s" s="9">
        <v>32</v>
      </c>
      <c r="E1978" t="s" s="9">
        <v>33</v>
      </c>
      <c r="F1978" s="10">
        <v>1477</v>
      </c>
      <c r="G1978" s="10">
        <v>14521657</v>
      </c>
      <c r="H1978" s="11" cm="1">
        <f t="array" ref="H1978">F1978/G1978*100000</f>
        <v>10.1710156079296</v>
      </c>
    </row>
    <row r="1979" ht="13" customHeight="1">
      <c r="A1979" s="8">
        <v>7</v>
      </c>
      <c r="B1979" t="s" s="9">
        <v>30</v>
      </c>
      <c r="C1979" t="s" s="9">
        <v>70</v>
      </c>
      <c r="D1979" t="s" s="9">
        <v>32</v>
      </c>
      <c r="E1979" t="s" s="9">
        <v>33</v>
      </c>
      <c r="F1979" s="10">
        <v>1898</v>
      </c>
      <c r="G1979" s="10">
        <v>14521657</v>
      </c>
      <c r="H1979" s="11" cm="1">
        <f t="array" ref="H1979">F1979/G1979*100000</f>
        <v>13.0701338008466</v>
      </c>
    </row>
    <row r="1980" ht="13" customHeight="1">
      <c r="A1980" s="8">
        <v>8</v>
      </c>
      <c r="B1980" t="s" s="9">
        <v>30</v>
      </c>
      <c r="C1980" t="s" s="9">
        <v>70</v>
      </c>
      <c r="D1980" t="s" s="9">
        <v>32</v>
      </c>
      <c r="E1980" t="s" s="9">
        <v>33</v>
      </c>
      <c r="F1980" s="10">
        <v>1608</v>
      </c>
      <c r="G1980" s="10">
        <v>14521657</v>
      </c>
      <c r="H1980" s="11" cm="1">
        <f t="array" ref="H1980">F1980/G1980*100000</f>
        <v>11.0731165183147</v>
      </c>
    </row>
    <row r="1981" ht="13" customHeight="1">
      <c r="A1981" s="8">
        <v>9</v>
      </c>
      <c r="B1981" t="s" s="9">
        <v>30</v>
      </c>
      <c r="C1981" t="s" s="9">
        <v>70</v>
      </c>
      <c r="D1981" t="s" s="9">
        <v>32</v>
      </c>
      <c r="E1981" t="s" s="9">
        <v>33</v>
      </c>
      <c r="F1981" s="10">
        <v>1612</v>
      </c>
      <c r="G1981" s="10">
        <v>14521657</v>
      </c>
      <c r="H1981" s="11" cm="1">
        <f t="array" ref="H1981">F1981/G1981*100000</f>
        <v>11.1006615842806</v>
      </c>
    </row>
    <row r="1982" ht="13" customHeight="1">
      <c r="A1982" s="8">
        <v>10</v>
      </c>
      <c r="B1982" t="s" s="9">
        <v>30</v>
      </c>
      <c r="C1982" t="s" s="9">
        <v>70</v>
      </c>
      <c r="D1982" t="s" s="9">
        <v>32</v>
      </c>
      <c r="E1982" t="s" s="9">
        <v>33</v>
      </c>
      <c r="F1982" s="10">
        <v>1543</v>
      </c>
      <c r="G1982" s="10">
        <v>14521657</v>
      </c>
      <c r="H1982" s="11" cm="1">
        <f t="array" ref="H1982">F1982/G1982*100000</f>
        <v>10.6255091963679</v>
      </c>
    </row>
    <row r="1983" ht="13" customHeight="1">
      <c r="A1983" s="8">
        <v>1</v>
      </c>
      <c r="B1983" t="s" s="9">
        <v>30</v>
      </c>
      <c r="C1983" t="s" s="9">
        <v>70</v>
      </c>
      <c r="D1983" t="s" s="9">
        <v>38</v>
      </c>
      <c r="E1983" t="s" s="9">
        <v>33</v>
      </c>
      <c r="F1983" s="10">
        <v>6399</v>
      </c>
      <c r="G1983" s="10">
        <v>1874281</v>
      </c>
      <c r="H1983" s="11" cm="1">
        <f t="array" ref="H1983">F1983/G1983*100000</f>
        <v>341.410919707344</v>
      </c>
    </row>
    <row r="1984" ht="13" customHeight="1">
      <c r="A1984" s="8">
        <v>2</v>
      </c>
      <c r="B1984" t="s" s="9">
        <v>34</v>
      </c>
      <c r="C1984" t="s" s="9">
        <v>70</v>
      </c>
      <c r="D1984" t="s" s="9">
        <v>38</v>
      </c>
      <c r="E1984" t="s" s="9">
        <v>33</v>
      </c>
      <c r="F1984" s="10">
        <v>2616</v>
      </c>
      <c r="G1984" s="10">
        <v>1874281</v>
      </c>
      <c r="H1984" s="11" cm="1">
        <f t="array" ref="H1984">F1984/G1984*100000</f>
        <v>139.573521793157</v>
      </c>
    </row>
    <row r="1985" ht="13" customHeight="1">
      <c r="A1985" s="8">
        <v>3</v>
      </c>
      <c r="B1985" t="s" s="9">
        <v>30</v>
      </c>
      <c r="C1985" t="s" s="9">
        <v>70</v>
      </c>
      <c r="D1985" t="s" s="9">
        <v>38</v>
      </c>
      <c r="E1985" t="s" s="9">
        <v>33</v>
      </c>
      <c r="F1985" s="10">
        <v>919</v>
      </c>
      <c r="G1985" s="10">
        <v>1874281</v>
      </c>
      <c r="H1985" s="11" cm="1">
        <f t="array" ref="H1985">F1985/G1985*100000</f>
        <v>49.0321355229018</v>
      </c>
    </row>
    <row r="1986" ht="13" customHeight="1">
      <c r="A1986" s="8">
        <v>4</v>
      </c>
      <c r="B1986" t="s" s="9">
        <v>39</v>
      </c>
      <c r="C1986" t="s" s="9">
        <v>70</v>
      </c>
      <c r="D1986" t="s" s="9">
        <v>38</v>
      </c>
      <c r="E1986" t="s" s="9">
        <v>33</v>
      </c>
      <c r="F1986" s="10">
        <v>486</v>
      </c>
      <c r="G1986" s="10">
        <v>1874281</v>
      </c>
      <c r="H1986" s="11" cm="1">
        <f t="array" ref="H1986">F1986/G1986*100000</f>
        <v>25.9299432689122</v>
      </c>
    </row>
    <row r="1987" ht="13" customHeight="1">
      <c r="A1987" s="8">
        <v>5</v>
      </c>
      <c r="B1987" t="s" s="9">
        <v>35</v>
      </c>
      <c r="C1987" t="s" s="9">
        <v>70</v>
      </c>
      <c r="D1987" t="s" s="9">
        <v>38</v>
      </c>
      <c r="E1987" t="s" s="9">
        <v>33</v>
      </c>
      <c r="F1987" s="10">
        <v>798</v>
      </c>
      <c r="G1987" s="10">
        <v>1874281</v>
      </c>
      <c r="H1987" s="11" cm="1">
        <f t="array" ref="H1987">F1987/G1987*100000</f>
        <v>42.576326602041</v>
      </c>
    </row>
    <row r="1988" ht="13" customHeight="1">
      <c r="A1988" s="8">
        <v>6</v>
      </c>
      <c r="B1988" t="s" s="9">
        <v>37</v>
      </c>
      <c r="C1988" t="s" s="9">
        <v>70</v>
      </c>
      <c r="D1988" t="s" s="9">
        <v>38</v>
      </c>
      <c r="E1988" t="s" s="9">
        <v>33</v>
      </c>
      <c r="F1988" s="10">
        <v>462</v>
      </c>
      <c r="G1988" s="10">
        <v>1874281</v>
      </c>
      <c r="H1988" s="11" cm="1">
        <f t="array" ref="H1988">F1988/G1988*100000</f>
        <v>24.6494522432869</v>
      </c>
    </row>
    <row r="1989" ht="13" customHeight="1">
      <c r="A1989" s="8">
        <v>7</v>
      </c>
      <c r="B1989" t="s" s="9">
        <v>37</v>
      </c>
      <c r="C1989" t="s" s="9">
        <v>70</v>
      </c>
      <c r="D1989" t="s" s="9">
        <v>38</v>
      </c>
      <c r="E1989" t="s" s="9">
        <v>33</v>
      </c>
      <c r="F1989" s="10">
        <v>509</v>
      </c>
      <c r="G1989" s="10">
        <v>1874281</v>
      </c>
      <c r="H1989" s="11" cm="1">
        <f t="array" ref="H1989">F1989/G1989*100000</f>
        <v>27.1570805018031</v>
      </c>
    </row>
    <row r="1990" ht="13" customHeight="1">
      <c r="A1990" s="8">
        <v>8</v>
      </c>
      <c r="B1990" t="s" s="9">
        <v>35</v>
      </c>
      <c r="C1990" t="s" s="9">
        <v>70</v>
      </c>
      <c r="D1990" t="s" s="9">
        <v>38</v>
      </c>
      <c r="E1990" t="s" s="9">
        <v>33</v>
      </c>
      <c r="F1990" s="10">
        <v>816</v>
      </c>
      <c r="G1990" s="10">
        <v>1874281</v>
      </c>
      <c r="H1990" s="11" cm="1">
        <f t="array" ref="H1990">F1990/G1990*100000</f>
        <v>43.536694871260</v>
      </c>
    </row>
    <row r="1991" ht="13" customHeight="1">
      <c r="A1991" s="8">
        <v>9</v>
      </c>
      <c r="B1991" t="s" s="9">
        <v>41</v>
      </c>
      <c r="C1991" t="s" s="9">
        <v>70</v>
      </c>
      <c r="D1991" t="s" s="9">
        <v>38</v>
      </c>
      <c r="E1991" t="s" s="9">
        <v>33</v>
      </c>
      <c r="F1991" s="10">
        <v>479</v>
      </c>
      <c r="G1991" s="10">
        <v>1874281</v>
      </c>
      <c r="H1991" s="11" cm="1">
        <f t="array" ref="H1991">F1991/G1991*100000</f>
        <v>25.5564667197715</v>
      </c>
    </row>
    <row r="1992" ht="13" customHeight="1">
      <c r="A1992" s="8">
        <v>10</v>
      </c>
      <c r="B1992" t="s" s="9">
        <v>41</v>
      </c>
      <c r="C1992" t="s" s="9">
        <v>70</v>
      </c>
      <c r="D1992" t="s" s="9">
        <v>38</v>
      </c>
      <c r="E1992" t="s" s="9">
        <v>33</v>
      </c>
      <c r="F1992" s="10">
        <v>387</v>
      </c>
      <c r="G1992" s="10">
        <v>1874281</v>
      </c>
      <c r="H1992" s="11" cm="1">
        <f t="array" ref="H1992">F1992/G1992*100000</f>
        <v>20.6479177882079</v>
      </c>
    </row>
    <row r="1993" ht="13" customHeight="1">
      <c r="A1993" s="8">
        <v>1</v>
      </c>
      <c r="B1993" t="s" s="9">
        <v>30</v>
      </c>
      <c r="C1993" t="s" s="9">
        <v>70</v>
      </c>
      <c r="D1993" t="s" s="9">
        <v>42</v>
      </c>
      <c r="E1993" t="s" s="9">
        <v>33</v>
      </c>
      <c r="F1993" s="10">
        <v>6872</v>
      </c>
      <c r="G1993" s="10">
        <v>5458063</v>
      </c>
      <c r="H1993" s="11" cm="1">
        <f t="array" ref="H1993">F1993/G1993*100000</f>
        <v>125.905472325988</v>
      </c>
    </row>
    <row r="1994" ht="13" customHeight="1">
      <c r="A1994" s="8">
        <v>2</v>
      </c>
      <c r="B1994" t="s" s="9">
        <v>41</v>
      </c>
      <c r="C1994" t="s" s="9">
        <v>70</v>
      </c>
      <c r="D1994" t="s" s="9">
        <v>42</v>
      </c>
      <c r="E1994" t="s" s="9">
        <v>33</v>
      </c>
      <c r="F1994" s="10">
        <v>4291</v>
      </c>
      <c r="G1994" s="10">
        <v>5458063</v>
      </c>
      <c r="H1994" s="11" cm="1">
        <f t="array" ref="H1994">F1994/G1994*100000</f>
        <v>78.61763413137589</v>
      </c>
    </row>
    <row r="1995" ht="13" customHeight="1">
      <c r="A1995" s="8">
        <v>3</v>
      </c>
      <c r="B1995" t="s" s="9">
        <v>30</v>
      </c>
      <c r="C1995" t="s" s="9">
        <v>70</v>
      </c>
      <c r="D1995" t="s" s="9">
        <v>42</v>
      </c>
      <c r="E1995" t="s" s="9">
        <v>33</v>
      </c>
      <c r="F1995" s="10">
        <v>4228</v>
      </c>
      <c r="G1995" s="10">
        <v>5458063</v>
      </c>
      <c r="H1995" s="11" cm="1">
        <f t="array" ref="H1995">F1995/G1995*100000</f>
        <v>77.46337849160039</v>
      </c>
    </row>
    <row r="1996" ht="13" customHeight="1">
      <c r="A1996" s="8">
        <v>4</v>
      </c>
      <c r="B1996" t="s" s="9">
        <v>30</v>
      </c>
      <c r="C1996" t="s" s="9">
        <v>70</v>
      </c>
      <c r="D1996" t="s" s="9">
        <v>42</v>
      </c>
      <c r="E1996" t="s" s="9">
        <v>33</v>
      </c>
      <c r="F1996" s="10">
        <v>2812</v>
      </c>
      <c r="G1996" s="10">
        <v>5458063</v>
      </c>
      <c r="H1996" s="11" cm="1">
        <f t="array" ref="H1996">F1996/G1996*100000</f>
        <v>51.5201088737891</v>
      </c>
    </row>
    <row r="1997" ht="13" customHeight="1">
      <c r="A1997" s="8">
        <v>5</v>
      </c>
      <c r="B1997" t="s" s="9">
        <v>34</v>
      </c>
      <c r="C1997" t="s" s="9">
        <v>70</v>
      </c>
      <c r="D1997" t="s" s="9">
        <v>42</v>
      </c>
      <c r="E1997" t="s" s="9">
        <v>33</v>
      </c>
      <c r="F1997" s="10">
        <v>1950</v>
      </c>
      <c r="G1997" s="10">
        <v>5458063</v>
      </c>
      <c r="H1997" s="11" cm="1">
        <f t="array" ref="H1997">F1997/G1997*100000</f>
        <v>35.7269602787656</v>
      </c>
    </row>
    <row r="1998" ht="13" customHeight="1">
      <c r="A1998" s="8">
        <v>6</v>
      </c>
      <c r="B1998" t="s" s="9">
        <v>37</v>
      </c>
      <c r="C1998" t="s" s="9">
        <v>70</v>
      </c>
      <c r="D1998" t="s" s="9">
        <v>42</v>
      </c>
      <c r="E1998" t="s" s="9">
        <v>33</v>
      </c>
      <c r="F1998" s="10">
        <v>1711</v>
      </c>
      <c r="G1998" s="10">
        <v>5458063</v>
      </c>
      <c r="H1998" s="11" cm="1">
        <f t="array" ref="H1998">F1998/G1998*100000</f>
        <v>31.3481174548553</v>
      </c>
    </row>
    <row r="1999" ht="13" customHeight="1">
      <c r="A1999" s="8">
        <v>7</v>
      </c>
      <c r="B1999" t="s" s="9">
        <v>35</v>
      </c>
      <c r="C1999" t="s" s="9">
        <v>70</v>
      </c>
      <c r="D1999" t="s" s="9">
        <v>42</v>
      </c>
      <c r="E1999" t="s" s="9">
        <v>33</v>
      </c>
      <c r="F1999" s="10">
        <v>1711</v>
      </c>
      <c r="G1999" s="10">
        <v>5458063</v>
      </c>
      <c r="H1999" s="11" cm="1">
        <f t="array" ref="H1999">F1999/G1999*100000</f>
        <v>31.3481174548553</v>
      </c>
    </row>
    <row r="2000" ht="13" customHeight="1">
      <c r="A2000" s="8">
        <v>8</v>
      </c>
      <c r="B2000" t="s" s="9">
        <v>35</v>
      </c>
      <c r="C2000" t="s" s="9">
        <v>70</v>
      </c>
      <c r="D2000" t="s" s="9">
        <v>42</v>
      </c>
      <c r="E2000" t="s" s="9">
        <v>33</v>
      </c>
      <c r="F2000" s="10">
        <v>1458</v>
      </c>
      <c r="G2000" s="10">
        <v>5458063</v>
      </c>
      <c r="H2000" s="11" cm="1">
        <f t="array" ref="H2000">F2000/G2000*100000</f>
        <v>26.7127733776616</v>
      </c>
    </row>
    <row r="2001" ht="13" customHeight="1">
      <c r="A2001" s="8">
        <v>9</v>
      </c>
      <c r="B2001" t="s" s="9">
        <v>37</v>
      </c>
      <c r="C2001" t="s" s="9">
        <v>70</v>
      </c>
      <c r="D2001" t="s" s="9">
        <v>42</v>
      </c>
      <c r="E2001" t="s" s="9">
        <v>33</v>
      </c>
      <c r="F2001" s="10">
        <v>1436</v>
      </c>
      <c r="G2001" s="10">
        <v>5458063</v>
      </c>
      <c r="H2001" s="11" cm="1">
        <f t="array" ref="H2001">F2001/G2001*100000</f>
        <v>26.3096999796448</v>
      </c>
    </row>
    <row r="2002" ht="13" customHeight="1">
      <c r="A2002" s="8">
        <v>10</v>
      </c>
      <c r="B2002" t="s" s="9">
        <v>37</v>
      </c>
      <c r="C2002" t="s" s="9">
        <v>70</v>
      </c>
      <c r="D2002" t="s" s="9">
        <v>42</v>
      </c>
      <c r="E2002" t="s" s="9">
        <v>33</v>
      </c>
      <c r="F2002" s="10">
        <v>1073</v>
      </c>
      <c r="G2002" s="10">
        <v>5458063</v>
      </c>
      <c r="H2002" s="11" cm="1">
        <f t="array" ref="H2002">F2002/G2002*100000</f>
        <v>19.6589889123669</v>
      </c>
    </row>
    <row r="2003" ht="13" customHeight="1">
      <c r="A2003" s="8">
        <v>1</v>
      </c>
      <c r="B2003" t="s" s="9">
        <v>30</v>
      </c>
      <c r="C2003" t="s" s="9">
        <v>70</v>
      </c>
      <c r="D2003" t="s" s="9">
        <v>43</v>
      </c>
      <c r="E2003" t="s" s="9">
        <v>33</v>
      </c>
      <c r="F2003" s="10">
        <v>4992</v>
      </c>
      <c r="G2003" s="10">
        <v>3817144</v>
      </c>
      <c r="H2003" s="11" cm="1">
        <f t="array" ref="H2003">F2003/G2003*100000</f>
        <v>130.778403958562</v>
      </c>
    </row>
    <row r="2004" ht="13" customHeight="1">
      <c r="A2004" s="8">
        <v>2</v>
      </c>
      <c r="B2004" t="s" s="9">
        <v>34</v>
      </c>
      <c r="C2004" t="s" s="9">
        <v>70</v>
      </c>
      <c r="D2004" t="s" s="9">
        <v>43</v>
      </c>
      <c r="E2004" t="s" s="9">
        <v>33</v>
      </c>
      <c r="F2004" s="10">
        <v>2422</v>
      </c>
      <c r="G2004" s="10">
        <v>3817144</v>
      </c>
      <c r="H2004" s="11" cm="1">
        <f t="array" ref="H2004">F2004/G2004*100000</f>
        <v>63.4505798052156</v>
      </c>
    </row>
    <row r="2005" ht="13" customHeight="1">
      <c r="A2005" s="8">
        <v>3</v>
      </c>
      <c r="B2005" t="s" s="9">
        <v>45</v>
      </c>
      <c r="C2005" t="s" s="9">
        <v>70</v>
      </c>
      <c r="D2005" t="s" s="9">
        <v>43</v>
      </c>
      <c r="E2005" t="s" s="9">
        <v>33</v>
      </c>
      <c r="F2005" s="10">
        <v>1060</v>
      </c>
      <c r="G2005" s="10">
        <v>3817144</v>
      </c>
      <c r="H2005" s="11" cm="1">
        <f t="array" ref="H2005">F2005/G2005*100000</f>
        <v>27.7694527636369</v>
      </c>
    </row>
    <row r="2006" ht="13" customHeight="1">
      <c r="A2006" s="8">
        <v>4</v>
      </c>
      <c r="B2006" t="s" s="9">
        <v>30</v>
      </c>
      <c r="C2006" t="s" s="9">
        <v>70</v>
      </c>
      <c r="D2006" t="s" s="9">
        <v>43</v>
      </c>
      <c r="E2006" t="s" s="9">
        <v>33</v>
      </c>
      <c r="F2006" s="10">
        <v>944</v>
      </c>
      <c r="G2006" s="10">
        <v>3817144</v>
      </c>
      <c r="H2006" s="11" cm="1">
        <f t="array" ref="H2006">F2006/G2006*100000</f>
        <v>24.7305315178049</v>
      </c>
    </row>
    <row r="2007" ht="13" customHeight="1">
      <c r="A2007" s="8">
        <v>5</v>
      </c>
      <c r="B2007" t="s" s="9">
        <v>35</v>
      </c>
      <c r="C2007" t="s" s="9">
        <v>70</v>
      </c>
      <c r="D2007" t="s" s="9">
        <v>43</v>
      </c>
      <c r="E2007" t="s" s="9">
        <v>33</v>
      </c>
      <c r="F2007" s="10">
        <v>1154</v>
      </c>
      <c r="G2007" s="10">
        <v>3817144</v>
      </c>
      <c r="H2007" s="11" cm="1">
        <f t="array" ref="H2007">F2007/G2007*100000</f>
        <v>30.2320268766387</v>
      </c>
    </row>
    <row r="2008" ht="13" customHeight="1">
      <c r="A2008" s="8">
        <v>6</v>
      </c>
      <c r="B2008" t="s" s="9">
        <v>37</v>
      </c>
      <c r="C2008" t="s" s="9">
        <v>70</v>
      </c>
      <c r="D2008" t="s" s="9">
        <v>43</v>
      </c>
      <c r="E2008" t="s" s="9">
        <v>33</v>
      </c>
      <c r="F2008" s="10">
        <v>643</v>
      </c>
      <c r="G2008" s="10">
        <v>3817144</v>
      </c>
      <c r="H2008" s="11" cm="1">
        <f t="array" ref="H2008">F2008/G2008*100000</f>
        <v>16.8450548368099</v>
      </c>
    </row>
    <row r="2009" ht="13" customHeight="1">
      <c r="A2009" s="8">
        <v>7</v>
      </c>
      <c r="B2009" t="s" s="9">
        <v>39</v>
      </c>
      <c r="C2009" t="s" s="9">
        <v>70</v>
      </c>
      <c r="D2009" t="s" s="9">
        <v>43</v>
      </c>
      <c r="E2009" t="s" s="9">
        <v>33</v>
      </c>
      <c r="F2009" s="10">
        <v>580</v>
      </c>
      <c r="G2009" s="10">
        <v>3817144</v>
      </c>
      <c r="H2009" s="11" cm="1">
        <f t="array" ref="H2009">F2009/G2009*100000</f>
        <v>15.1946062291598</v>
      </c>
    </row>
    <row r="2010" ht="13" customHeight="1">
      <c r="A2010" s="8">
        <v>8</v>
      </c>
      <c r="B2010" t="s" s="9">
        <v>30</v>
      </c>
      <c r="C2010" t="s" s="9">
        <v>70</v>
      </c>
      <c r="D2010" t="s" s="9">
        <v>43</v>
      </c>
      <c r="E2010" t="s" s="9">
        <v>33</v>
      </c>
      <c r="F2010" s="10">
        <v>619</v>
      </c>
      <c r="G2010" s="10">
        <v>3817144</v>
      </c>
      <c r="H2010" s="11" cm="1">
        <f t="array" ref="H2010">F2010/G2010*100000</f>
        <v>16.2163125100861</v>
      </c>
    </row>
    <row r="2011" ht="13" customHeight="1">
      <c r="A2011" s="8">
        <v>9</v>
      </c>
      <c r="B2011" t="s" s="9">
        <v>37</v>
      </c>
      <c r="C2011" t="s" s="9">
        <v>70</v>
      </c>
      <c r="D2011" t="s" s="9">
        <v>43</v>
      </c>
      <c r="E2011" t="s" s="9">
        <v>33</v>
      </c>
      <c r="F2011" s="10">
        <v>501</v>
      </c>
      <c r="G2011" s="10">
        <v>3817144</v>
      </c>
      <c r="H2011" s="11" cm="1">
        <f t="array" ref="H2011">F2011/G2011*100000</f>
        <v>13.1249960703605</v>
      </c>
    </row>
    <row r="2012" ht="13" customHeight="1">
      <c r="A2012" s="8">
        <v>10</v>
      </c>
      <c r="B2012" t="s" s="9">
        <v>30</v>
      </c>
      <c r="C2012" t="s" s="9">
        <v>70</v>
      </c>
      <c r="D2012" t="s" s="9">
        <v>43</v>
      </c>
      <c r="E2012" t="s" s="9">
        <v>33</v>
      </c>
      <c r="F2012" s="10">
        <v>552</v>
      </c>
      <c r="G2012" s="10">
        <v>3817144</v>
      </c>
      <c r="H2012" s="11" cm="1">
        <f t="array" ref="H2012">F2012/G2012*100000</f>
        <v>14.4610735146486</v>
      </c>
    </row>
    <row r="2013" ht="13" customHeight="1">
      <c r="A2013" s="8">
        <v>1</v>
      </c>
      <c r="B2013" t="s" s="9">
        <v>30</v>
      </c>
      <c r="C2013" t="s" s="9">
        <v>70</v>
      </c>
      <c r="D2013" t="s" s="9">
        <v>44</v>
      </c>
      <c r="E2013" t="s" s="9">
        <v>33</v>
      </c>
      <c r="F2013" s="10">
        <v>16219</v>
      </c>
      <c r="G2013" s="10">
        <v>13239670</v>
      </c>
      <c r="H2013" s="11" cm="1">
        <f t="array" ref="H2013">F2013/G2013*100000</f>
        <v>122.503053323837</v>
      </c>
    </row>
    <row r="2014" ht="13" customHeight="1">
      <c r="A2014" s="8">
        <v>2</v>
      </c>
      <c r="B2014" t="s" s="9">
        <v>34</v>
      </c>
      <c r="C2014" t="s" s="9">
        <v>70</v>
      </c>
      <c r="D2014" t="s" s="9">
        <v>44</v>
      </c>
      <c r="E2014" t="s" s="9">
        <v>33</v>
      </c>
      <c r="F2014" s="10">
        <v>7746</v>
      </c>
      <c r="G2014" s="10">
        <v>13239670</v>
      </c>
      <c r="H2014" s="11" cm="1">
        <f t="array" ref="H2014">F2014/G2014*100000</f>
        <v>58.5059899529218</v>
      </c>
    </row>
    <row r="2015" ht="13" customHeight="1">
      <c r="A2015" s="8">
        <v>3</v>
      </c>
      <c r="B2015" t="s" s="9">
        <v>35</v>
      </c>
      <c r="C2015" t="s" s="9">
        <v>70</v>
      </c>
      <c r="D2015" t="s" s="9">
        <v>44</v>
      </c>
      <c r="E2015" t="s" s="9">
        <v>33</v>
      </c>
      <c r="F2015" s="10">
        <v>4394</v>
      </c>
      <c r="G2015" s="10">
        <v>13239670</v>
      </c>
      <c r="H2015" s="11" cm="1">
        <f t="array" ref="H2015">F2015/G2015*100000</f>
        <v>33.1881383750501</v>
      </c>
    </row>
    <row r="2016" ht="13" customHeight="1">
      <c r="A2016" s="8">
        <v>4</v>
      </c>
      <c r="B2016" t="s" s="9">
        <v>37</v>
      </c>
      <c r="C2016" t="s" s="9">
        <v>70</v>
      </c>
      <c r="D2016" t="s" s="9">
        <v>44</v>
      </c>
      <c r="E2016" t="s" s="9">
        <v>33</v>
      </c>
      <c r="F2016" s="10">
        <v>2983</v>
      </c>
      <c r="G2016" s="10">
        <v>13239670</v>
      </c>
      <c r="H2016" s="11" cm="1">
        <f t="array" ref="H2016">F2016/G2016*100000</f>
        <v>22.5307730479687</v>
      </c>
    </row>
    <row r="2017" ht="13" customHeight="1">
      <c r="A2017" s="8">
        <v>5</v>
      </c>
      <c r="B2017" t="s" s="9">
        <v>39</v>
      </c>
      <c r="C2017" t="s" s="9">
        <v>70</v>
      </c>
      <c r="D2017" t="s" s="9">
        <v>44</v>
      </c>
      <c r="E2017" t="s" s="9">
        <v>33</v>
      </c>
      <c r="F2017" s="10">
        <v>2254</v>
      </c>
      <c r="G2017" s="10">
        <v>13239670</v>
      </c>
      <c r="H2017" s="11" cm="1">
        <f t="array" ref="H2017">F2017/G2017*100000</f>
        <v>17.0245935132824</v>
      </c>
    </row>
    <row r="2018" ht="13" customHeight="1">
      <c r="A2018" s="8">
        <v>6</v>
      </c>
      <c r="B2018" t="s" s="9">
        <v>30</v>
      </c>
      <c r="C2018" t="s" s="9">
        <v>70</v>
      </c>
      <c r="D2018" t="s" s="9">
        <v>44</v>
      </c>
      <c r="E2018" t="s" s="9">
        <v>33</v>
      </c>
      <c r="F2018" s="10">
        <v>2653</v>
      </c>
      <c r="G2018" s="10">
        <v>13239670</v>
      </c>
      <c r="H2018" s="11" cm="1">
        <f t="array" ref="H2018">F2018/G2018*100000</f>
        <v>20.038263793584</v>
      </c>
    </row>
    <row r="2019" ht="13" customHeight="1">
      <c r="A2019" s="8">
        <v>7</v>
      </c>
      <c r="B2019" t="s" s="9">
        <v>30</v>
      </c>
      <c r="C2019" t="s" s="9">
        <v>70</v>
      </c>
      <c r="D2019" t="s" s="9">
        <v>44</v>
      </c>
      <c r="E2019" t="s" s="9">
        <v>33</v>
      </c>
      <c r="F2019" s="10">
        <v>1905</v>
      </c>
      <c r="G2019" s="10">
        <v>13239670</v>
      </c>
      <c r="H2019" s="11" cm="1">
        <f t="array" ref="H2019">F2019/G2019*100000</f>
        <v>14.3885761503119</v>
      </c>
    </row>
    <row r="2020" ht="13" customHeight="1">
      <c r="A2020" s="8">
        <v>8</v>
      </c>
      <c r="B2020" t="s" s="9">
        <v>30</v>
      </c>
      <c r="C2020" t="s" s="9">
        <v>70</v>
      </c>
      <c r="D2020" t="s" s="9">
        <v>44</v>
      </c>
      <c r="E2020" t="s" s="9">
        <v>33</v>
      </c>
      <c r="F2020" s="10">
        <v>1834</v>
      </c>
      <c r="G2020" s="10">
        <v>13239670</v>
      </c>
      <c r="H2020" s="11" cm="1">
        <f t="array" ref="H2020">F2020/G2020*100000</f>
        <v>13.8523090077019</v>
      </c>
    </row>
    <row r="2021" ht="13" customHeight="1">
      <c r="A2021" s="8">
        <v>9</v>
      </c>
      <c r="B2021" t="s" s="9">
        <v>37</v>
      </c>
      <c r="C2021" t="s" s="9">
        <v>70</v>
      </c>
      <c r="D2021" t="s" s="9">
        <v>44</v>
      </c>
      <c r="E2021" t="s" s="9">
        <v>33</v>
      </c>
      <c r="F2021" s="10">
        <v>1341</v>
      </c>
      <c r="G2021" s="10">
        <v>13239670</v>
      </c>
      <c r="H2021" s="11" cm="1">
        <f t="array" ref="H2021">F2021/G2021*100000</f>
        <v>10.128651242818</v>
      </c>
    </row>
    <row r="2022" ht="13" customHeight="1">
      <c r="A2022" s="8">
        <v>10</v>
      </c>
      <c r="B2022" t="s" s="9">
        <v>30</v>
      </c>
      <c r="C2022" t="s" s="9">
        <v>70</v>
      </c>
      <c r="D2022" t="s" s="9">
        <v>44</v>
      </c>
      <c r="E2022" t="s" s="9">
        <v>33</v>
      </c>
      <c r="F2022" s="10">
        <v>1560</v>
      </c>
      <c r="G2022" s="10">
        <v>13239670</v>
      </c>
      <c r="H2022" s="11" cm="1">
        <f t="array" ref="H2022">F2022/G2022*100000</f>
        <v>11.7827710207279</v>
      </c>
    </row>
    <row r="2023" ht="13" customHeight="1">
      <c r="A2023" s="8">
        <v>1</v>
      </c>
      <c r="B2023" t="s" s="9">
        <v>30</v>
      </c>
      <c r="C2023" t="s" s="9">
        <v>70</v>
      </c>
      <c r="D2023" t="s" s="9">
        <v>46</v>
      </c>
      <c r="E2023" t="s" s="9">
        <v>33</v>
      </c>
      <c r="F2023" s="10">
        <v>10601</v>
      </c>
      <c r="G2023" s="10">
        <v>17477569</v>
      </c>
      <c r="H2023" s="11" cm="1">
        <f t="array" ref="H2023">F2023/G2023*100000</f>
        <v>60.6548885603026</v>
      </c>
    </row>
    <row r="2024" ht="13" customHeight="1">
      <c r="A2024" s="8">
        <v>2</v>
      </c>
      <c r="B2024" t="s" s="9">
        <v>35</v>
      </c>
      <c r="C2024" t="s" s="9">
        <v>70</v>
      </c>
      <c r="D2024" t="s" s="9">
        <v>46</v>
      </c>
      <c r="E2024" t="s" s="9">
        <v>33</v>
      </c>
      <c r="F2024" s="10">
        <v>4395</v>
      </c>
      <c r="G2024" s="10">
        <v>17477569</v>
      </c>
      <c r="H2024" s="11" cm="1">
        <f t="array" ref="H2024">F2024/G2024*100000</f>
        <v>25.1465178023328</v>
      </c>
    </row>
    <row r="2025" ht="13" customHeight="1">
      <c r="A2025" s="8">
        <v>3</v>
      </c>
      <c r="B2025" t="s" s="9">
        <v>30</v>
      </c>
      <c r="C2025" t="s" s="9">
        <v>70</v>
      </c>
      <c r="D2025" t="s" s="9">
        <v>46</v>
      </c>
      <c r="E2025" t="s" s="9">
        <v>33</v>
      </c>
      <c r="F2025" s="10">
        <v>4237</v>
      </c>
      <c r="G2025" s="10">
        <v>17477569</v>
      </c>
      <c r="H2025" s="11" cm="1">
        <f t="array" ref="H2025">F2025/G2025*100000</f>
        <v>24.2425019177438</v>
      </c>
    </row>
    <row r="2026" ht="13" customHeight="1">
      <c r="A2026" s="8">
        <v>4</v>
      </c>
      <c r="B2026" t="s" s="9">
        <v>34</v>
      </c>
      <c r="C2026" t="s" s="9">
        <v>70</v>
      </c>
      <c r="D2026" t="s" s="9">
        <v>46</v>
      </c>
      <c r="E2026" t="s" s="9">
        <v>33</v>
      </c>
      <c r="F2026" s="10">
        <v>2529</v>
      </c>
      <c r="G2026" s="10">
        <v>17477569</v>
      </c>
      <c r="H2026" s="11" cm="1">
        <f t="array" ref="H2026">F2026/G2026*100000</f>
        <v>14.4699757729465</v>
      </c>
    </row>
    <row r="2027" ht="13" customHeight="1">
      <c r="A2027" s="8">
        <v>5</v>
      </c>
      <c r="B2027" t="s" s="9">
        <v>30</v>
      </c>
      <c r="C2027" t="s" s="9">
        <v>70</v>
      </c>
      <c r="D2027" t="s" s="9">
        <v>46</v>
      </c>
      <c r="E2027" t="s" s="9">
        <v>33</v>
      </c>
      <c r="F2027" s="10">
        <v>2898</v>
      </c>
      <c r="G2027" s="10">
        <v>17477569</v>
      </c>
      <c r="H2027" s="11" cm="1">
        <f t="array" ref="H2027">F2027/G2027*100000</f>
        <v>16.5812533768283</v>
      </c>
    </row>
    <row r="2028" ht="13" customHeight="1">
      <c r="A2028" s="8">
        <v>6</v>
      </c>
      <c r="B2028" t="s" s="9">
        <v>41</v>
      </c>
      <c r="C2028" t="s" s="9">
        <v>70</v>
      </c>
      <c r="D2028" t="s" s="9">
        <v>46</v>
      </c>
      <c r="E2028" t="s" s="9">
        <v>33</v>
      </c>
      <c r="F2028" s="10">
        <v>2157</v>
      </c>
      <c r="G2028" s="10">
        <v>17477569</v>
      </c>
      <c r="H2028" s="11" cm="1">
        <f t="array" ref="H2028">F2028/G2028*100000</f>
        <v>12.3415333104964</v>
      </c>
    </row>
    <row r="2029" ht="13" customHeight="1">
      <c r="A2029" s="8">
        <v>7</v>
      </c>
      <c r="B2029" t="s" s="9">
        <v>39</v>
      </c>
      <c r="C2029" t="s" s="9">
        <v>70</v>
      </c>
      <c r="D2029" t="s" s="9">
        <v>46</v>
      </c>
      <c r="E2029" t="s" s="9">
        <v>33</v>
      </c>
      <c r="F2029" s="10">
        <v>1397</v>
      </c>
      <c r="G2029" s="10">
        <v>17477569</v>
      </c>
      <c r="H2029" s="11" cm="1">
        <f t="array" ref="H2029">F2029/G2029*100000</f>
        <v>7.99310247323298</v>
      </c>
    </row>
    <row r="2030" ht="13" customHeight="1">
      <c r="A2030" s="8">
        <v>8</v>
      </c>
      <c r="B2030" t="s" s="9">
        <v>45</v>
      </c>
      <c r="C2030" t="s" s="9">
        <v>70</v>
      </c>
      <c r="D2030" t="s" s="9">
        <v>46</v>
      </c>
      <c r="E2030" t="s" s="9">
        <v>33</v>
      </c>
      <c r="F2030" s="10">
        <v>1241</v>
      </c>
      <c r="G2030" s="10">
        <v>17477569</v>
      </c>
      <c r="H2030" s="11" cm="1">
        <f t="array" ref="H2030">F2030/G2030*100000</f>
        <v>7.10052982768942</v>
      </c>
    </row>
    <row r="2031" ht="13" customHeight="1">
      <c r="A2031" s="8">
        <v>9</v>
      </c>
      <c r="B2031" t="s" s="9">
        <v>37</v>
      </c>
      <c r="C2031" t="s" s="9">
        <v>70</v>
      </c>
      <c r="D2031" t="s" s="9">
        <v>46</v>
      </c>
      <c r="E2031" t="s" s="9">
        <v>33</v>
      </c>
      <c r="F2031" s="10">
        <v>776</v>
      </c>
      <c r="G2031" s="10">
        <v>17477569</v>
      </c>
      <c r="H2031" s="11" cm="1">
        <f t="array" ref="H2031">F2031/G2031*100000</f>
        <v>4.43997674962691</v>
      </c>
    </row>
    <row r="2032" ht="13" customHeight="1">
      <c r="A2032" s="8">
        <v>10</v>
      </c>
      <c r="B2032" t="s" s="9">
        <v>30</v>
      </c>
      <c r="C2032" t="s" s="9">
        <v>70</v>
      </c>
      <c r="D2032" t="s" s="9">
        <v>46</v>
      </c>
      <c r="E2032" t="s" s="9">
        <v>33</v>
      </c>
      <c r="F2032" s="10">
        <v>918</v>
      </c>
      <c r="G2032" s="10">
        <v>17477569</v>
      </c>
      <c r="H2032" s="11" cm="1">
        <f t="array" ref="H2032">F2032/G2032*100000</f>
        <v>5.25244672185245</v>
      </c>
    </row>
    <row r="2033" ht="13" customHeight="1">
      <c r="A2033" s="8">
        <v>1</v>
      </c>
      <c r="B2033" t="s" s="9">
        <v>30</v>
      </c>
      <c r="C2033" t="s" s="9">
        <v>70</v>
      </c>
      <c r="D2033" t="s" s="9">
        <v>47</v>
      </c>
      <c r="E2033" t="s" s="9">
        <v>33</v>
      </c>
      <c r="F2033" s="10">
        <v>3186</v>
      </c>
      <c r="G2033" s="10">
        <v>3342831</v>
      </c>
      <c r="H2033" s="11" cm="1">
        <f t="array" ref="H2033">F2033/G2033*100000</f>
        <v>95.30843766855099</v>
      </c>
    </row>
    <row r="2034" ht="13" customHeight="1">
      <c r="A2034" s="8">
        <v>2</v>
      </c>
      <c r="B2034" t="s" s="9">
        <v>35</v>
      </c>
      <c r="C2034" t="s" s="9">
        <v>70</v>
      </c>
      <c r="D2034" t="s" s="9">
        <v>47</v>
      </c>
      <c r="E2034" t="s" s="9">
        <v>33</v>
      </c>
      <c r="F2034" s="10">
        <v>2156</v>
      </c>
      <c r="G2034" s="10">
        <v>3342831</v>
      </c>
      <c r="H2034" s="11" cm="1">
        <f t="array" ref="H2034">F2034/G2034*100000</f>
        <v>64.49623088932699</v>
      </c>
    </row>
    <row r="2035" ht="13" customHeight="1">
      <c r="A2035" s="8">
        <v>3</v>
      </c>
      <c r="B2035" t="s" s="9">
        <v>34</v>
      </c>
      <c r="C2035" t="s" s="9">
        <v>70</v>
      </c>
      <c r="D2035" t="s" s="9">
        <v>47</v>
      </c>
      <c r="E2035" t="s" s="9">
        <v>33</v>
      </c>
      <c r="F2035" s="10">
        <v>442</v>
      </c>
      <c r="G2035" s="10">
        <v>3342831</v>
      </c>
      <c r="H2035" s="11" cm="1">
        <f t="array" ref="H2035">F2035/G2035*100000</f>
        <v>13.2223256275893</v>
      </c>
    </row>
    <row r="2036" ht="13" customHeight="1">
      <c r="A2036" s="8">
        <v>4</v>
      </c>
      <c r="B2036" t="s" s="9">
        <v>45</v>
      </c>
      <c r="C2036" t="s" s="9">
        <v>70</v>
      </c>
      <c r="D2036" t="s" s="9">
        <v>47</v>
      </c>
      <c r="E2036" t="s" s="9">
        <v>33</v>
      </c>
      <c r="F2036" s="10">
        <v>444</v>
      </c>
      <c r="G2036" s="10">
        <v>3342831</v>
      </c>
      <c r="H2036" s="11" cm="1">
        <f t="array" ref="H2036">F2036/G2036*100000</f>
        <v>13.282155155316</v>
      </c>
    </row>
    <row r="2037" ht="13" customHeight="1">
      <c r="A2037" s="8">
        <v>5</v>
      </c>
      <c r="B2037" t="s" s="9">
        <v>39</v>
      </c>
      <c r="C2037" t="s" s="9">
        <v>70</v>
      </c>
      <c r="D2037" t="s" s="9">
        <v>47</v>
      </c>
      <c r="E2037" t="s" s="9">
        <v>33</v>
      </c>
      <c r="F2037" s="10">
        <v>269</v>
      </c>
      <c r="G2037" s="10">
        <v>3342831</v>
      </c>
      <c r="H2037" s="11" cm="1">
        <f t="array" ref="H2037">F2037/G2037*100000</f>
        <v>8.047071479234219</v>
      </c>
    </row>
    <row r="2038" ht="13" customHeight="1">
      <c r="A2038" s="8">
        <v>6</v>
      </c>
      <c r="B2038" t="s" s="9">
        <v>30</v>
      </c>
      <c r="C2038" t="s" s="9">
        <v>70</v>
      </c>
      <c r="D2038" t="s" s="9">
        <v>47</v>
      </c>
      <c r="E2038" t="s" s="9">
        <v>33</v>
      </c>
      <c r="F2038" s="10">
        <v>360</v>
      </c>
      <c r="G2038" s="10">
        <v>3342831</v>
      </c>
      <c r="H2038" s="11" cm="1">
        <f t="array" ref="H2038">F2038/G2038*100000</f>
        <v>10.7693149907967</v>
      </c>
    </row>
    <row r="2039" ht="13" customHeight="1">
      <c r="A2039" s="8">
        <v>7</v>
      </c>
      <c r="B2039" t="s" s="9">
        <v>30</v>
      </c>
      <c r="C2039" t="s" s="9">
        <v>70</v>
      </c>
      <c r="D2039" t="s" s="9">
        <v>47</v>
      </c>
      <c r="E2039" t="s" s="9">
        <v>33</v>
      </c>
      <c r="F2039" s="10">
        <v>336</v>
      </c>
      <c r="G2039" s="10">
        <v>3342831</v>
      </c>
      <c r="H2039" s="11" cm="1">
        <f t="array" ref="H2039">F2039/G2039*100000</f>
        <v>10.0513606580769</v>
      </c>
    </row>
    <row r="2040" ht="13" customHeight="1">
      <c r="A2040" s="8">
        <v>8</v>
      </c>
      <c r="B2040" t="s" s="9">
        <v>30</v>
      </c>
      <c r="C2040" t="s" s="9">
        <v>70</v>
      </c>
      <c r="D2040" t="s" s="9">
        <v>47</v>
      </c>
      <c r="E2040" t="s" s="9">
        <v>33</v>
      </c>
      <c r="F2040" s="10">
        <v>333</v>
      </c>
      <c r="G2040" s="10">
        <v>3342831</v>
      </c>
      <c r="H2040" s="11" cm="1">
        <f t="array" ref="H2040">F2040/G2040*100000</f>
        <v>9.96161636648697</v>
      </c>
    </row>
    <row r="2041" ht="13" customHeight="1">
      <c r="A2041" s="8">
        <v>9</v>
      </c>
      <c r="B2041" t="s" s="9">
        <v>35</v>
      </c>
      <c r="C2041" t="s" s="9">
        <v>70</v>
      </c>
      <c r="D2041" t="s" s="9">
        <v>47</v>
      </c>
      <c r="E2041" t="s" s="9">
        <v>33</v>
      </c>
      <c r="F2041" s="10">
        <v>336</v>
      </c>
      <c r="G2041" s="10">
        <v>3342831</v>
      </c>
      <c r="H2041" s="11" cm="1">
        <f t="array" ref="H2041">F2041/G2041*100000</f>
        <v>10.0513606580769</v>
      </c>
    </row>
    <row r="2042" ht="13" customHeight="1">
      <c r="A2042" s="8">
        <v>10</v>
      </c>
      <c r="B2042" t="s" s="9">
        <v>41</v>
      </c>
      <c r="C2042" t="s" s="9">
        <v>70</v>
      </c>
      <c r="D2042" t="s" s="9">
        <v>47</v>
      </c>
      <c r="E2042" t="s" s="9">
        <v>33</v>
      </c>
      <c r="F2042" s="10">
        <v>194</v>
      </c>
      <c r="G2042" s="10">
        <v>3342831</v>
      </c>
      <c r="H2042" s="11" cm="1">
        <f t="array" ref="H2042">F2042/G2042*100000</f>
        <v>5.8034641894849</v>
      </c>
    </row>
    <row r="2043" ht="13" customHeight="1">
      <c r="A2043" s="8">
        <v>1</v>
      </c>
      <c r="B2043" t="s" s="9">
        <v>30</v>
      </c>
      <c r="C2043" t="s" s="9">
        <v>70</v>
      </c>
      <c r="D2043" t="s" s="9">
        <v>49</v>
      </c>
      <c r="E2043" t="s" s="9">
        <v>33</v>
      </c>
      <c r="F2043" s="10">
        <v>5385</v>
      </c>
      <c r="G2043" s="10">
        <v>6397690</v>
      </c>
      <c r="H2043" s="11" cm="1">
        <f t="array" ref="H2043">F2043/G2043*100000</f>
        <v>84.1710054722877</v>
      </c>
    </row>
    <row r="2044" ht="13" customHeight="1">
      <c r="A2044" s="8">
        <v>2</v>
      </c>
      <c r="B2044" t="s" s="9">
        <v>34</v>
      </c>
      <c r="C2044" t="s" s="9">
        <v>70</v>
      </c>
      <c r="D2044" t="s" s="9">
        <v>49</v>
      </c>
      <c r="E2044" t="s" s="9">
        <v>33</v>
      </c>
      <c r="F2044" s="10">
        <v>2126</v>
      </c>
      <c r="G2044" s="10">
        <v>6397690</v>
      </c>
      <c r="H2044" s="11" cm="1">
        <f t="array" ref="H2044">F2044/G2044*100000</f>
        <v>33.2307442217425</v>
      </c>
    </row>
    <row r="2045" ht="13" customHeight="1">
      <c r="A2045" s="8">
        <v>3</v>
      </c>
      <c r="B2045" t="s" s="9">
        <v>35</v>
      </c>
      <c r="C2045" t="s" s="9">
        <v>70</v>
      </c>
      <c r="D2045" t="s" s="9">
        <v>49</v>
      </c>
      <c r="E2045" t="s" s="9">
        <v>33</v>
      </c>
      <c r="F2045" s="10">
        <v>1531</v>
      </c>
      <c r="G2045" s="10">
        <v>6397690</v>
      </c>
      <c r="H2045" s="11" cm="1">
        <f t="array" ref="H2045">F2045/G2045*100000</f>
        <v>23.9305124193264</v>
      </c>
    </row>
    <row r="2046" ht="13" customHeight="1">
      <c r="A2046" s="8">
        <v>4</v>
      </c>
      <c r="B2046" t="s" s="9">
        <v>39</v>
      </c>
      <c r="C2046" t="s" s="9">
        <v>70</v>
      </c>
      <c r="D2046" t="s" s="9">
        <v>49</v>
      </c>
      <c r="E2046" t="s" s="9">
        <v>33</v>
      </c>
      <c r="F2046" s="10">
        <v>497</v>
      </c>
      <c r="G2046" s="10">
        <v>6397690</v>
      </c>
      <c r="H2046" s="11" cm="1">
        <f t="array" ref="H2046">F2046/G2046*100000</f>
        <v>7.76842891731234</v>
      </c>
    </row>
    <row r="2047" ht="13" customHeight="1">
      <c r="A2047" s="8">
        <v>5</v>
      </c>
      <c r="B2047" t="s" s="9">
        <v>30</v>
      </c>
      <c r="C2047" t="s" s="9">
        <v>70</v>
      </c>
      <c r="D2047" t="s" s="9">
        <v>49</v>
      </c>
      <c r="E2047" t="s" s="9">
        <v>33</v>
      </c>
      <c r="F2047" s="10">
        <v>653</v>
      </c>
      <c r="G2047" s="10">
        <v>6397690</v>
      </c>
      <c r="H2047" s="11" cm="1">
        <f t="array" ref="H2047">F2047/G2047*100000</f>
        <v>10.2068090201307</v>
      </c>
    </row>
    <row r="2048" ht="13" customHeight="1">
      <c r="A2048" s="8">
        <v>6</v>
      </c>
      <c r="B2048" t="s" s="9">
        <v>35</v>
      </c>
      <c r="C2048" t="s" s="9">
        <v>70</v>
      </c>
      <c r="D2048" t="s" s="9">
        <v>49</v>
      </c>
      <c r="E2048" t="s" s="9">
        <v>33</v>
      </c>
      <c r="F2048" s="10">
        <v>857</v>
      </c>
      <c r="G2048" s="10">
        <v>6397690</v>
      </c>
      <c r="H2048" s="11" cm="1">
        <f t="array" ref="H2048">F2048/G2048*100000</f>
        <v>13.3954599238163</v>
      </c>
    </row>
    <row r="2049" ht="13" customHeight="1">
      <c r="A2049" s="8">
        <v>7</v>
      </c>
      <c r="B2049" t="s" s="9">
        <v>30</v>
      </c>
      <c r="C2049" t="s" s="9">
        <v>70</v>
      </c>
      <c r="D2049" t="s" s="9">
        <v>49</v>
      </c>
      <c r="E2049" t="s" s="9">
        <v>33</v>
      </c>
      <c r="F2049" s="10">
        <v>710</v>
      </c>
      <c r="G2049" s="10">
        <v>6397690</v>
      </c>
      <c r="H2049" s="11" cm="1">
        <f t="array" ref="H2049">F2049/G2049*100000</f>
        <v>11.0977555961605</v>
      </c>
    </row>
    <row r="2050" ht="13" customHeight="1">
      <c r="A2050" s="8">
        <v>8</v>
      </c>
      <c r="B2050" t="s" s="9">
        <v>41</v>
      </c>
      <c r="C2050" t="s" s="9">
        <v>70</v>
      </c>
      <c r="D2050" t="s" s="9">
        <v>49</v>
      </c>
      <c r="E2050" t="s" s="9">
        <v>33</v>
      </c>
      <c r="F2050" s="10">
        <v>572</v>
      </c>
      <c r="G2050" s="10">
        <v>6397690</v>
      </c>
      <c r="H2050" s="11" cm="1">
        <f t="array" ref="H2050">F2050/G2050*100000</f>
        <v>8.940727043667319</v>
      </c>
    </row>
    <row r="2051" ht="13" customHeight="1">
      <c r="A2051" s="8">
        <v>9</v>
      </c>
      <c r="B2051" t="s" s="9">
        <v>30</v>
      </c>
      <c r="C2051" t="s" s="9">
        <v>70</v>
      </c>
      <c r="D2051" t="s" s="9">
        <v>49</v>
      </c>
      <c r="E2051" t="s" s="9">
        <v>33</v>
      </c>
      <c r="F2051" s="10">
        <v>583</v>
      </c>
      <c r="G2051" s="10">
        <v>6397690</v>
      </c>
      <c r="H2051" s="11" cm="1">
        <f t="array" ref="H2051">F2051/G2051*100000</f>
        <v>9.112664102199391</v>
      </c>
    </row>
    <row r="2052" ht="13" customHeight="1">
      <c r="A2052" s="8">
        <v>10</v>
      </c>
      <c r="B2052" t="s" s="9">
        <v>36</v>
      </c>
      <c r="C2052" t="s" s="9">
        <v>70</v>
      </c>
      <c r="D2052" t="s" s="9">
        <v>49</v>
      </c>
      <c r="E2052" t="s" s="9">
        <v>33</v>
      </c>
      <c r="F2052" s="10">
        <v>660</v>
      </c>
      <c r="G2052" s="10">
        <v>6397690</v>
      </c>
      <c r="H2052" s="11" cm="1">
        <f t="array" ref="H2052">F2052/G2052*100000</f>
        <v>10.3162235119238</v>
      </c>
    </row>
    <row r="2053" ht="13.65" customHeight="1">
      <c r="A2053" s="8">
        <v>1</v>
      </c>
      <c r="B2053" t="s" s="9">
        <v>30</v>
      </c>
      <c r="C2053" t="s" s="9">
        <v>70</v>
      </c>
      <c r="D2053" t="s" s="9">
        <v>51</v>
      </c>
      <c r="E2053" t="s" s="9">
        <v>33</v>
      </c>
      <c r="F2053" s="10">
        <v>2871</v>
      </c>
      <c r="G2053" s="12"/>
      <c r="H2053" s="13"/>
    </row>
    <row r="2054" ht="13.65" customHeight="1">
      <c r="A2054" s="8">
        <v>2</v>
      </c>
      <c r="B2054" t="s" s="9">
        <v>34</v>
      </c>
      <c r="C2054" t="s" s="9">
        <v>70</v>
      </c>
      <c r="D2054" t="s" s="9">
        <v>51</v>
      </c>
      <c r="E2054" t="s" s="9">
        <v>33</v>
      </c>
      <c r="F2054" s="10">
        <v>1289</v>
      </c>
      <c r="G2054" s="14"/>
      <c r="H2054" s="15"/>
    </row>
    <row r="2055" ht="13.65" customHeight="1">
      <c r="A2055" s="8">
        <v>3</v>
      </c>
      <c r="B2055" t="s" s="9">
        <v>30</v>
      </c>
      <c r="C2055" t="s" s="9">
        <v>70</v>
      </c>
      <c r="D2055" t="s" s="9">
        <v>51</v>
      </c>
      <c r="E2055" t="s" s="9">
        <v>33</v>
      </c>
      <c r="F2055" s="10">
        <v>985</v>
      </c>
      <c r="G2055" s="14"/>
      <c r="H2055" s="15"/>
    </row>
    <row r="2056" ht="13.65" customHeight="1">
      <c r="A2056" s="8">
        <v>4</v>
      </c>
      <c r="B2056" t="s" s="9">
        <v>35</v>
      </c>
      <c r="C2056" t="s" s="9">
        <v>70</v>
      </c>
      <c r="D2056" t="s" s="9">
        <v>51</v>
      </c>
      <c r="E2056" t="s" s="9">
        <v>33</v>
      </c>
      <c r="F2056" s="10">
        <v>898</v>
      </c>
      <c r="G2056" s="14"/>
      <c r="H2056" s="15"/>
    </row>
    <row r="2057" ht="13.65" customHeight="1">
      <c r="A2057" s="8">
        <v>5</v>
      </c>
      <c r="B2057" t="s" s="9">
        <v>30</v>
      </c>
      <c r="C2057" t="s" s="9">
        <v>70</v>
      </c>
      <c r="D2057" t="s" s="9">
        <v>51</v>
      </c>
      <c r="E2057" t="s" s="9">
        <v>33</v>
      </c>
      <c r="F2057" s="10">
        <v>592</v>
      </c>
      <c r="G2057" s="14"/>
      <c r="H2057" s="15"/>
    </row>
    <row r="2058" ht="13.65" customHeight="1">
      <c r="A2058" s="8">
        <v>6</v>
      </c>
      <c r="B2058" t="s" s="9">
        <v>35</v>
      </c>
      <c r="C2058" t="s" s="9">
        <v>70</v>
      </c>
      <c r="D2058" t="s" s="9">
        <v>51</v>
      </c>
      <c r="E2058" t="s" s="9">
        <v>33</v>
      </c>
      <c r="F2058" s="10">
        <v>567</v>
      </c>
      <c r="G2058" s="14"/>
      <c r="H2058" s="15"/>
    </row>
    <row r="2059" ht="13.65" customHeight="1">
      <c r="A2059" s="8">
        <v>7</v>
      </c>
      <c r="B2059" t="s" s="9">
        <v>41</v>
      </c>
      <c r="C2059" t="s" s="9">
        <v>70</v>
      </c>
      <c r="D2059" t="s" s="9">
        <v>51</v>
      </c>
      <c r="E2059" t="s" s="9">
        <v>33</v>
      </c>
      <c r="F2059" s="10">
        <v>297</v>
      </c>
      <c r="G2059" s="14"/>
      <c r="H2059" s="15"/>
    </row>
    <row r="2060" ht="13.65" customHeight="1">
      <c r="A2060" s="8">
        <v>8</v>
      </c>
      <c r="B2060" t="s" s="9">
        <v>37</v>
      </c>
      <c r="C2060" t="s" s="9">
        <v>70</v>
      </c>
      <c r="D2060" t="s" s="9">
        <v>51</v>
      </c>
      <c r="E2060" t="s" s="9">
        <v>33</v>
      </c>
      <c r="F2060" s="10">
        <v>277</v>
      </c>
      <c r="G2060" s="14"/>
      <c r="H2060" s="15"/>
    </row>
    <row r="2061" ht="13.65" customHeight="1">
      <c r="A2061" s="8">
        <v>9</v>
      </c>
      <c r="B2061" t="s" s="9">
        <v>39</v>
      </c>
      <c r="C2061" t="s" s="9">
        <v>70</v>
      </c>
      <c r="D2061" t="s" s="9">
        <v>51</v>
      </c>
      <c r="E2061" t="s" s="9">
        <v>33</v>
      </c>
      <c r="F2061" s="10">
        <v>190</v>
      </c>
      <c r="G2061" s="14"/>
      <c r="H2061" s="15"/>
    </row>
    <row r="2062" ht="13.65" customHeight="1">
      <c r="A2062" s="8">
        <v>10</v>
      </c>
      <c r="B2062" t="s" s="9">
        <v>41</v>
      </c>
      <c r="C2062" t="s" s="9">
        <v>70</v>
      </c>
      <c r="D2062" t="s" s="9">
        <v>51</v>
      </c>
      <c r="E2062" t="s" s="9">
        <v>33</v>
      </c>
      <c r="F2062" s="10">
        <v>193</v>
      </c>
      <c r="G2062" s="14"/>
      <c r="H2062" s="15"/>
    </row>
    <row r="2063" ht="13.65" customHeight="1">
      <c r="A2063" s="8">
        <v>1</v>
      </c>
      <c r="B2063" t="s" s="9">
        <v>35</v>
      </c>
      <c r="C2063" t="s" s="9">
        <v>70</v>
      </c>
      <c r="D2063" t="s" s="9">
        <v>52</v>
      </c>
      <c r="E2063" t="s" s="9">
        <v>33</v>
      </c>
      <c r="F2063" s="10">
        <v>5199</v>
      </c>
      <c r="G2063" s="14"/>
      <c r="H2063" s="15"/>
    </row>
    <row r="2064" ht="13.65" customHeight="1">
      <c r="A2064" s="8">
        <v>2</v>
      </c>
      <c r="B2064" t="s" s="9">
        <v>30</v>
      </c>
      <c r="C2064" t="s" s="9">
        <v>70</v>
      </c>
      <c r="D2064" t="s" s="9">
        <v>52</v>
      </c>
      <c r="E2064" t="s" s="9">
        <v>33</v>
      </c>
      <c r="F2064" s="10">
        <v>3762</v>
      </c>
      <c r="G2064" s="14"/>
      <c r="H2064" s="15"/>
    </row>
    <row r="2065" ht="13.65" customHeight="1">
      <c r="A2065" s="8">
        <v>3</v>
      </c>
      <c r="B2065" t="s" s="9">
        <v>30</v>
      </c>
      <c r="C2065" t="s" s="9">
        <v>70</v>
      </c>
      <c r="D2065" t="s" s="9">
        <v>52</v>
      </c>
      <c r="E2065" t="s" s="9">
        <v>33</v>
      </c>
      <c r="F2065" s="10">
        <v>1782</v>
      </c>
      <c r="G2065" s="14"/>
      <c r="H2065" s="15"/>
    </row>
    <row r="2066" ht="13.65" customHeight="1">
      <c r="A2066" s="8">
        <v>4</v>
      </c>
      <c r="B2066" t="s" s="9">
        <v>34</v>
      </c>
      <c r="C2066" t="s" s="9">
        <v>70</v>
      </c>
      <c r="D2066" t="s" s="9">
        <v>52</v>
      </c>
      <c r="E2066" t="s" s="9">
        <v>33</v>
      </c>
      <c r="F2066" s="10">
        <v>1050</v>
      </c>
      <c r="G2066" s="14"/>
      <c r="H2066" s="15"/>
    </row>
    <row r="2067" ht="13.65" customHeight="1">
      <c r="A2067" s="8">
        <v>5</v>
      </c>
      <c r="B2067" t="s" s="9">
        <v>39</v>
      </c>
      <c r="C2067" t="s" s="9">
        <v>70</v>
      </c>
      <c r="D2067" t="s" s="9">
        <v>52</v>
      </c>
      <c r="E2067" t="s" s="9">
        <v>33</v>
      </c>
      <c r="F2067" s="10">
        <v>613</v>
      </c>
      <c r="G2067" s="14"/>
      <c r="H2067" s="15"/>
    </row>
    <row r="2068" ht="13.65" customHeight="1">
      <c r="A2068" s="8">
        <v>6</v>
      </c>
      <c r="B2068" t="s" s="9">
        <v>35</v>
      </c>
      <c r="C2068" t="s" s="9">
        <v>70</v>
      </c>
      <c r="D2068" t="s" s="9">
        <v>52</v>
      </c>
      <c r="E2068" t="s" s="9">
        <v>33</v>
      </c>
      <c r="F2068" s="10">
        <v>809</v>
      </c>
      <c r="G2068" s="14"/>
      <c r="H2068" s="15"/>
    </row>
    <row r="2069" ht="13.65" customHeight="1">
      <c r="A2069" s="8">
        <v>7</v>
      </c>
      <c r="B2069" t="s" s="9">
        <v>30</v>
      </c>
      <c r="C2069" t="s" s="9">
        <v>70</v>
      </c>
      <c r="D2069" t="s" s="9">
        <v>52</v>
      </c>
      <c r="E2069" t="s" s="9">
        <v>33</v>
      </c>
      <c r="F2069" s="10">
        <v>549</v>
      </c>
      <c r="G2069" s="14"/>
      <c r="H2069" s="15"/>
    </row>
    <row r="2070" ht="13.65" customHeight="1">
      <c r="A2070" s="8">
        <v>8</v>
      </c>
      <c r="B2070" t="s" s="9">
        <v>36</v>
      </c>
      <c r="C2070" t="s" s="9">
        <v>70</v>
      </c>
      <c r="D2070" t="s" s="9">
        <v>52</v>
      </c>
      <c r="E2070" t="s" s="9">
        <v>33</v>
      </c>
      <c r="F2070" s="10">
        <v>543</v>
      </c>
      <c r="G2070" s="14"/>
      <c r="H2070" s="15"/>
    </row>
    <row r="2071" ht="13.65" customHeight="1">
      <c r="A2071" s="8">
        <v>9</v>
      </c>
      <c r="B2071" t="s" s="9">
        <v>45</v>
      </c>
      <c r="C2071" t="s" s="9">
        <v>70</v>
      </c>
      <c r="D2071" t="s" s="9">
        <v>52</v>
      </c>
      <c r="E2071" t="s" s="9">
        <v>33</v>
      </c>
      <c r="F2071" s="10">
        <v>501</v>
      </c>
      <c r="G2071" s="14"/>
      <c r="H2071" s="15"/>
    </row>
    <row r="2072" ht="13.65" customHeight="1">
      <c r="A2072" s="8">
        <v>10</v>
      </c>
      <c r="B2072" t="s" s="9">
        <v>45</v>
      </c>
      <c r="C2072" t="s" s="9">
        <v>70</v>
      </c>
      <c r="D2072" t="s" s="9">
        <v>52</v>
      </c>
      <c r="E2072" t="s" s="9">
        <v>33</v>
      </c>
      <c r="F2072" s="10">
        <v>472</v>
      </c>
      <c r="G2072" s="16"/>
      <c r="H2072" s="17"/>
    </row>
    <row r="2073" ht="13" customHeight="1">
      <c r="A2073" s="8">
        <v>1</v>
      </c>
      <c r="B2073" t="s" s="9">
        <v>30</v>
      </c>
      <c r="C2073" t="s" s="9">
        <v>70</v>
      </c>
      <c r="D2073" t="s" s="9">
        <v>53</v>
      </c>
      <c r="E2073" t="s" s="9">
        <v>33</v>
      </c>
      <c r="F2073" s="10">
        <v>3736</v>
      </c>
      <c r="G2073" s="10">
        <v>5049226</v>
      </c>
      <c r="H2073" s="11" cm="1">
        <f t="array" ref="H2073">F2073/G2073*100000</f>
        <v>73.9915385051095</v>
      </c>
    </row>
    <row r="2074" ht="13" customHeight="1">
      <c r="A2074" s="8">
        <v>2</v>
      </c>
      <c r="B2074" t="s" s="9">
        <v>34</v>
      </c>
      <c r="C2074" t="s" s="9">
        <v>70</v>
      </c>
      <c r="D2074" t="s" s="9">
        <v>53</v>
      </c>
      <c r="E2074" t="s" s="9">
        <v>33</v>
      </c>
      <c r="F2074" s="10">
        <v>1747</v>
      </c>
      <c r="G2074" s="10">
        <v>5049226</v>
      </c>
      <c r="H2074" s="11" cm="1">
        <f t="array" ref="H2074">F2074/G2074*100000</f>
        <v>34.5993623577158</v>
      </c>
    </row>
    <row r="2075" ht="13" customHeight="1">
      <c r="A2075" s="8">
        <v>3</v>
      </c>
      <c r="B2075" t="s" s="9">
        <v>35</v>
      </c>
      <c r="C2075" t="s" s="9">
        <v>70</v>
      </c>
      <c r="D2075" t="s" s="9">
        <v>53</v>
      </c>
      <c r="E2075" t="s" s="9">
        <v>33</v>
      </c>
      <c r="F2075" s="10">
        <v>1759</v>
      </c>
      <c r="G2075" s="10">
        <v>5049226</v>
      </c>
      <c r="H2075" s="11" cm="1">
        <f t="array" ref="H2075">F2075/G2075*100000</f>
        <v>34.8370225456337</v>
      </c>
    </row>
    <row r="2076" ht="13" customHeight="1">
      <c r="A2076" s="8">
        <v>4</v>
      </c>
      <c r="B2076" t="s" s="9">
        <v>30</v>
      </c>
      <c r="C2076" t="s" s="9">
        <v>70</v>
      </c>
      <c r="D2076" t="s" s="9">
        <v>53</v>
      </c>
      <c r="E2076" t="s" s="9">
        <v>33</v>
      </c>
      <c r="F2076" s="10">
        <v>1718</v>
      </c>
      <c r="G2076" s="10">
        <v>5049226</v>
      </c>
      <c r="H2076" s="11" cm="1">
        <f t="array" ref="H2076">F2076/G2076*100000</f>
        <v>34.0250169035809</v>
      </c>
    </row>
    <row r="2077" ht="13" customHeight="1">
      <c r="A2077" s="8">
        <v>5</v>
      </c>
      <c r="B2077" t="s" s="9">
        <v>30</v>
      </c>
      <c r="C2077" t="s" s="9">
        <v>70</v>
      </c>
      <c r="D2077" t="s" s="9">
        <v>53</v>
      </c>
      <c r="E2077" t="s" s="9">
        <v>33</v>
      </c>
      <c r="F2077" s="10">
        <v>987</v>
      </c>
      <c r="G2077" s="10">
        <v>5049226</v>
      </c>
      <c r="H2077" s="11" cm="1">
        <f t="array" ref="H2077">F2077/G2077*100000</f>
        <v>19.5475504562481</v>
      </c>
    </row>
    <row r="2078" ht="13" customHeight="1">
      <c r="A2078" s="8">
        <v>6</v>
      </c>
      <c r="B2078" t="s" s="9">
        <v>39</v>
      </c>
      <c r="C2078" t="s" s="9">
        <v>70</v>
      </c>
      <c r="D2078" t="s" s="9">
        <v>53</v>
      </c>
      <c r="E2078" t="s" s="9">
        <v>33</v>
      </c>
      <c r="F2078" s="10">
        <v>472</v>
      </c>
      <c r="G2078" s="10">
        <v>5049226</v>
      </c>
      <c r="H2078" s="11" cm="1">
        <f t="array" ref="H2078">F2078/G2078*100000</f>
        <v>9.34796739143782</v>
      </c>
    </row>
    <row r="2079" ht="13" customHeight="1">
      <c r="A2079" s="8">
        <v>7</v>
      </c>
      <c r="B2079" t="s" s="9">
        <v>36</v>
      </c>
      <c r="C2079" t="s" s="9">
        <v>70</v>
      </c>
      <c r="D2079" t="s" s="9">
        <v>53</v>
      </c>
      <c r="E2079" t="s" s="9">
        <v>33</v>
      </c>
      <c r="F2079" s="10">
        <v>516</v>
      </c>
      <c r="G2079" s="10">
        <v>5049226</v>
      </c>
      <c r="H2079" s="11" cm="1">
        <f t="array" ref="H2079">F2079/G2079*100000</f>
        <v>10.2193880804702</v>
      </c>
    </row>
    <row r="2080" ht="13" customHeight="1">
      <c r="A2080" s="8">
        <v>8</v>
      </c>
      <c r="B2080" t="s" s="9">
        <v>35</v>
      </c>
      <c r="C2080" t="s" s="9">
        <v>70</v>
      </c>
      <c r="D2080" t="s" s="9">
        <v>53</v>
      </c>
      <c r="E2080" t="s" s="9">
        <v>33</v>
      </c>
      <c r="F2080" s="10">
        <v>612</v>
      </c>
      <c r="G2080" s="10">
        <v>5049226</v>
      </c>
      <c r="H2080" s="11" cm="1">
        <f t="array" ref="H2080">F2080/G2080*100000</f>
        <v>12.1206695838134</v>
      </c>
    </row>
    <row r="2081" ht="13" customHeight="1">
      <c r="A2081" s="8">
        <v>9</v>
      </c>
      <c r="B2081" t="s" s="9">
        <v>41</v>
      </c>
      <c r="C2081" t="s" s="9">
        <v>70</v>
      </c>
      <c r="D2081" t="s" s="9">
        <v>53</v>
      </c>
      <c r="E2081" t="s" s="9">
        <v>33</v>
      </c>
      <c r="F2081" s="10">
        <v>392</v>
      </c>
      <c r="G2081" s="10">
        <v>5049226</v>
      </c>
      <c r="H2081" s="11" cm="1">
        <f t="array" ref="H2081">F2081/G2081*100000</f>
        <v>7.76356613865175</v>
      </c>
    </row>
    <row r="2082" ht="13" customHeight="1">
      <c r="A2082" s="8">
        <v>10</v>
      </c>
      <c r="B2082" t="s" s="9">
        <v>30</v>
      </c>
      <c r="C2082" t="s" s="9">
        <v>70</v>
      </c>
      <c r="D2082" t="s" s="9">
        <v>53</v>
      </c>
      <c r="E2082" t="s" s="9">
        <v>33</v>
      </c>
      <c r="F2082" s="10">
        <v>398</v>
      </c>
      <c r="G2082" s="10">
        <v>5049226</v>
      </c>
      <c r="H2082" s="11" cm="1">
        <f t="array" ref="H2082">F2082/G2082*100000</f>
        <v>7.8823962326107</v>
      </c>
    </row>
    <row r="2083" ht="13" customHeight="1">
      <c r="A2083" s="8">
        <v>1</v>
      </c>
      <c r="B2083" t="s" s="9">
        <v>30</v>
      </c>
      <c r="C2083" t="s" s="9">
        <v>70</v>
      </c>
      <c r="D2083" t="s" s="9">
        <v>54</v>
      </c>
      <c r="E2083" t="s" s="9">
        <v>33</v>
      </c>
      <c r="F2083" s="10">
        <v>1521</v>
      </c>
      <c r="G2083" s="10">
        <v>3901529</v>
      </c>
      <c r="H2083" s="11" cm="1">
        <f t="array" ref="H2083">F2083/G2083*100000</f>
        <v>38.9847159921149</v>
      </c>
    </row>
    <row r="2084" ht="13" customHeight="1">
      <c r="A2084" s="8">
        <v>2</v>
      </c>
      <c r="B2084" t="s" s="9">
        <v>35</v>
      </c>
      <c r="C2084" t="s" s="9">
        <v>70</v>
      </c>
      <c r="D2084" t="s" s="9">
        <v>54</v>
      </c>
      <c r="E2084" t="s" s="9">
        <v>33</v>
      </c>
      <c r="F2084" s="10">
        <v>791</v>
      </c>
      <c r="G2084" s="10">
        <v>3901529</v>
      </c>
      <c r="H2084" s="11" cm="1">
        <f t="array" ref="H2084">F2084/G2084*100000</f>
        <v>20.2741027940584</v>
      </c>
    </row>
    <row r="2085" ht="13" customHeight="1">
      <c r="A2085" s="8">
        <v>3</v>
      </c>
      <c r="B2085" t="s" s="9">
        <v>30</v>
      </c>
      <c r="C2085" t="s" s="9">
        <v>70</v>
      </c>
      <c r="D2085" t="s" s="9">
        <v>54</v>
      </c>
      <c r="E2085" t="s" s="9">
        <v>33</v>
      </c>
      <c r="F2085" s="10">
        <v>466</v>
      </c>
      <c r="G2085" s="10">
        <v>3901529</v>
      </c>
      <c r="H2085" s="11" cm="1">
        <f t="array" ref="H2085">F2085/G2085*100000</f>
        <v>11.9440352743758</v>
      </c>
    </row>
    <row r="2086" ht="13" customHeight="1">
      <c r="A2086" s="8">
        <v>4</v>
      </c>
      <c r="B2086" t="s" s="9">
        <v>34</v>
      </c>
      <c r="C2086" t="s" s="9">
        <v>70</v>
      </c>
      <c r="D2086" t="s" s="9">
        <v>54</v>
      </c>
      <c r="E2086" t="s" s="9">
        <v>33</v>
      </c>
      <c r="F2086" s="10">
        <v>357</v>
      </c>
      <c r="G2086" s="10">
        <v>3901529</v>
      </c>
      <c r="H2086" s="11" cm="1">
        <f t="array" ref="H2086">F2086/G2086*100000</f>
        <v>9.150258783159121</v>
      </c>
    </row>
    <row r="2087" ht="13" customHeight="1">
      <c r="A2087" s="8">
        <v>5</v>
      </c>
      <c r="B2087" t="s" s="9">
        <v>41</v>
      </c>
      <c r="C2087" t="s" s="9">
        <v>70</v>
      </c>
      <c r="D2087" t="s" s="9">
        <v>54</v>
      </c>
      <c r="E2087" t="s" s="9">
        <v>33</v>
      </c>
      <c r="F2087" s="10">
        <v>308</v>
      </c>
      <c r="G2087" s="10">
        <v>3901529</v>
      </c>
      <c r="H2087" s="11" cm="1">
        <f t="array" ref="H2087">F2087/G2087*100000</f>
        <v>7.89434091096081</v>
      </c>
    </row>
    <row r="2088" ht="13" customHeight="1">
      <c r="A2088" s="8">
        <v>6</v>
      </c>
      <c r="B2088" t="s" s="9">
        <v>39</v>
      </c>
      <c r="C2088" t="s" s="9">
        <v>70</v>
      </c>
      <c r="D2088" t="s" s="9">
        <v>54</v>
      </c>
      <c r="E2088" t="s" s="9">
        <v>33</v>
      </c>
      <c r="F2088" s="10">
        <v>188</v>
      </c>
      <c r="G2088" s="10">
        <v>3901529</v>
      </c>
      <c r="H2088" s="11" cm="1">
        <f t="array" ref="H2088">F2088/G2088*100000</f>
        <v>4.81862367292413</v>
      </c>
    </row>
    <row r="2089" ht="13" customHeight="1">
      <c r="A2089" s="8">
        <v>7</v>
      </c>
      <c r="B2089" t="s" s="9">
        <v>39</v>
      </c>
      <c r="C2089" t="s" s="9">
        <v>70</v>
      </c>
      <c r="D2089" t="s" s="9">
        <v>54</v>
      </c>
      <c r="E2089" t="s" s="9">
        <v>33</v>
      </c>
      <c r="F2089" s="10">
        <v>185</v>
      </c>
      <c r="G2089" s="10">
        <v>3901529</v>
      </c>
      <c r="H2089" s="11" cm="1">
        <f t="array" ref="H2089">F2089/G2089*100000</f>
        <v>4.74173074197321</v>
      </c>
    </row>
    <row r="2090" ht="13" customHeight="1">
      <c r="A2090" s="8">
        <v>8</v>
      </c>
      <c r="B2090" t="s" s="9">
        <v>35</v>
      </c>
      <c r="C2090" t="s" s="9">
        <v>70</v>
      </c>
      <c r="D2090" t="s" s="9">
        <v>54</v>
      </c>
      <c r="E2090" t="s" s="9">
        <v>33</v>
      </c>
      <c r="F2090" s="10">
        <v>372</v>
      </c>
      <c r="G2090" s="10">
        <v>3901529</v>
      </c>
      <c r="H2090" s="11" cm="1">
        <f t="array" ref="H2090">F2090/G2090*100000</f>
        <v>9.5347234379137</v>
      </c>
    </row>
    <row r="2091" ht="13" customHeight="1">
      <c r="A2091" s="8">
        <v>9</v>
      </c>
      <c r="B2091" t="s" s="9">
        <v>41</v>
      </c>
      <c r="C2091" t="s" s="9">
        <v>70</v>
      </c>
      <c r="D2091" t="s" s="9">
        <v>54</v>
      </c>
      <c r="E2091" t="s" s="9">
        <v>33</v>
      </c>
      <c r="F2091" s="10">
        <v>246</v>
      </c>
      <c r="G2091" s="10">
        <v>3901529</v>
      </c>
      <c r="H2091" s="11" cm="1">
        <f t="array" ref="H2091">F2091/G2091*100000</f>
        <v>6.30522033797519</v>
      </c>
    </row>
    <row r="2092" ht="13" customHeight="1">
      <c r="A2092" s="8">
        <v>10</v>
      </c>
      <c r="B2092" t="s" s="9">
        <v>45</v>
      </c>
      <c r="C2092" t="s" s="9">
        <v>70</v>
      </c>
      <c r="D2092" t="s" s="9">
        <v>54</v>
      </c>
      <c r="E2092" t="s" s="9">
        <v>33</v>
      </c>
      <c r="F2092" s="10">
        <v>194</v>
      </c>
      <c r="G2092" s="10">
        <v>3901529</v>
      </c>
      <c r="H2092" s="11" cm="1">
        <f t="array" ref="H2092">F2092/G2092*100000</f>
        <v>4.97240953482596</v>
      </c>
    </row>
    <row r="2093" ht="13" customHeight="1">
      <c r="A2093" s="8">
        <v>1</v>
      </c>
      <c r="B2093" t="s" s="9">
        <v>30</v>
      </c>
      <c r="C2093" t="s" s="9">
        <v>70</v>
      </c>
      <c r="D2093" t="s" s="9">
        <v>55</v>
      </c>
      <c r="E2093" t="s" s="9">
        <v>33</v>
      </c>
      <c r="F2093" s="10">
        <v>2927</v>
      </c>
      <c r="G2093" s="10">
        <v>5273604</v>
      </c>
      <c r="H2093" s="11" cm="1">
        <f t="array" ref="H2093">F2093/G2093*100000</f>
        <v>55.5028401829186</v>
      </c>
    </row>
    <row r="2094" ht="13" customHeight="1">
      <c r="A2094" s="8">
        <v>2</v>
      </c>
      <c r="B2094" t="s" s="9">
        <v>35</v>
      </c>
      <c r="C2094" t="s" s="9">
        <v>70</v>
      </c>
      <c r="D2094" t="s" s="9">
        <v>55</v>
      </c>
      <c r="E2094" t="s" s="9">
        <v>33</v>
      </c>
      <c r="F2094" s="10">
        <v>1753</v>
      </c>
      <c r="G2094" s="10">
        <v>5273604</v>
      </c>
      <c r="H2094" s="11" cm="1">
        <f t="array" ref="H2094">F2094/G2094*100000</f>
        <v>33.2410245441258</v>
      </c>
    </row>
    <row r="2095" ht="13" customHeight="1">
      <c r="A2095" s="8">
        <v>3</v>
      </c>
      <c r="B2095" t="s" s="9">
        <v>30</v>
      </c>
      <c r="C2095" t="s" s="9">
        <v>70</v>
      </c>
      <c r="D2095" t="s" s="9">
        <v>55</v>
      </c>
      <c r="E2095" t="s" s="9">
        <v>33</v>
      </c>
      <c r="F2095" s="10">
        <v>1407</v>
      </c>
      <c r="G2095" s="10">
        <v>5273604</v>
      </c>
      <c r="H2095" s="11" cm="1">
        <f t="array" ref="H2095">F2095/G2095*100000</f>
        <v>26.6800465108871</v>
      </c>
    </row>
    <row r="2096" ht="13" customHeight="1">
      <c r="A2096" s="8">
        <v>4</v>
      </c>
      <c r="B2096" t="s" s="9">
        <v>35</v>
      </c>
      <c r="C2096" t="s" s="9">
        <v>70</v>
      </c>
      <c r="D2096" t="s" s="9">
        <v>55</v>
      </c>
      <c r="E2096" t="s" s="9">
        <v>33</v>
      </c>
      <c r="F2096" s="10">
        <v>1054</v>
      </c>
      <c r="G2096" s="10">
        <v>5273604</v>
      </c>
      <c r="H2096" s="11" cm="1">
        <f t="array" ref="H2096">F2096/G2096*100000</f>
        <v>19.9863319278429</v>
      </c>
    </row>
    <row r="2097" ht="13" customHeight="1">
      <c r="A2097" s="8">
        <v>5</v>
      </c>
      <c r="B2097" t="s" s="9">
        <v>35</v>
      </c>
      <c r="C2097" t="s" s="9">
        <v>70</v>
      </c>
      <c r="D2097" t="s" s="9">
        <v>55</v>
      </c>
      <c r="E2097" t="s" s="9">
        <v>33</v>
      </c>
      <c r="F2097" s="10">
        <v>1011</v>
      </c>
      <c r="G2097" s="10">
        <v>5273604</v>
      </c>
      <c r="H2097" s="11" cm="1">
        <f t="array" ref="H2097">F2097/G2097*100000</f>
        <v>19.1709502647525</v>
      </c>
    </row>
    <row r="2098" ht="13" customHeight="1">
      <c r="A2098" s="8">
        <v>6</v>
      </c>
      <c r="B2098" t="s" s="9">
        <v>34</v>
      </c>
      <c r="C2098" t="s" s="9">
        <v>70</v>
      </c>
      <c r="D2098" t="s" s="9">
        <v>55</v>
      </c>
      <c r="E2098" t="s" s="9">
        <v>33</v>
      </c>
      <c r="F2098" s="10">
        <v>595</v>
      </c>
      <c r="G2098" s="10">
        <v>5273604</v>
      </c>
      <c r="H2098" s="11" cm="1">
        <f t="array" ref="H2098">F2098/G2098*100000</f>
        <v>11.2826067334597</v>
      </c>
    </row>
    <row r="2099" ht="13" customHeight="1">
      <c r="A2099" s="8">
        <v>7</v>
      </c>
      <c r="B2099" t="s" s="9">
        <v>41</v>
      </c>
      <c r="C2099" t="s" s="9">
        <v>70</v>
      </c>
      <c r="D2099" t="s" s="9">
        <v>55</v>
      </c>
      <c r="E2099" t="s" s="9">
        <v>33</v>
      </c>
      <c r="F2099" s="10">
        <v>555</v>
      </c>
      <c r="G2099" s="10">
        <v>5273604</v>
      </c>
      <c r="H2099" s="11" cm="1">
        <f t="array" ref="H2099">F2099/G2099*100000</f>
        <v>10.5241121631431</v>
      </c>
    </row>
    <row r="2100" ht="13" customHeight="1">
      <c r="A2100" s="8">
        <v>8</v>
      </c>
      <c r="B2100" t="s" s="9">
        <v>30</v>
      </c>
      <c r="C2100" t="s" s="9">
        <v>70</v>
      </c>
      <c r="D2100" t="s" s="9">
        <v>55</v>
      </c>
      <c r="E2100" t="s" s="9">
        <v>33</v>
      </c>
      <c r="F2100" s="10">
        <v>561</v>
      </c>
      <c r="G2100" s="10">
        <v>5273604</v>
      </c>
      <c r="H2100" s="11" cm="1">
        <f t="array" ref="H2100">F2100/G2100*100000</f>
        <v>10.6378863486906</v>
      </c>
    </row>
    <row r="2101" ht="13" customHeight="1">
      <c r="A2101" s="8">
        <v>9</v>
      </c>
      <c r="B2101" t="s" s="9">
        <v>39</v>
      </c>
      <c r="C2101" t="s" s="9">
        <v>70</v>
      </c>
      <c r="D2101" t="s" s="9">
        <v>55</v>
      </c>
      <c r="E2101" t="s" s="9">
        <v>33</v>
      </c>
      <c r="F2101" s="10">
        <v>379</v>
      </c>
      <c r="G2101" s="10">
        <v>5273604</v>
      </c>
      <c r="H2101" s="11" cm="1">
        <f t="array" ref="H2101">F2101/G2101*100000</f>
        <v>7.18673605374996</v>
      </c>
    </row>
    <row r="2102" ht="13" customHeight="1">
      <c r="A2102" s="8">
        <v>10</v>
      </c>
      <c r="B2102" t="s" s="9">
        <v>36</v>
      </c>
      <c r="C2102" t="s" s="9">
        <v>70</v>
      </c>
      <c r="D2102" t="s" s="9">
        <v>55</v>
      </c>
      <c r="E2102" t="s" s="9">
        <v>33</v>
      </c>
      <c r="F2102" s="10">
        <v>347</v>
      </c>
      <c r="G2102" s="10">
        <v>5273604</v>
      </c>
      <c r="H2102" s="11" cm="1">
        <f t="array" ref="H2102">F2102/G2102*100000</f>
        <v>6.57994039749666</v>
      </c>
    </row>
    <row r="2103" ht="13" customHeight="1">
      <c r="A2103" s="8">
        <v>1</v>
      </c>
      <c r="B2103" t="s" s="9">
        <v>30</v>
      </c>
      <c r="C2103" t="s" s="9">
        <v>70</v>
      </c>
      <c r="D2103" t="s" s="9">
        <v>56</v>
      </c>
      <c r="E2103" t="s" s="9">
        <v>33</v>
      </c>
      <c r="F2103" s="10">
        <v>1199</v>
      </c>
      <c r="G2103" s="10">
        <v>5691183</v>
      </c>
      <c r="H2103" s="11" cm="1">
        <f t="array" ref="H2103">F2103/G2103*100000</f>
        <v>21.0676760877308</v>
      </c>
    </row>
    <row r="2104" ht="13" customHeight="1">
      <c r="A2104" s="8">
        <v>2</v>
      </c>
      <c r="B2104" t="s" s="9">
        <v>35</v>
      </c>
      <c r="C2104" t="s" s="9">
        <v>70</v>
      </c>
      <c r="D2104" t="s" s="9">
        <v>56</v>
      </c>
      <c r="E2104" t="s" s="9">
        <v>33</v>
      </c>
      <c r="F2104" s="10">
        <v>1079</v>
      </c>
      <c r="G2104" s="10">
        <v>5691183</v>
      </c>
      <c r="H2104" s="11" cm="1">
        <f t="array" ref="H2104">F2104/G2104*100000</f>
        <v>18.9591513750305</v>
      </c>
    </row>
    <row r="2105" ht="13" customHeight="1">
      <c r="A2105" s="8">
        <v>3</v>
      </c>
      <c r="B2105" t="s" s="9">
        <v>34</v>
      </c>
      <c r="C2105" t="s" s="9">
        <v>70</v>
      </c>
      <c r="D2105" t="s" s="9">
        <v>56</v>
      </c>
      <c r="E2105" t="s" s="9">
        <v>33</v>
      </c>
      <c r="F2105" s="10">
        <v>450</v>
      </c>
      <c r="G2105" s="10">
        <v>5691183</v>
      </c>
      <c r="H2105" s="11" cm="1">
        <f t="array" ref="H2105">F2105/G2105*100000</f>
        <v>7.90696767262624</v>
      </c>
    </row>
    <row r="2106" ht="13" customHeight="1">
      <c r="A2106" s="8">
        <v>4</v>
      </c>
      <c r="B2106" t="s" s="9">
        <v>30</v>
      </c>
      <c r="C2106" t="s" s="9">
        <v>70</v>
      </c>
      <c r="D2106" t="s" s="9">
        <v>56</v>
      </c>
      <c r="E2106" t="s" s="9">
        <v>33</v>
      </c>
      <c r="F2106" s="10">
        <v>383</v>
      </c>
      <c r="G2106" s="10">
        <v>5691183</v>
      </c>
      <c r="H2106" s="11" cm="1">
        <f t="array" ref="H2106">F2106/G2106*100000</f>
        <v>6.72970804136855</v>
      </c>
    </row>
    <row r="2107" ht="13" customHeight="1">
      <c r="A2107" s="8">
        <v>5</v>
      </c>
      <c r="B2107" t="s" s="9">
        <v>30</v>
      </c>
      <c r="C2107" t="s" s="9">
        <v>70</v>
      </c>
      <c r="D2107" t="s" s="9">
        <v>56</v>
      </c>
      <c r="E2107" t="s" s="9">
        <v>33</v>
      </c>
      <c r="F2107" s="10">
        <v>343</v>
      </c>
      <c r="G2107" s="10">
        <v>5691183</v>
      </c>
      <c r="H2107" s="11" cm="1">
        <f t="array" ref="H2107">F2107/G2107*100000</f>
        <v>6.02686647046844</v>
      </c>
    </row>
    <row r="2108" ht="13" customHeight="1">
      <c r="A2108" s="8">
        <v>6</v>
      </c>
      <c r="B2108" t="s" s="9">
        <v>35</v>
      </c>
      <c r="C2108" t="s" s="9">
        <v>70</v>
      </c>
      <c r="D2108" t="s" s="9">
        <v>56</v>
      </c>
      <c r="E2108" t="s" s="9">
        <v>33</v>
      </c>
      <c r="F2108" s="10">
        <v>366</v>
      </c>
      <c r="G2108" s="10">
        <v>5691183</v>
      </c>
      <c r="H2108" s="11" cm="1">
        <f t="array" ref="H2108">F2108/G2108*100000</f>
        <v>6.43100037373601</v>
      </c>
    </row>
    <row r="2109" ht="13" customHeight="1">
      <c r="A2109" s="8">
        <v>7</v>
      </c>
      <c r="B2109" t="s" s="9">
        <v>39</v>
      </c>
      <c r="C2109" t="s" s="9">
        <v>70</v>
      </c>
      <c r="D2109" t="s" s="9">
        <v>56</v>
      </c>
      <c r="E2109" t="s" s="9">
        <v>33</v>
      </c>
      <c r="F2109" s="10">
        <v>95</v>
      </c>
      <c r="G2109" s="10">
        <v>5691183</v>
      </c>
      <c r="H2109" s="11" cm="1">
        <f t="array" ref="H2109">F2109/G2109*100000</f>
        <v>1.66924873088776</v>
      </c>
    </row>
    <row r="2110" ht="13" customHeight="1">
      <c r="A2110" s="8">
        <v>8</v>
      </c>
      <c r="B2110" t="s" s="9">
        <v>37</v>
      </c>
      <c r="C2110" t="s" s="9">
        <v>70</v>
      </c>
      <c r="D2110" t="s" s="9">
        <v>56</v>
      </c>
      <c r="E2110" t="s" s="9">
        <v>33</v>
      </c>
      <c r="F2110" s="10">
        <v>147</v>
      </c>
      <c r="G2110" s="10">
        <v>5691183</v>
      </c>
      <c r="H2110" s="11" cm="1">
        <f t="array" ref="H2110">F2110/G2110*100000</f>
        <v>2.5829427730579</v>
      </c>
    </row>
    <row r="2111" ht="13" customHeight="1">
      <c r="A2111" s="8">
        <v>9</v>
      </c>
      <c r="B2111" t="s" s="9">
        <v>41</v>
      </c>
      <c r="C2111" t="s" s="9">
        <v>70</v>
      </c>
      <c r="D2111" t="s" s="9">
        <v>56</v>
      </c>
      <c r="E2111" t="s" s="9">
        <v>33</v>
      </c>
      <c r="F2111" s="10">
        <v>68</v>
      </c>
      <c r="G2111" s="10">
        <v>5691183</v>
      </c>
      <c r="H2111" s="11" cm="1">
        <f t="array" ref="H2111">F2111/G2111*100000</f>
        <v>1.19483067053019</v>
      </c>
    </row>
    <row r="2112" ht="13" customHeight="1">
      <c r="A2112" s="8">
        <v>10</v>
      </c>
      <c r="B2112" t="s" s="9">
        <v>39</v>
      </c>
      <c r="C2112" t="s" s="9">
        <v>70</v>
      </c>
      <c r="D2112" t="s" s="9">
        <v>56</v>
      </c>
      <c r="E2112" t="s" s="9">
        <v>33</v>
      </c>
      <c r="F2112" s="10">
        <v>87</v>
      </c>
      <c r="G2112" s="10">
        <v>5691183</v>
      </c>
      <c r="H2112" s="11" cm="1">
        <f t="array" ref="H2112">F2112/G2112*100000</f>
        <v>1.52868041670774</v>
      </c>
    </row>
    <row r="2113" ht="13" customHeight="1">
      <c r="A2113" s="8">
        <v>1</v>
      </c>
      <c r="B2113" t="s" s="9">
        <v>30</v>
      </c>
      <c r="C2113" t="s" s="9">
        <v>70</v>
      </c>
      <c r="D2113" t="s" s="9">
        <v>57</v>
      </c>
      <c r="E2113" t="s" s="9">
        <v>33</v>
      </c>
      <c r="F2113" s="10">
        <v>863</v>
      </c>
      <c r="G2113" s="10">
        <v>5214931</v>
      </c>
      <c r="H2113" s="11" cm="1">
        <f t="array" ref="H2113">F2113/G2113*100000</f>
        <v>16.548636981007</v>
      </c>
    </row>
    <row r="2114" ht="13" customHeight="1">
      <c r="A2114" s="8">
        <v>2</v>
      </c>
      <c r="B2114" t="s" s="9">
        <v>35</v>
      </c>
      <c r="C2114" t="s" s="9">
        <v>70</v>
      </c>
      <c r="D2114" t="s" s="9">
        <v>57</v>
      </c>
      <c r="E2114" t="s" s="9">
        <v>33</v>
      </c>
      <c r="F2114" s="10">
        <v>367</v>
      </c>
      <c r="G2114" s="10">
        <v>5214931</v>
      </c>
      <c r="H2114" s="11" cm="1">
        <f t="array" ref="H2114">F2114/G2114*100000</f>
        <v>7.03748525148271</v>
      </c>
    </row>
    <row r="2115" ht="13" customHeight="1">
      <c r="A2115" s="8">
        <v>3</v>
      </c>
      <c r="B2115" t="s" s="9">
        <v>34</v>
      </c>
      <c r="C2115" t="s" s="9">
        <v>70</v>
      </c>
      <c r="D2115" t="s" s="9">
        <v>57</v>
      </c>
      <c r="E2115" t="s" s="9">
        <v>33</v>
      </c>
      <c r="F2115" s="10">
        <v>298</v>
      </c>
      <c r="G2115" s="10">
        <v>5214931</v>
      </c>
      <c r="H2115" s="11" cm="1">
        <f t="array" ref="H2115">F2115/G2115*100000</f>
        <v>5.71436132136744</v>
      </c>
    </row>
    <row r="2116" ht="13" customHeight="1">
      <c r="A2116" s="8">
        <v>4</v>
      </c>
      <c r="B2116" t="s" s="9">
        <v>30</v>
      </c>
      <c r="C2116" t="s" s="9">
        <v>70</v>
      </c>
      <c r="D2116" t="s" s="9">
        <v>57</v>
      </c>
      <c r="E2116" t="s" s="9">
        <v>33</v>
      </c>
      <c r="F2116" s="10">
        <v>200</v>
      </c>
      <c r="G2116" s="10">
        <v>5214931</v>
      </c>
      <c r="H2116" s="11" cm="1">
        <f t="array" ref="H2116">F2116/G2116*100000</f>
        <v>3.8351418264211</v>
      </c>
    </row>
    <row r="2117" ht="13" customHeight="1">
      <c r="A2117" s="8">
        <v>5</v>
      </c>
      <c r="B2117" t="s" s="9">
        <v>30</v>
      </c>
      <c r="C2117" t="s" s="9">
        <v>70</v>
      </c>
      <c r="D2117" t="s" s="9">
        <v>57</v>
      </c>
      <c r="E2117" t="s" s="9">
        <v>33</v>
      </c>
      <c r="F2117" s="10">
        <v>182</v>
      </c>
      <c r="G2117" s="10">
        <v>5214931</v>
      </c>
      <c r="H2117" s="11" cm="1">
        <f t="array" ref="H2117">F2117/G2117*100000</f>
        <v>3.4899790620432</v>
      </c>
    </row>
    <row r="2118" ht="13" customHeight="1">
      <c r="A2118" s="8">
        <v>6</v>
      </c>
      <c r="B2118" t="s" s="9">
        <v>37</v>
      </c>
      <c r="C2118" t="s" s="9">
        <v>70</v>
      </c>
      <c r="D2118" t="s" s="9">
        <v>57</v>
      </c>
      <c r="E2118" t="s" s="9">
        <v>33</v>
      </c>
      <c r="F2118" s="10">
        <v>117</v>
      </c>
      <c r="G2118" s="10">
        <v>5214931</v>
      </c>
      <c r="H2118" s="11" cm="1">
        <f t="array" ref="H2118">F2118/G2118*100000</f>
        <v>2.24355796845634</v>
      </c>
    </row>
    <row r="2119" ht="13" customHeight="1">
      <c r="A2119" s="8">
        <v>7</v>
      </c>
      <c r="B2119" t="s" s="9">
        <v>30</v>
      </c>
      <c r="C2119" t="s" s="9">
        <v>70</v>
      </c>
      <c r="D2119" t="s" s="9">
        <v>57</v>
      </c>
      <c r="E2119" t="s" s="9">
        <v>33</v>
      </c>
      <c r="F2119" s="10">
        <v>109</v>
      </c>
      <c r="G2119" s="10">
        <v>5214931</v>
      </c>
      <c r="H2119" s="11" cm="1">
        <f t="array" ref="H2119">F2119/G2119*100000</f>
        <v>2.0901522953995</v>
      </c>
    </row>
    <row r="2120" ht="13" customHeight="1">
      <c r="A2120" s="8">
        <v>8</v>
      </c>
      <c r="B2120" t="s" s="9">
        <v>30</v>
      </c>
      <c r="C2120" t="s" s="9">
        <v>70</v>
      </c>
      <c r="D2120" t="s" s="9">
        <v>57</v>
      </c>
      <c r="E2120" t="s" s="9">
        <v>33</v>
      </c>
      <c r="F2120" s="10">
        <v>92</v>
      </c>
      <c r="G2120" s="10">
        <v>5214931</v>
      </c>
      <c r="H2120" s="11" cm="1">
        <f t="array" ref="H2120">F2120/G2120*100000</f>
        <v>1.7641652401537</v>
      </c>
    </row>
    <row r="2121" ht="13" customHeight="1">
      <c r="A2121" s="8">
        <v>9</v>
      </c>
      <c r="B2121" t="s" s="9">
        <v>39</v>
      </c>
      <c r="C2121" t="s" s="9">
        <v>70</v>
      </c>
      <c r="D2121" t="s" s="9">
        <v>57</v>
      </c>
      <c r="E2121" t="s" s="9">
        <v>33</v>
      </c>
      <c r="F2121" s="10">
        <v>55</v>
      </c>
      <c r="G2121" s="10">
        <v>5214931</v>
      </c>
      <c r="H2121" s="11" cm="1">
        <f t="array" ref="H2121">F2121/G2121*100000</f>
        <v>1.0546640022658</v>
      </c>
    </row>
    <row r="2122" ht="13" customHeight="1">
      <c r="A2122" s="8">
        <v>10</v>
      </c>
      <c r="B2122" t="s" s="9">
        <v>35</v>
      </c>
      <c r="C2122" t="s" s="9">
        <v>70</v>
      </c>
      <c r="D2122" t="s" s="9">
        <v>57</v>
      </c>
      <c r="E2122" t="s" s="9">
        <v>33</v>
      </c>
      <c r="F2122" s="10">
        <v>119</v>
      </c>
      <c r="G2122" s="10">
        <v>5214931</v>
      </c>
      <c r="H2122" s="11" cm="1">
        <f t="array" ref="H2122">F2122/G2122*100000</f>
        <v>2.28190938672055</v>
      </c>
    </row>
    <row r="2123" ht="13" customHeight="1">
      <c r="A2123" s="8">
        <v>1</v>
      </c>
      <c r="B2123" t="s" s="9">
        <v>35</v>
      </c>
      <c r="C2123" t="s" s="9">
        <v>70</v>
      </c>
      <c r="D2123" t="s" s="9">
        <v>20</v>
      </c>
      <c r="E2123" t="s" s="9">
        <v>33</v>
      </c>
      <c r="F2123" s="10">
        <v>2574</v>
      </c>
      <c r="G2123" s="10">
        <v>2889689</v>
      </c>
      <c r="H2123" s="11" cm="1">
        <f t="array" ref="H2123">F2123/G2123*100000</f>
        <v>89.0753295596862</v>
      </c>
    </row>
    <row r="2124" ht="13" customHeight="1">
      <c r="A2124" s="8">
        <v>2</v>
      </c>
      <c r="B2124" t="s" s="9">
        <v>30</v>
      </c>
      <c r="C2124" t="s" s="9">
        <v>70</v>
      </c>
      <c r="D2124" t="s" s="9">
        <v>20</v>
      </c>
      <c r="E2124" t="s" s="9">
        <v>33</v>
      </c>
      <c r="F2124" s="10">
        <v>2291</v>
      </c>
      <c r="G2124" s="10">
        <v>2889689</v>
      </c>
      <c r="H2124" s="11" cm="1">
        <f t="array" ref="H2124">F2124/G2124*100000</f>
        <v>79.28188812014029</v>
      </c>
    </row>
    <row r="2125" ht="13" customHeight="1">
      <c r="A2125" s="8">
        <v>3</v>
      </c>
      <c r="B2125" t="s" s="9">
        <v>39</v>
      </c>
      <c r="C2125" t="s" s="9">
        <v>70</v>
      </c>
      <c r="D2125" t="s" s="9">
        <v>20</v>
      </c>
      <c r="E2125" t="s" s="9">
        <v>33</v>
      </c>
      <c r="F2125" s="10">
        <v>486</v>
      </c>
      <c r="G2125" s="10">
        <v>2889689</v>
      </c>
      <c r="H2125" s="11" cm="1">
        <f t="array" ref="H2125">F2125/G2125*100000</f>
        <v>16.8184188679128</v>
      </c>
    </row>
    <row r="2126" ht="13" customHeight="1">
      <c r="A2126" s="8">
        <v>4</v>
      </c>
      <c r="B2126" t="s" s="9">
        <v>34</v>
      </c>
      <c r="C2126" t="s" s="9">
        <v>70</v>
      </c>
      <c r="D2126" t="s" s="9">
        <v>20</v>
      </c>
      <c r="E2126" t="s" s="9">
        <v>33</v>
      </c>
      <c r="F2126" s="10">
        <v>667</v>
      </c>
      <c r="G2126" s="10">
        <v>2889689</v>
      </c>
      <c r="H2126" s="11" cm="1">
        <f t="array" ref="H2126">F2126/G2126*100000</f>
        <v>23.0820686932054</v>
      </c>
    </row>
    <row r="2127" ht="13" customHeight="1">
      <c r="A2127" s="8">
        <v>5</v>
      </c>
      <c r="B2127" t="s" s="9">
        <v>30</v>
      </c>
      <c r="C2127" t="s" s="9">
        <v>70</v>
      </c>
      <c r="D2127" t="s" s="9">
        <v>20</v>
      </c>
      <c r="E2127" t="s" s="9">
        <v>33</v>
      </c>
      <c r="F2127" s="10">
        <v>614</v>
      </c>
      <c r="G2127" s="10">
        <v>2889689</v>
      </c>
      <c r="H2127" s="11" cm="1">
        <f t="array" ref="H2127">F2127/G2127*100000</f>
        <v>21.2479612857993</v>
      </c>
    </row>
    <row r="2128" ht="13" customHeight="1">
      <c r="A2128" s="8">
        <v>6</v>
      </c>
      <c r="B2128" t="s" s="9">
        <v>35</v>
      </c>
      <c r="C2128" t="s" s="9">
        <v>70</v>
      </c>
      <c r="D2128" t="s" s="9">
        <v>20</v>
      </c>
      <c r="E2128" t="s" s="9">
        <v>33</v>
      </c>
      <c r="F2128" s="10">
        <v>671</v>
      </c>
      <c r="G2128" s="10">
        <v>2889689</v>
      </c>
      <c r="H2128" s="11" cm="1">
        <f t="array" ref="H2128">F2128/G2128*100000</f>
        <v>23.2204918937643</v>
      </c>
    </row>
    <row r="2129" ht="13" customHeight="1">
      <c r="A2129" s="8">
        <v>7</v>
      </c>
      <c r="B2129" t="s" s="9">
        <v>36</v>
      </c>
      <c r="C2129" t="s" s="9">
        <v>70</v>
      </c>
      <c r="D2129" t="s" s="9">
        <v>20</v>
      </c>
      <c r="E2129" t="s" s="9">
        <v>33</v>
      </c>
      <c r="F2129" s="10">
        <v>323</v>
      </c>
      <c r="G2129" s="10">
        <v>2889689</v>
      </c>
      <c r="H2129" s="11" cm="1">
        <f t="array" ref="H2129">F2129/G2129*100000</f>
        <v>11.1776734451354</v>
      </c>
    </row>
    <row r="2130" ht="13" customHeight="1">
      <c r="A2130" s="8">
        <v>8</v>
      </c>
      <c r="B2130" t="s" s="9">
        <v>41</v>
      </c>
      <c r="C2130" t="s" s="9">
        <v>70</v>
      </c>
      <c r="D2130" t="s" s="9">
        <v>20</v>
      </c>
      <c r="E2130" t="s" s="9">
        <v>33</v>
      </c>
      <c r="F2130" s="10">
        <v>138</v>
      </c>
      <c r="G2130" s="10">
        <v>2889689</v>
      </c>
      <c r="H2130" s="11" cm="1">
        <f t="array" ref="H2130">F2130/G2130*100000</f>
        <v>4.77560041928387</v>
      </c>
    </row>
    <row r="2131" ht="13" customHeight="1">
      <c r="A2131" s="8">
        <v>9</v>
      </c>
      <c r="B2131" t="s" s="9">
        <v>37</v>
      </c>
      <c r="C2131" t="s" s="9">
        <v>70</v>
      </c>
      <c r="D2131" t="s" s="9">
        <v>20</v>
      </c>
      <c r="E2131" t="s" s="9">
        <v>33</v>
      </c>
      <c r="F2131" s="10">
        <v>212</v>
      </c>
      <c r="G2131" s="10">
        <v>2889689</v>
      </c>
      <c r="H2131" s="11" cm="1">
        <f t="array" ref="H2131">F2131/G2131*100000</f>
        <v>7.3364296296245</v>
      </c>
    </row>
    <row r="2132" ht="13" customHeight="1">
      <c r="A2132" s="8">
        <v>10</v>
      </c>
      <c r="B2132" t="s" s="9">
        <v>30</v>
      </c>
      <c r="C2132" t="s" s="9">
        <v>70</v>
      </c>
      <c r="D2132" t="s" s="9">
        <v>20</v>
      </c>
      <c r="E2132" t="s" s="9">
        <v>33</v>
      </c>
      <c r="F2132" s="10">
        <v>265</v>
      </c>
      <c r="G2132" s="10">
        <v>2889689</v>
      </c>
      <c r="H2132" s="11" cm="1">
        <f t="array" ref="H2132">F2132/G2132*100000</f>
        <v>9.170537037030631</v>
      </c>
    </row>
    <row r="2133" ht="13" customHeight="1">
      <c r="A2133" s="8">
        <v>1</v>
      </c>
      <c r="B2133" t="s" s="9">
        <v>30</v>
      </c>
      <c r="C2133" t="s" s="9">
        <v>70</v>
      </c>
      <c r="D2133" t="s" s="9">
        <v>21</v>
      </c>
      <c r="E2133" t="s" s="9">
        <v>33</v>
      </c>
      <c r="F2133" s="10">
        <v>4057</v>
      </c>
      <c r="G2133" s="10">
        <v>4635519</v>
      </c>
      <c r="H2133" s="11" cm="1">
        <f t="array" ref="H2133">F2133/G2133*100000</f>
        <v>87.51986562885411</v>
      </c>
    </row>
    <row r="2134" ht="13" customHeight="1">
      <c r="A2134" s="8">
        <v>2</v>
      </c>
      <c r="B2134" t="s" s="9">
        <v>30</v>
      </c>
      <c r="C2134" t="s" s="9">
        <v>70</v>
      </c>
      <c r="D2134" t="s" s="9">
        <v>21</v>
      </c>
      <c r="E2134" t="s" s="9">
        <v>33</v>
      </c>
      <c r="F2134" s="10">
        <v>1458</v>
      </c>
      <c r="G2134" s="10">
        <v>4635519</v>
      </c>
      <c r="H2134" s="11" cm="1">
        <f t="array" ref="H2134">F2134/G2134*100000</f>
        <v>31.4527887815798</v>
      </c>
    </row>
    <row r="2135" ht="13" customHeight="1">
      <c r="A2135" s="8">
        <v>3</v>
      </c>
      <c r="B2135" t="s" s="9">
        <v>34</v>
      </c>
      <c r="C2135" t="s" s="9">
        <v>70</v>
      </c>
      <c r="D2135" t="s" s="9">
        <v>21</v>
      </c>
      <c r="E2135" t="s" s="9">
        <v>33</v>
      </c>
      <c r="F2135" s="10">
        <v>1139</v>
      </c>
      <c r="G2135" s="10">
        <v>4635519</v>
      </c>
      <c r="H2135" s="11" cm="1">
        <f t="array" ref="H2135">F2135/G2135*100000</f>
        <v>24.5711429507678</v>
      </c>
    </row>
    <row r="2136" ht="13" customHeight="1">
      <c r="A2136" s="8">
        <v>4</v>
      </c>
      <c r="B2136" t="s" s="9">
        <v>36</v>
      </c>
      <c r="C2136" t="s" s="9">
        <v>70</v>
      </c>
      <c r="D2136" t="s" s="9">
        <v>21</v>
      </c>
      <c r="E2136" t="s" s="9">
        <v>33</v>
      </c>
      <c r="F2136" s="10">
        <v>897</v>
      </c>
      <c r="G2136" s="10">
        <v>4635519</v>
      </c>
      <c r="H2136" s="11" cm="1">
        <f t="array" ref="H2136">F2136/G2136*100000</f>
        <v>19.3505840446345</v>
      </c>
    </row>
    <row r="2137" ht="13" customHeight="1">
      <c r="A2137" s="8">
        <v>5</v>
      </c>
      <c r="B2137" t="s" s="9">
        <v>30</v>
      </c>
      <c r="C2137" t="s" s="9">
        <v>70</v>
      </c>
      <c r="D2137" t="s" s="9">
        <v>21</v>
      </c>
      <c r="E2137" t="s" s="9">
        <v>33</v>
      </c>
      <c r="F2137" s="10">
        <v>687</v>
      </c>
      <c r="G2137" s="10">
        <v>4635519</v>
      </c>
      <c r="H2137" s="11" cm="1">
        <f t="array" ref="H2137">F2137/G2137*100000</f>
        <v>14.8203469773288</v>
      </c>
    </row>
    <row r="2138" ht="13" customHeight="1">
      <c r="A2138" s="8">
        <v>6</v>
      </c>
      <c r="B2138" t="s" s="9">
        <v>41</v>
      </c>
      <c r="C2138" t="s" s="9">
        <v>70</v>
      </c>
      <c r="D2138" t="s" s="9">
        <v>21</v>
      </c>
      <c r="E2138" t="s" s="9">
        <v>33</v>
      </c>
      <c r="F2138" s="10">
        <v>670</v>
      </c>
      <c r="G2138" s="10">
        <v>4635519</v>
      </c>
      <c r="H2138" s="11" cm="1">
        <f t="array" ref="H2138">F2138/G2138*100000</f>
        <v>14.4536135004516</v>
      </c>
    </row>
    <row r="2139" ht="13" customHeight="1">
      <c r="A2139" s="8">
        <v>7</v>
      </c>
      <c r="B2139" t="s" s="9">
        <v>36</v>
      </c>
      <c r="C2139" t="s" s="9">
        <v>70</v>
      </c>
      <c r="D2139" t="s" s="9">
        <v>21</v>
      </c>
      <c r="E2139" t="s" s="9">
        <v>33</v>
      </c>
      <c r="F2139" s="10">
        <v>607</v>
      </c>
      <c r="G2139" s="10">
        <v>4635519</v>
      </c>
      <c r="H2139" s="11" cm="1">
        <f t="array" ref="H2139">F2139/G2139*100000</f>
        <v>13.0945423802599</v>
      </c>
    </row>
    <row r="2140" ht="13" customHeight="1">
      <c r="A2140" s="8">
        <v>8</v>
      </c>
      <c r="B2140" t="s" s="9">
        <v>30</v>
      </c>
      <c r="C2140" t="s" s="9">
        <v>70</v>
      </c>
      <c r="D2140" t="s" s="9">
        <v>21</v>
      </c>
      <c r="E2140" t="s" s="9">
        <v>33</v>
      </c>
      <c r="F2140" s="10">
        <v>532</v>
      </c>
      <c r="G2140" s="10">
        <v>4635519</v>
      </c>
      <c r="H2140" s="11" cm="1">
        <f t="array" ref="H2140">F2140/G2140*100000</f>
        <v>11.4766005705079</v>
      </c>
    </row>
    <row r="2141" ht="13" customHeight="1">
      <c r="A2141" s="8">
        <v>9</v>
      </c>
      <c r="B2141" t="s" s="9">
        <v>45</v>
      </c>
      <c r="C2141" t="s" s="9">
        <v>70</v>
      </c>
      <c r="D2141" t="s" s="9">
        <v>21</v>
      </c>
      <c r="E2141" t="s" s="9">
        <v>33</v>
      </c>
      <c r="F2141" s="10">
        <v>452</v>
      </c>
      <c r="G2141" s="10">
        <v>4635519</v>
      </c>
      <c r="H2141" s="11" cm="1">
        <f t="array" ref="H2141">F2141/G2141*100000</f>
        <v>9.750795973439001</v>
      </c>
    </row>
    <row r="2142" ht="13" customHeight="1">
      <c r="A2142" s="8">
        <v>10</v>
      </c>
      <c r="B2142" t="s" s="9">
        <v>39</v>
      </c>
      <c r="C2142" t="s" s="9">
        <v>70</v>
      </c>
      <c r="D2142" t="s" s="9">
        <v>21</v>
      </c>
      <c r="E2142" t="s" s="9">
        <v>33</v>
      </c>
      <c r="F2142" s="10">
        <v>354</v>
      </c>
      <c r="G2142" s="10">
        <v>4635519</v>
      </c>
      <c r="H2142" s="11" cm="1">
        <f t="array" ref="H2142">F2142/G2142*100000</f>
        <v>7.63668534202966</v>
      </c>
    </row>
    <row r="2143" ht="13.65" customHeight="1">
      <c r="A2143" s="8">
        <v>1</v>
      </c>
      <c r="B2143" t="s" s="9">
        <v>30</v>
      </c>
      <c r="C2143" t="s" s="9">
        <v>70</v>
      </c>
      <c r="D2143" t="s" s="9">
        <v>58</v>
      </c>
      <c r="E2143" t="s" s="9">
        <v>33</v>
      </c>
      <c r="F2143" s="10">
        <v>1379</v>
      </c>
      <c r="G2143" s="12"/>
      <c r="H2143" s="13"/>
    </row>
    <row r="2144" ht="13.65" customHeight="1">
      <c r="A2144" s="8">
        <v>2</v>
      </c>
      <c r="B2144" t="s" s="9">
        <v>35</v>
      </c>
      <c r="C2144" t="s" s="9">
        <v>70</v>
      </c>
      <c r="D2144" t="s" s="9">
        <v>58</v>
      </c>
      <c r="E2144" t="s" s="9">
        <v>33</v>
      </c>
      <c r="F2144" s="10">
        <v>1563</v>
      </c>
      <c r="G2144" s="14"/>
      <c r="H2144" s="15"/>
    </row>
    <row r="2145" ht="13.65" customHeight="1">
      <c r="A2145" s="8">
        <v>3</v>
      </c>
      <c r="B2145" t="s" s="9">
        <v>30</v>
      </c>
      <c r="C2145" t="s" s="9">
        <v>70</v>
      </c>
      <c r="D2145" t="s" s="9">
        <v>58</v>
      </c>
      <c r="E2145" t="s" s="9">
        <v>33</v>
      </c>
      <c r="F2145" s="10">
        <v>876</v>
      </c>
      <c r="G2145" s="14"/>
      <c r="H2145" s="15"/>
    </row>
    <row r="2146" ht="13.65" customHeight="1">
      <c r="A2146" s="8">
        <v>4</v>
      </c>
      <c r="B2146" t="s" s="9">
        <v>34</v>
      </c>
      <c r="C2146" t="s" s="9">
        <v>70</v>
      </c>
      <c r="D2146" t="s" s="9">
        <v>58</v>
      </c>
      <c r="E2146" t="s" s="9">
        <v>33</v>
      </c>
      <c r="F2146" s="10">
        <v>405</v>
      </c>
      <c r="G2146" s="14"/>
      <c r="H2146" s="15"/>
    </row>
    <row r="2147" ht="13.65" customHeight="1">
      <c r="A2147" s="8">
        <v>5</v>
      </c>
      <c r="B2147" t="s" s="9">
        <v>30</v>
      </c>
      <c r="C2147" t="s" s="9">
        <v>70</v>
      </c>
      <c r="D2147" t="s" s="9">
        <v>58</v>
      </c>
      <c r="E2147" t="s" s="9">
        <v>33</v>
      </c>
      <c r="F2147" s="10">
        <v>532</v>
      </c>
      <c r="G2147" s="14"/>
      <c r="H2147" s="15"/>
    </row>
    <row r="2148" ht="13.65" customHeight="1">
      <c r="A2148" s="8">
        <v>6</v>
      </c>
      <c r="B2148" t="s" s="9">
        <v>35</v>
      </c>
      <c r="C2148" t="s" s="9">
        <v>70</v>
      </c>
      <c r="D2148" t="s" s="9">
        <v>58</v>
      </c>
      <c r="E2148" t="s" s="9">
        <v>33</v>
      </c>
      <c r="F2148" s="10">
        <v>501</v>
      </c>
      <c r="G2148" s="14"/>
      <c r="H2148" s="15"/>
    </row>
    <row r="2149" ht="13.65" customHeight="1">
      <c r="A2149" s="8">
        <v>7</v>
      </c>
      <c r="B2149" t="s" s="9">
        <v>39</v>
      </c>
      <c r="C2149" t="s" s="9">
        <v>70</v>
      </c>
      <c r="D2149" t="s" s="9">
        <v>58</v>
      </c>
      <c r="E2149" t="s" s="9">
        <v>33</v>
      </c>
      <c r="F2149" s="10">
        <v>160</v>
      </c>
      <c r="G2149" s="14"/>
      <c r="H2149" s="15"/>
    </row>
    <row r="2150" ht="13.65" customHeight="1">
      <c r="A2150" s="8">
        <v>8</v>
      </c>
      <c r="B2150" t="s" s="9">
        <v>36</v>
      </c>
      <c r="C2150" t="s" s="9">
        <v>70</v>
      </c>
      <c r="D2150" t="s" s="9">
        <v>58</v>
      </c>
      <c r="E2150" t="s" s="9">
        <v>33</v>
      </c>
      <c r="F2150" s="10">
        <v>283</v>
      </c>
      <c r="G2150" s="14"/>
      <c r="H2150" s="15"/>
    </row>
    <row r="2151" ht="13.65" customHeight="1">
      <c r="A2151" s="8">
        <v>9</v>
      </c>
      <c r="B2151" t="s" s="9">
        <v>35</v>
      </c>
      <c r="C2151" t="s" s="9">
        <v>70</v>
      </c>
      <c r="D2151" t="s" s="9">
        <v>58</v>
      </c>
      <c r="E2151" t="s" s="9">
        <v>33</v>
      </c>
      <c r="F2151" s="10">
        <v>229</v>
      </c>
      <c r="G2151" s="14"/>
      <c r="H2151" s="15"/>
    </row>
    <row r="2152" ht="13.65" customHeight="1">
      <c r="A2152" s="8">
        <v>10</v>
      </c>
      <c r="B2152" t="s" s="9">
        <v>37</v>
      </c>
      <c r="C2152" t="s" s="9">
        <v>70</v>
      </c>
      <c r="D2152" t="s" s="9">
        <v>58</v>
      </c>
      <c r="E2152" t="s" s="9">
        <v>33</v>
      </c>
      <c r="F2152" s="10">
        <v>136</v>
      </c>
      <c r="G2152" s="16"/>
      <c r="H2152" s="17"/>
    </row>
    <row r="2153" ht="13" customHeight="1">
      <c r="A2153" s="8">
        <v>1</v>
      </c>
      <c r="B2153" t="s" s="9">
        <v>30</v>
      </c>
      <c r="C2153" t="s" s="9">
        <v>31</v>
      </c>
      <c r="D2153" t="s" s="9">
        <v>32</v>
      </c>
      <c r="E2153" t="s" s="9">
        <v>71</v>
      </c>
      <c r="F2153" s="10">
        <v>5359</v>
      </c>
      <c r="G2153" s="10">
        <v>14521657</v>
      </c>
      <c r="H2153" s="11" cm="1">
        <f t="array" ref="H2153">F2153/G2153*100000</f>
        <v>36.9035021278908</v>
      </c>
    </row>
    <row r="2154" ht="13" customHeight="1">
      <c r="A2154" s="8">
        <v>2</v>
      </c>
      <c r="B2154" t="s" s="9">
        <v>34</v>
      </c>
      <c r="C2154" t="s" s="9">
        <v>31</v>
      </c>
      <c r="D2154" t="s" s="9">
        <v>32</v>
      </c>
      <c r="E2154" t="s" s="9">
        <v>71</v>
      </c>
      <c r="F2154" s="10">
        <v>4638</v>
      </c>
      <c r="G2154" s="10">
        <v>14521657</v>
      </c>
      <c r="H2154" s="11" cm="1">
        <f t="array" ref="H2154">F2154/G2154*100000</f>
        <v>31.938503987527</v>
      </c>
    </row>
    <row r="2155" ht="13" customHeight="1">
      <c r="A2155" s="8">
        <v>3</v>
      </c>
      <c r="B2155" t="s" s="9">
        <v>30</v>
      </c>
      <c r="C2155" t="s" s="9">
        <v>31</v>
      </c>
      <c r="D2155" t="s" s="9">
        <v>32</v>
      </c>
      <c r="E2155" t="s" s="9">
        <v>71</v>
      </c>
      <c r="F2155" s="10">
        <v>3853</v>
      </c>
      <c r="G2155" s="10">
        <v>14521657</v>
      </c>
      <c r="H2155" s="11" cm="1">
        <f t="array" ref="H2155">F2155/G2155*100000</f>
        <v>26.532784791708</v>
      </c>
    </row>
    <row r="2156" ht="13" customHeight="1">
      <c r="A2156" s="8">
        <v>4</v>
      </c>
      <c r="B2156" t="s" s="9">
        <v>35</v>
      </c>
      <c r="C2156" t="s" s="9">
        <v>31</v>
      </c>
      <c r="D2156" t="s" s="9">
        <v>32</v>
      </c>
      <c r="E2156" t="s" s="9">
        <v>71</v>
      </c>
      <c r="F2156" s="10">
        <v>3655</v>
      </c>
      <c r="G2156" s="10">
        <v>14521657</v>
      </c>
      <c r="H2156" s="11" cm="1">
        <f t="array" ref="H2156">F2156/G2156*100000</f>
        <v>25.1693040263931</v>
      </c>
    </row>
    <row r="2157" ht="13" customHeight="1">
      <c r="A2157" s="8">
        <v>5</v>
      </c>
      <c r="B2157" t="s" s="9">
        <v>30</v>
      </c>
      <c r="C2157" t="s" s="9">
        <v>31</v>
      </c>
      <c r="D2157" t="s" s="9">
        <v>32</v>
      </c>
      <c r="E2157" t="s" s="9">
        <v>71</v>
      </c>
      <c r="F2157" s="10">
        <v>1466</v>
      </c>
      <c r="G2157" s="10">
        <v>14521657</v>
      </c>
      <c r="H2157" s="11" cm="1">
        <f t="array" ref="H2157">F2157/G2157*100000</f>
        <v>10.0952666765232</v>
      </c>
    </row>
    <row r="2158" ht="13" customHeight="1">
      <c r="A2158" s="8">
        <v>6</v>
      </c>
      <c r="B2158" t="s" s="9">
        <v>34</v>
      </c>
      <c r="C2158" t="s" s="9">
        <v>31</v>
      </c>
      <c r="D2158" t="s" s="9">
        <v>32</v>
      </c>
      <c r="E2158" t="s" s="9">
        <v>71</v>
      </c>
      <c r="F2158" s="10">
        <v>1117</v>
      </c>
      <c r="G2158" s="10">
        <v>14521657</v>
      </c>
      <c r="H2158" s="11" cm="1">
        <f t="array" ref="H2158">F2158/G2158*100000</f>
        <v>7.69195967099347</v>
      </c>
    </row>
    <row r="2159" ht="13" customHeight="1">
      <c r="A2159" s="8">
        <v>7</v>
      </c>
      <c r="B2159" t="s" s="9">
        <v>36</v>
      </c>
      <c r="C2159" t="s" s="9">
        <v>31</v>
      </c>
      <c r="D2159" t="s" s="9">
        <v>32</v>
      </c>
      <c r="E2159" t="s" s="9">
        <v>71</v>
      </c>
      <c r="F2159" s="10">
        <v>801</v>
      </c>
      <c r="G2159" s="10">
        <v>14521657</v>
      </c>
      <c r="H2159" s="11" cm="1">
        <f t="array" ref="H2159">F2159/G2159*100000</f>
        <v>5.51589945968287</v>
      </c>
    </row>
    <row r="2160" ht="13" customHeight="1">
      <c r="A2160" s="8">
        <v>8</v>
      </c>
      <c r="B2160" t="s" s="9">
        <v>30</v>
      </c>
      <c r="C2160" t="s" s="9">
        <v>31</v>
      </c>
      <c r="D2160" t="s" s="9">
        <v>32</v>
      </c>
      <c r="E2160" t="s" s="9">
        <v>71</v>
      </c>
      <c r="F2160" s="10">
        <v>740</v>
      </c>
      <c r="G2160" s="10">
        <v>14521657</v>
      </c>
      <c r="H2160" s="11" cm="1">
        <f t="array" ref="H2160">F2160/G2160*100000</f>
        <v>5.09583720370203</v>
      </c>
    </row>
    <row r="2161" ht="13" customHeight="1">
      <c r="A2161" s="8">
        <v>9</v>
      </c>
      <c r="B2161" t="s" s="9">
        <v>30</v>
      </c>
      <c r="C2161" t="s" s="9">
        <v>31</v>
      </c>
      <c r="D2161" t="s" s="9">
        <v>32</v>
      </c>
      <c r="E2161" t="s" s="9">
        <v>71</v>
      </c>
      <c r="F2161" s="10">
        <v>751</v>
      </c>
      <c r="G2161" s="10">
        <v>14521657</v>
      </c>
      <c r="H2161" s="11" cm="1">
        <f t="array" ref="H2161">F2161/G2161*100000</f>
        <v>5.17158613510841</v>
      </c>
    </row>
    <row r="2162" ht="13" customHeight="1">
      <c r="A2162" s="8">
        <v>10</v>
      </c>
      <c r="B2162" t="s" s="9">
        <v>37</v>
      </c>
      <c r="C2162" t="s" s="9">
        <v>31</v>
      </c>
      <c r="D2162" t="s" s="9">
        <v>32</v>
      </c>
      <c r="E2162" t="s" s="9">
        <v>71</v>
      </c>
      <c r="F2162" s="10">
        <v>778</v>
      </c>
      <c r="G2162" s="10">
        <v>14521657</v>
      </c>
      <c r="H2162" s="11" cm="1">
        <f t="array" ref="H2162">F2162/G2162*100000</f>
        <v>5.35751533037862</v>
      </c>
    </row>
    <row r="2163" ht="13" customHeight="1">
      <c r="A2163" s="8">
        <v>1</v>
      </c>
      <c r="B2163" t="s" s="9">
        <v>30</v>
      </c>
      <c r="C2163" t="s" s="9">
        <v>31</v>
      </c>
      <c r="D2163" t="s" s="9">
        <v>38</v>
      </c>
      <c r="E2163" t="s" s="9">
        <v>71</v>
      </c>
      <c r="F2163" s="10">
        <v>10491</v>
      </c>
      <c r="G2163" s="10">
        <v>1874281</v>
      </c>
      <c r="H2163" s="11" cm="1">
        <f t="array" ref="H2163">F2163/G2163*100000</f>
        <v>559.7346395764559</v>
      </c>
    </row>
    <row r="2164" ht="13" customHeight="1">
      <c r="A2164" s="8">
        <v>2</v>
      </c>
      <c r="B2164" t="s" s="9">
        <v>34</v>
      </c>
      <c r="C2164" t="s" s="9">
        <v>31</v>
      </c>
      <c r="D2164" t="s" s="9">
        <v>38</v>
      </c>
      <c r="E2164" t="s" s="9">
        <v>71</v>
      </c>
      <c r="F2164" s="10">
        <v>4987</v>
      </c>
      <c r="G2164" s="10">
        <v>1874281</v>
      </c>
      <c r="H2164" s="11" cm="1">
        <f t="array" ref="H2164">F2164/G2164*100000</f>
        <v>266.075364366389</v>
      </c>
    </row>
    <row r="2165" ht="13" customHeight="1">
      <c r="A2165" s="8">
        <v>3</v>
      </c>
      <c r="B2165" t="s" s="9">
        <v>30</v>
      </c>
      <c r="C2165" t="s" s="9">
        <v>31</v>
      </c>
      <c r="D2165" t="s" s="9">
        <v>38</v>
      </c>
      <c r="E2165" t="s" s="9">
        <v>71</v>
      </c>
      <c r="F2165" s="10">
        <v>1019</v>
      </c>
      <c r="G2165" s="10">
        <v>1874281</v>
      </c>
      <c r="H2165" s="11" cm="1">
        <f t="array" ref="H2165">F2165/G2165*100000</f>
        <v>54.3675147963406</v>
      </c>
    </row>
    <row r="2166" ht="13" customHeight="1">
      <c r="A2166" s="8">
        <v>4</v>
      </c>
      <c r="B2166" t="s" s="9">
        <v>39</v>
      </c>
      <c r="C2166" t="s" s="9">
        <v>31</v>
      </c>
      <c r="D2166" t="s" s="9">
        <v>38</v>
      </c>
      <c r="E2166" t="s" s="9">
        <v>71</v>
      </c>
      <c r="F2166" s="10">
        <v>1955</v>
      </c>
      <c r="G2166" s="10">
        <v>1874281</v>
      </c>
      <c r="H2166" s="11" cm="1">
        <f t="array" ref="H2166">F2166/G2166*100000</f>
        <v>104.306664795727</v>
      </c>
    </row>
    <row r="2167" ht="13" customHeight="1">
      <c r="A2167" s="8">
        <v>5</v>
      </c>
      <c r="B2167" t="s" s="9">
        <v>35</v>
      </c>
      <c r="C2167" t="s" s="9">
        <v>31</v>
      </c>
      <c r="D2167" t="s" s="9">
        <v>38</v>
      </c>
      <c r="E2167" t="s" s="9">
        <v>71</v>
      </c>
      <c r="F2167" s="10">
        <v>759</v>
      </c>
      <c r="G2167" s="10">
        <v>1874281</v>
      </c>
      <c r="H2167" s="11" cm="1">
        <f t="array" ref="H2167">F2167/G2167*100000</f>
        <v>40.4955286853999</v>
      </c>
    </row>
    <row r="2168" ht="13" customHeight="1">
      <c r="A2168" s="8">
        <v>6</v>
      </c>
      <c r="B2168" t="s" s="9">
        <v>40</v>
      </c>
      <c r="C2168" t="s" s="9">
        <v>31</v>
      </c>
      <c r="D2168" t="s" s="9">
        <v>38</v>
      </c>
      <c r="E2168" t="s" s="9">
        <v>71</v>
      </c>
      <c r="F2168" s="10">
        <v>1199</v>
      </c>
      <c r="G2168" s="10">
        <v>1874281</v>
      </c>
      <c r="H2168" s="11" cm="1">
        <f t="array" ref="H2168">F2168/G2168*100000</f>
        <v>63.9711974885303</v>
      </c>
    </row>
    <row r="2169" ht="13" customHeight="1">
      <c r="A2169" s="8">
        <v>7</v>
      </c>
      <c r="B2169" t="s" s="9">
        <v>41</v>
      </c>
      <c r="C2169" t="s" s="9">
        <v>31</v>
      </c>
      <c r="D2169" t="s" s="9">
        <v>38</v>
      </c>
      <c r="E2169" t="s" s="9">
        <v>71</v>
      </c>
      <c r="F2169" s="10">
        <v>1406</v>
      </c>
      <c r="G2169" s="10">
        <v>1874281</v>
      </c>
      <c r="H2169" s="11" cm="1">
        <f t="array" ref="H2169">F2169/G2169*100000</f>
        <v>75.01543258454841</v>
      </c>
    </row>
    <row r="2170" ht="13" customHeight="1">
      <c r="A2170" s="8">
        <v>8</v>
      </c>
      <c r="B2170" t="s" s="9">
        <v>39</v>
      </c>
      <c r="C2170" t="s" s="9">
        <v>31</v>
      </c>
      <c r="D2170" t="s" s="9">
        <v>38</v>
      </c>
      <c r="E2170" t="s" s="9">
        <v>71</v>
      </c>
      <c r="F2170" s="10">
        <v>1282</v>
      </c>
      <c r="G2170" s="10">
        <v>1874281</v>
      </c>
      <c r="H2170" s="11" cm="1">
        <f t="array" ref="H2170">F2170/G2170*100000</f>
        <v>68.39956228548439</v>
      </c>
    </row>
    <row r="2171" ht="13" customHeight="1">
      <c r="A2171" s="8">
        <v>9</v>
      </c>
      <c r="B2171" t="s" s="9">
        <v>37</v>
      </c>
      <c r="C2171" t="s" s="9">
        <v>31</v>
      </c>
      <c r="D2171" t="s" s="9">
        <v>38</v>
      </c>
      <c r="E2171" t="s" s="9">
        <v>71</v>
      </c>
      <c r="F2171" s="10">
        <v>885</v>
      </c>
      <c r="G2171" s="10">
        <v>1874281</v>
      </c>
      <c r="H2171" s="11" cm="1">
        <f t="array" ref="H2171">F2171/G2171*100000</f>
        <v>47.2181065699327</v>
      </c>
    </row>
    <row r="2172" ht="13" customHeight="1">
      <c r="A2172" s="8">
        <v>10</v>
      </c>
      <c r="B2172" t="s" s="9">
        <v>30</v>
      </c>
      <c r="C2172" t="s" s="9">
        <v>31</v>
      </c>
      <c r="D2172" t="s" s="9">
        <v>38</v>
      </c>
      <c r="E2172" t="s" s="9">
        <v>71</v>
      </c>
      <c r="F2172" s="10">
        <v>765</v>
      </c>
      <c r="G2172" s="10">
        <v>1874281</v>
      </c>
      <c r="H2172" s="11" cm="1">
        <f t="array" ref="H2172">F2172/G2172*100000</f>
        <v>40.8156514418062</v>
      </c>
    </row>
    <row r="2173" ht="13" customHeight="1">
      <c r="A2173" s="8">
        <v>1</v>
      </c>
      <c r="B2173" t="s" s="9">
        <v>30</v>
      </c>
      <c r="C2173" t="s" s="9">
        <v>31</v>
      </c>
      <c r="D2173" t="s" s="9">
        <v>42</v>
      </c>
      <c r="E2173" t="s" s="9">
        <v>71</v>
      </c>
      <c r="F2173" s="10">
        <v>2991</v>
      </c>
      <c r="G2173" s="10">
        <v>5458063</v>
      </c>
      <c r="H2173" s="11" cm="1">
        <f t="array" ref="H2173">F2173/G2173*100000</f>
        <v>54.7996606121989</v>
      </c>
    </row>
    <row r="2174" ht="13" customHeight="1">
      <c r="A2174" s="8">
        <v>2</v>
      </c>
      <c r="B2174" t="s" s="9">
        <v>34</v>
      </c>
      <c r="C2174" t="s" s="9">
        <v>31</v>
      </c>
      <c r="D2174" t="s" s="9">
        <v>42</v>
      </c>
      <c r="E2174" t="s" s="9">
        <v>71</v>
      </c>
      <c r="F2174" s="10">
        <v>2313</v>
      </c>
      <c r="G2174" s="10">
        <v>5458063</v>
      </c>
      <c r="H2174" s="11" cm="1">
        <f t="array" ref="H2174">F2174/G2174*100000</f>
        <v>42.3776713460435</v>
      </c>
    </row>
    <row r="2175" ht="13" customHeight="1">
      <c r="A2175" s="8">
        <v>3</v>
      </c>
      <c r="B2175" t="s" s="9">
        <v>35</v>
      </c>
      <c r="C2175" t="s" s="9">
        <v>31</v>
      </c>
      <c r="D2175" t="s" s="9">
        <v>42</v>
      </c>
      <c r="E2175" t="s" s="9">
        <v>71</v>
      </c>
      <c r="F2175" s="10">
        <v>1311</v>
      </c>
      <c r="G2175" s="10">
        <v>5458063</v>
      </c>
      <c r="H2175" s="11" cm="1">
        <f t="array" ref="H2175">F2175/G2175*100000</f>
        <v>24.0195102181855</v>
      </c>
    </row>
    <row r="2176" ht="13" customHeight="1">
      <c r="A2176" s="8">
        <v>4</v>
      </c>
      <c r="B2176" t="s" s="9">
        <v>40</v>
      </c>
      <c r="C2176" t="s" s="9">
        <v>31</v>
      </c>
      <c r="D2176" t="s" s="9">
        <v>42</v>
      </c>
      <c r="E2176" t="s" s="9">
        <v>71</v>
      </c>
      <c r="F2176" s="10">
        <v>1026</v>
      </c>
      <c r="G2176" s="10">
        <v>5458063</v>
      </c>
      <c r="H2176" s="11" cm="1">
        <f t="array" ref="H2176">F2176/G2176*100000</f>
        <v>18.7978775620582</v>
      </c>
    </row>
    <row r="2177" ht="13" customHeight="1">
      <c r="A2177" s="8">
        <v>5</v>
      </c>
      <c r="B2177" t="s" s="9">
        <v>37</v>
      </c>
      <c r="C2177" t="s" s="9">
        <v>31</v>
      </c>
      <c r="D2177" t="s" s="9">
        <v>42</v>
      </c>
      <c r="E2177" t="s" s="9">
        <v>71</v>
      </c>
      <c r="F2177" s="10">
        <v>705</v>
      </c>
      <c r="G2177" s="10">
        <v>5458063</v>
      </c>
      <c r="H2177" s="11" cm="1">
        <f t="array" ref="H2177">F2177/G2177*100000</f>
        <v>12.9166702546306</v>
      </c>
    </row>
    <row r="2178" ht="13" customHeight="1">
      <c r="A2178" s="8">
        <v>6</v>
      </c>
      <c r="B2178" t="s" s="9">
        <v>30</v>
      </c>
      <c r="C2178" t="s" s="9">
        <v>31</v>
      </c>
      <c r="D2178" t="s" s="9">
        <v>42</v>
      </c>
      <c r="E2178" t="s" s="9">
        <v>71</v>
      </c>
      <c r="F2178" s="10">
        <v>498</v>
      </c>
      <c r="G2178" s="10">
        <v>5458063</v>
      </c>
      <c r="H2178" s="11" cm="1">
        <f t="array" ref="H2178">F2178/G2178*100000</f>
        <v>9.124116009653971</v>
      </c>
    </row>
    <row r="2179" ht="13" customHeight="1">
      <c r="A2179" s="8">
        <v>7</v>
      </c>
      <c r="B2179" t="s" s="9">
        <v>37</v>
      </c>
      <c r="C2179" t="s" s="9">
        <v>31</v>
      </c>
      <c r="D2179" t="s" s="9">
        <v>42</v>
      </c>
      <c r="E2179" t="s" s="9">
        <v>71</v>
      </c>
      <c r="F2179" s="10">
        <v>475</v>
      </c>
      <c r="G2179" s="10">
        <v>5458063</v>
      </c>
      <c r="H2179" s="11" cm="1">
        <f t="array" ref="H2179">F2179/G2179*100000</f>
        <v>8.70272109354546</v>
      </c>
    </row>
    <row r="2180" ht="13" customHeight="1">
      <c r="A2180" s="8">
        <v>8</v>
      </c>
      <c r="B2180" t="s" s="9">
        <v>30</v>
      </c>
      <c r="C2180" t="s" s="9">
        <v>31</v>
      </c>
      <c r="D2180" t="s" s="9">
        <v>42</v>
      </c>
      <c r="E2180" t="s" s="9">
        <v>71</v>
      </c>
      <c r="F2180" s="10">
        <v>343</v>
      </c>
      <c r="G2180" s="10">
        <v>5458063</v>
      </c>
      <c r="H2180" s="11" cm="1">
        <f t="array" ref="H2180">F2180/G2180*100000</f>
        <v>6.2842807054444</v>
      </c>
    </row>
    <row r="2181" ht="13" customHeight="1">
      <c r="A2181" s="8">
        <v>9</v>
      </c>
      <c r="B2181" t="s" s="9">
        <v>36</v>
      </c>
      <c r="C2181" t="s" s="9">
        <v>31</v>
      </c>
      <c r="D2181" t="s" s="9">
        <v>42</v>
      </c>
      <c r="E2181" t="s" s="9">
        <v>71</v>
      </c>
      <c r="F2181" s="10">
        <v>344</v>
      </c>
      <c r="G2181" s="10">
        <v>5458063</v>
      </c>
      <c r="H2181" s="11" cm="1">
        <f t="array" ref="H2181">F2181/G2181*100000</f>
        <v>6.30260222353608</v>
      </c>
    </row>
    <row r="2182" ht="13" customHeight="1">
      <c r="A2182" s="8">
        <v>10</v>
      </c>
      <c r="B2182" t="s" s="9">
        <v>39</v>
      </c>
      <c r="C2182" t="s" s="9">
        <v>31</v>
      </c>
      <c r="D2182" t="s" s="9">
        <v>42</v>
      </c>
      <c r="E2182" t="s" s="9">
        <v>71</v>
      </c>
      <c r="F2182" s="10">
        <v>395</v>
      </c>
      <c r="G2182" s="10">
        <v>5458063</v>
      </c>
      <c r="H2182" s="11" cm="1">
        <f t="array" ref="H2182">F2182/G2182*100000</f>
        <v>7.23699964621149</v>
      </c>
    </row>
    <row r="2183" ht="13" customHeight="1">
      <c r="A2183" s="8">
        <v>1</v>
      </c>
      <c r="B2183" t="s" s="9">
        <v>30</v>
      </c>
      <c r="C2183" t="s" s="9">
        <v>31</v>
      </c>
      <c r="D2183" t="s" s="9">
        <v>43</v>
      </c>
      <c r="E2183" t="s" s="9">
        <v>71</v>
      </c>
      <c r="F2183" s="10">
        <v>9767</v>
      </c>
      <c r="G2183" s="10">
        <v>3817144</v>
      </c>
      <c r="H2183" s="11" cm="1">
        <f t="array" ref="H2183">F2183/G2183*100000</f>
        <v>255.871929379662</v>
      </c>
    </row>
    <row r="2184" ht="13" customHeight="1">
      <c r="A2184" s="8">
        <v>2</v>
      </c>
      <c r="B2184" t="s" s="9">
        <v>34</v>
      </c>
      <c r="C2184" t="s" s="9">
        <v>31</v>
      </c>
      <c r="D2184" t="s" s="9">
        <v>43</v>
      </c>
      <c r="E2184" t="s" s="9">
        <v>71</v>
      </c>
      <c r="F2184" s="10">
        <v>6122</v>
      </c>
      <c r="G2184" s="10">
        <v>3817144</v>
      </c>
      <c r="H2184" s="11" cm="1">
        <f t="array" ref="H2184">F2184/G2184*100000</f>
        <v>160.381688508476</v>
      </c>
    </row>
    <row r="2185" ht="13" customHeight="1">
      <c r="A2185" s="8">
        <v>3</v>
      </c>
      <c r="B2185" t="s" s="9">
        <v>30</v>
      </c>
      <c r="C2185" t="s" s="9">
        <v>31</v>
      </c>
      <c r="D2185" t="s" s="9">
        <v>43</v>
      </c>
      <c r="E2185" t="s" s="9">
        <v>71</v>
      </c>
      <c r="F2185" s="10">
        <v>1629</v>
      </c>
      <c r="G2185" s="10">
        <v>3817144</v>
      </c>
      <c r="H2185" s="11" cm="1">
        <f t="array" ref="H2185">F2185/G2185*100000</f>
        <v>42.6758854263816</v>
      </c>
    </row>
    <row r="2186" ht="13" customHeight="1">
      <c r="A2186" s="8">
        <v>4</v>
      </c>
      <c r="B2186" t="s" s="9">
        <v>39</v>
      </c>
      <c r="C2186" t="s" s="9">
        <v>31</v>
      </c>
      <c r="D2186" t="s" s="9">
        <v>43</v>
      </c>
      <c r="E2186" t="s" s="9">
        <v>71</v>
      </c>
      <c r="F2186" s="10">
        <v>2167</v>
      </c>
      <c r="G2186" s="10">
        <v>3817144</v>
      </c>
      <c r="H2186" s="11" cm="1">
        <f t="array" ref="H2186">F2186/G2186*100000</f>
        <v>56.7701925837747</v>
      </c>
    </row>
    <row r="2187" ht="13" customHeight="1">
      <c r="A2187" s="8">
        <v>5</v>
      </c>
      <c r="B2187" t="s" s="9">
        <v>30</v>
      </c>
      <c r="C2187" t="s" s="9">
        <v>31</v>
      </c>
      <c r="D2187" t="s" s="9">
        <v>43</v>
      </c>
      <c r="E2187" t="s" s="9">
        <v>71</v>
      </c>
      <c r="F2187" s="10">
        <v>1410</v>
      </c>
      <c r="G2187" s="10">
        <v>3817144</v>
      </c>
      <c r="H2187" s="11" cm="1">
        <f t="array" ref="H2187">F2187/G2187*100000</f>
        <v>36.9386116950264</v>
      </c>
    </row>
    <row r="2188" ht="13" customHeight="1">
      <c r="A2188" s="8">
        <v>6</v>
      </c>
      <c r="B2188" t="s" s="9">
        <v>36</v>
      </c>
      <c r="C2188" t="s" s="9">
        <v>31</v>
      </c>
      <c r="D2188" t="s" s="9">
        <v>43</v>
      </c>
      <c r="E2188" t="s" s="9">
        <v>71</v>
      </c>
      <c r="F2188" s="10">
        <v>1001</v>
      </c>
      <c r="G2188" s="10">
        <v>3817144</v>
      </c>
      <c r="H2188" s="11" cm="1">
        <f t="array" ref="H2188">F2188/G2188*100000</f>
        <v>26.2237945437741</v>
      </c>
    </row>
    <row r="2189" ht="13" customHeight="1">
      <c r="A2189" s="8">
        <v>7</v>
      </c>
      <c r="B2189" t="s" s="9">
        <v>37</v>
      </c>
      <c r="C2189" t="s" s="9">
        <v>31</v>
      </c>
      <c r="D2189" t="s" s="9">
        <v>43</v>
      </c>
      <c r="E2189" t="s" s="9">
        <v>71</v>
      </c>
      <c r="F2189" s="10">
        <v>1057</v>
      </c>
      <c r="G2189" s="10">
        <v>3817144</v>
      </c>
      <c r="H2189" s="11" cm="1">
        <f t="array" ref="H2189">F2189/G2189*100000</f>
        <v>27.6908599727964</v>
      </c>
    </row>
    <row r="2190" ht="13" customHeight="1">
      <c r="A2190" s="8">
        <v>8</v>
      </c>
      <c r="B2190" t="s" s="9">
        <v>30</v>
      </c>
      <c r="C2190" t="s" s="9">
        <v>31</v>
      </c>
      <c r="D2190" t="s" s="9">
        <v>43</v>
      </c>
      <c r="E2190" t="s" s="9">
        <v>71</v>
      </c>
      <c r="F2190" s="10">
        <v>899</v>
      </c>
      <c r="G2190" s="10">
        <v>3817144</v>
      </c>
      <c r="H2190" s="11" cm="1">
        <f t="array" ref="H2190">F2190/G2190*100000</f>
        <v>23.5516396551977</v>
      </c>
    </row>
    <row r="2191" ht="13" customHeight="1">
      <c r="A2191" s="8">
        <v>9</v>
      </c>
      <c r="B2191" t="s" s="9">
        <v>30</v>
      </c>
      <c r="C2191" t="s" s="9">
        <v>31</v>
      </c>
      <c r="D2191" t="s" s="9">
        <v>43</v>
      </c>
      <c r="E2191" t="s" s="9">
        <v>71</v>
      </c>
      <c r="F2191" s="10">
        <v>819</v>
      </c>
      <c r="G2191" s="10">
        <v>3817144</v>
      </c>
      <c r="H2191" s="11" cm="1">
        <f t="array" ref="H2191">F2191/G2191*100000</f>
        <v>21.4558318994515</v>
      </c>
    </row>
    <row r="2192" ht="13" customHeight="1">
      <c r="A2192" s="8">
        <v>10</v>
      </c>
      <c r="B2192" t="s" s="9">
        <v>30</v>
      </c>
      <c r="C2192" t="s" s="9">
        <v>31</v>
      </c>
      <c r="D2192" t="s" s="9">
        <v>43</v>
      </c>
      <c r="E2192" t="s" s="9">
        <v>71</v>
      </c>
      <c r="F2192" s="10">
        <v>579</v>
      </c>
      <c r="G2192" s="10">
        <v>3817144</v>
      </c>
      <c r="H2192" s="11" cm="1">
        <f t="array" ref="H2192">F2192/G2192*100000</f>
        <v>15.168408632213</v>
      </c>
    </row>
    <row r="2193" ht="13" customHeight="1">
      <c r="A2193" s="8">
        <v>1</v>
      </c>
      <c r="B2193" t="s" s="9">
        <v>30</v>
      </c>
      <c r="C2193" t="s" s="9">
        <v>31</v>
      </c>
      <c r="D2193" t="s" s="9">
        <v>44</v>
      </c>
      <c r="E2193" t="s" s="9">
        <v>71</v>
      </c>
      <c r="F2193" s="10">
        <v>10128</v>
      </c>
      <c r="G2193" s="10">
        <v>13239670</v>
      </c>
      <c r="H2193" s="11" cm="1">
        <f t="array" ref="H2193">F2193/G2193*100000</f>
        <v>76.4973749345716</v>
      </c>
    </row>
    <row r="2194" ht="13" customHeight="1">
      <c r="A2194" s="8">
        <v>2</v>
      </c>
      <c r="B2194" t="s" s="9">
        <v>34</v>
      </c>
      <c r="C2194" t="s" s="9">
        <v>31</v>
      </c>
      <c r="D2194" t="s" s="9">
        <v>44</v>
      </c>
      <c r="E2194" t="s" s="9">
        <v>71</v>
      </c>
      <c r="F2194" s="10">
        <v>5198</v>
      </c>
      <c r="G2194" s="10">
        <v>13239670</v>
      </c>
      <c r="H2194" s="11" cm="1">
        <f t="array" ref="H2194">F2194/G2194*100000</f>
        <v>39.260797285733</v>
      </c>
    </row>
    <row r="2195" ht="13" customHeight="1">
      <c r="A2195" s="8">
        <v>3</v>
      </c>
      <c r="B2195" t="s" s="9">
        <v>30</v>
      </c>
      <c r="C2195" t="s" s="9">
        <v>31</v>
      </c>
      <c r="D2195" t="s" s="9">
        <v>44</v>
      </c>
      <c r="E2195" t="s" s="9">
        <v>71</v>
      </c>
      <c r="F2195" s="10">
        <v>3017</v>
      </c>
      <c r="G2195" s="10">
        <v>13239670</v>
      </c>
      <c r="H2195" s="11" cm="1">
        <f t="array" ref="H2195">F2195/G2195*100000</f>
        <v>22.7875770317538</v>
      </c>
    </row>
    <row r="2196" ht="13" customHeight="1">
      <c r="A2196" s="8">
        <v>4</v>
      </c>
      <c r="B2196" t="s" s="9">
        <v>37</v>
      </c>
      <c r="C2196" t="s" s="9">
        <v>31</v>
      </c>
      <c r="D2196" t="s" s="9">
        <v>44</v>
      </c>
      <c r="E2196" t="s" s="9">
        <v>71</v>
      </c>
      <c r="F2196" s="10">
        <v>2096</v>
      </c>
      <c r="G2196" s="10">
        <v>13239670</v>
      </c>
      <c r="H2196" s="11" cm="1">
        <f t="array" ref="H2196">F2196/G2196*100000</f>
        <v>15.8312102945164</v>
      </c>
    </row>
    <row r="2197" ht="13" customHeight="1">
      <c r="A2197" s="8">
        <v>5</v>
      </c>
      <c r="B2197" t="s" s="9">
        <v>39</v>
      </c>
      <c r="C2197" t="s" s="9">
        <v>31</v>
      </c>
      <c r="D2197" t="s" s="9">
        <v>44</v>
      </c>
      <c r="E2197" t="s" s="9">
        <v>71</v>
      </c>
      <c r="F2197" s="10">
        <v>2010</v>
      </c>
      <c r="G2197" s="10">
        <v>13239670</v>
      </c>
      <c r="H2197" s="11" cm="1">
        <f t="array" ref="H2197">F2197/G2197*100000</f>
        <v>15.181647276707</v>
      </c>
    </row>
    <row r="2198" ht="13" customHeight="1">
      <c r="A2198" s="8">
        <v>6</v>
      </c>
      <c r="B2198" t="s" s="9">
        <v>30</v>
      </c>
      <c r="C2198" t="s" s="9">
        <v>31</v>
      </c>
      <c r="D2198" t="s" s="9">
        <v>44</v>
      </c>
      <c r="E2198" t="s" s="9">
        <v>71</v>
      </c>
      <c r="F2198" s="10">
        <v>753</v>
      </c>
      <c r="G2198" s="10">
        <v>13239670</v>
      </c>
      <c r="H2198" s="11" cm="1">
        <f t="array" ref="H2198">F2198/G2198*100000</f>
        <v>5.68745293500518</v>
      </c>
    </row>
    <row r="2199" ht="13" customHeight="1">
      <c r="A2199" s="8">
        <v>7</v>
      </c>
      <c r="B2199" t="s" s="9">
        <v>45</v>
      </c>
      <c r="C2199" t="s" s="9">
        <v>31</v>
      </c>
      <c r="D2199" t="s" s="9">
        <v>44</v>
      </c>
      <c r="E2199" t="s" s="9">
        <v>71</v>
      </c>
      <c r="F2199" s="10">
        <v>623</v>
      </c>
      <c r="G2199" s="10">
        <v>13239670</v>
      </c>
      <c r="H2199" s="11" cm="1">
        <f t="array" ref="H2199">F2199/G2199*100000</f>
        <v>4.70555534994452</v>
      </c>
    </row>
    <row r="2200" ht="13" customHeight="1">
      <c r="A2200" s="8">
        <v>8</v>
      </c>
      <c r="B2200" t="s" s="9">
        <v>36</v>
      </c>
      <c r="C2200" t="s" s="9">
        <v>31</v>
      </c>
      <c r="D2200" t="s" s="9">
        <v>44</v>
      </c>
      <c r="E2200" t="s" s="9">
        <v>71</v>
      </c>
      <c r="F2200" s="10">
        <v>613</v>
      </c>
      <c r="G2200" s="10">
        <v>13239670</v>
      </c>
      <c r="H2200" s="11" cm="1">
        <f t="array" ref="H2200">F2200/G2200*100000</f>
        <v>4.63002476647832</v>
      </c>
    </row>
    <row r="2201" ht="13" customHeight="1">
      <c r="A2201" s="8">
        <v>9</v>
      </c>
      <c r="B2201" t="s" s="9">
        <v>37</v>
      </c>
      <c r="C2201" t="s" s="9">
        <v>31</v>
      </c>
      <c r="D2201" t="s" s="9">
        <v>44</v>
      </c>
      <c r="E2201" t="s" s="9">
        <v>71</v>
      </c>
      <c r="F2201" s="10">
        <v>744</v>
      </c>
      <c r="G2201" s="10">
        <v>13239670</v>
      </c>
      <c r="H2201" s="11" cm="1">
        <f t="array" ref="H2201">F2201/G2201*100000</f>
        <v>5.61947540988559</v>
      </c>
    </row>
    <row r="2202" ht="13" customHeight="1">
      <c r="A2202" s="8">
        <v>10</v>
      </c>
      <c r="B2202" t="s" s="9">
        <v>41</v>
      </c>
      <c r="C2202" t="s" s="9">
        <v>31</v>
      </c>
      <c r="D2202" t="s" s="9">
        <v>44</v>
      </c>
      <c r="E2202" t="s" s="9">
        <v>71</v>
      </c>
      <c r="F2202" s="10">
        <v>713</v>
      </c>
      <c r="G2202" s="10">
        <v>13239670</v>
      </c>
      <c r="H2202" s="11" cm="1">
        <f t="array" ref="H2202">F2202/G2202*100000</f>
        <v>5.38533060114036</v>
      </c>
    </row>
    <row r="2203" ht="13" customHeight="1">
      <c r="A2203" s="8">
        <v>1</v>
      </c>
      <c r="B2203" t="s" s="9">
        <v>30</v>
      </c>
      <c r="C2203" t="s" s="9">
        <v>31</v>
      </c>
      <c r="D2203" t="s" s="9">
        <v>46</v>
      </c>
      <c r="E2203" t="s" s="9">
        <v>71</v>
      </c>
      <c r="F2203" s="10">
        <v>19765</v>
      </c>
      <c r="G2203" s="10">
        <v>17477569</v>
      </c>
      <c r="H2203" s="11" cm="1">
        <f t="array" ref="H2203">F2203/G2203*100000</f>
        <v>113.087809866464</v>
      </c>
    </row>
    <row r="2204" ht="13" customHeight="1">
      <c r="A2204" s="8">
        <v>2</v>
      </c>
      <c r="B2204" t="s" s="9">
        <v>30</v>
      </c>
      <c r="C2204" t="s" s="9">
        <v>31</v>
      </c>
      <c r="D2204" t="s" s="9">
        <v>46</v>
      </c>
      <c r="E2204" t="s" s="9">
        <v>71</v>
      </c>
      <c r="F2204" s="10">
        <v>6935</v>
      </c>
      <c r="G2204" s="10">
        <v>17477569</v>
      </c>
      <c r="H2204" s="11" cm="1">
        <f t="array" ref="H2204">F2204/G2204*100000</f>
        <v>39.6794313900291</v>
      </c>
    </row>
    <row r="2205" ht="13" customHeight="1">
      <c r="A2205" s="8">
        <v>3</v>
      </c>
      <c r="B2205" t="s" s="9">
        <v>35</v>
      </c>
      <c r="C2205" t="s" s="9">
        <v>31</v>
      </c>
      <c r="D2205" t="s" s="9">
        <v>46</v>
      </c>
      <c r="E2205" t="s" s="9">
        <v>71</v>
      </c>
      <c r="F2205" s="10">
        <v>5901</v>
      </c>
      <c r="G2205" s="10">
        <v>17477569</v>
      </c>
      <c r="H2205" s="11" cm="1">
        <f t="array" ref="H2205">F2205/G2205*100000</f>
        <v>33.7632768035417</v>
      </c>
    </row>
    <row r="2206" ht="13" customHeight="1">
      <c r="A2206" s="8">
        <v>4</v>
      </c>
      <c r="B2206" t="s" s="9">
        <v>34</v>
      </c>
      <c r="C2206" t="s" s="9">
        <v>31</v>
      </c>
      <c r="D2206" t="s" s="9">
        <v>46</v>
      </c>
      <c r="E2206" t="s" s="9">
        <v>71</v>
      </c>
      <c r="F2206" s="10">
        <v>6805</v>
      </c>
      <c r="G2206" s="10">
        <v>17477569</v>
      </c>
      <c r="H2206" s="11" cm="1">
        <f t="array" ref="H2206">F2206/G2206*100000</f>
        <v>38.9356208520762</v>
      </c>
    </row>
    <row r="2207" ht="13" customHeight="1">
      <c r="A2207" s="8">
        <v>5</v>
      </c>
      <c r="B2207" t="s" s="9">
        <v>41</v>
      </c>
      <c r="C2207" t="s" s="9">
        <v>31</v>
      </c>
      <c r="D2207" t="s" s="9">
        <v>46</v>
      </c>
      <c r="E2207" t="s" s="9">
        <v>71</v>
      </c>
      <c r="F2207" s="10">
        <v>4540</v>
      </c>
      <c r="G2207" s="10">
        <v>17477569</v>
      </c>
      <c r="H2207" s="11" cm="1">
        <f t="array" ref="H2207">F2207/G2207*100000</f>
        <v>25.9761526331265</v>
      </c>
    </row>
    <row r="2208" ht="13" customHeight="1">
      <c r="A2208" s="8">
        <v>6</v>
      </c>
      <c r="B2208" t="s" s="9">
        <v>39</v>
      </c>
      <c r="C2208" t="s" s="9">
        <v>31</v>
      </c>
      <c r="D2208" t="s" s="9">
        <v>46</v>
      </c>
      <c r="E2208" t="s" s="9">
        <v>71</v>
      </c>
      <c r="F2208" s="10">
        <v>5083</v>
      </c>
      <c r="G2208" s="10">
        <v>17477569</v>
      </c>
      <c r="H2208" s="11" cm="1">
        <f t="array" ref="H2208">F2208/G2208*100000</f>
        <v>29.0829920339608</v>
      </c>
    </row>
    <row r="2209" ht="13" customHeight="1">
      <c r="A2209" s="8">
        <v>7</v>
      </c>
      <c r="B2209" t="s" s="9">
        <v>37</v>
      </c>
      <c r="C2209" t="s" s="9">
        <v>31</v>
      </c>
      <c r="D2209" t="s" s="9">
        <v>46</v>
      </c>
      <c r="E2209" t="s" s="9">
        <v>71</v>
      </c>
      <c r="F2209" s="10">
        <v>2153</v>
      </c>
      <c r="G2209" s="10">
        <v>17477569</v>
      </c>
      <c r="H2209" s="11" cm="1">
        <f t="array" ref="H2209">F2209/G2209*100000</f>
        <v>12.3186468324056</v>
      </c>
    </row>
    <row r="2210" ht="13" customHeight="1">
      <c r="A2210" s="8">
        <v>8</v>
      </c>
      <c r="B2210" t="s" s="9">
        <v>45</v>
      </c>
      <c r="C2210" t="s" s="9">
        <v>31</v>
      </c>
      <c r="D2210" t="s" s="9">
        <v>46</v>
      </c>
      <c r="E2210" t="s" s="9">
        <v>71</v>
      </c>
      <c r="F2210" s="10">
        <v>1765</v>
      </c>
      <c r="G2210" s="10">
        <v>17477569</v>
      </c>
      <c r="H2210" s="11" cm="1">
        <f t="array" ref="H2210">F2210/G2210*100000</f>
        <v>10.0986584575921</v>
      </c>
    </row>
    <row r="2211" ht="13" customHeight="1">
      <c r="A2211" s="8">
        <v>9</v>
      </c>
      <c r="B2211" t="s" s="9">
        <v>35</v>
      </c>
      <c r="C2211" t="s" s="9">
        <v>31</v>
      </c>
      <c r="D2211" t="s" s="9">
        <v>46</v>
      </c>
      <c r="E2211" t="s" s="9">
        <v>71</v>
      </c>
      <c r="F2211" s="10">
        <v>1194</v>
      </c>
      <c r="G2211" s="10">
        <v>17477569</v>
      </c>
      <c r="H2211" s="11" cm="1">
        <f t="array" ref="H2211">F2211/G2211*100000</f>
        <v>6.83161371012181</v>
      </c>
    </row>
    <row r="2212" ht="13" customHeight="1">
      <c r="A2212" s="8">
        <v>10</v>
      </c>
      <c r="B2212" t="s" s="9">
        <v>30</v>
      </c>
      <c r="C2212" t="s" s="9">
        <v>31</v>
      </c>
      <c r="D2212" t="s" s="9">
        <v>46</v>
      </c>
      <c r="E2212" t="s" s="9">
        <v>71</v>
      </c>
      <c r="F2212" s="10">
        <v>1385</v>
      </c>
      <c r="G2212" s="10">
        <v>17477569</v>
      </c>
      <c r="H2212" s="11" cm="1">
        <f t="array" ref="H2212">F2212/G2212*100000</f>
        <v>7.9244430389604</v>
      </c>
    </row>
    <row r="2213" ht="13" customHeight="1">
      <c r="A2213" s="8">
        <v>1</v>
      </c>
      <c r="B2213" t="s" s="9">
        <v>30</v>
      </c>
      <c r="C2213" t="s" s="9">
        <v>31</v>
      </c>
      <c r="D2213" t="s" s="9">
        <v>47</v>
      </c>
      <c r="E2213" t="s" s="9">
        <v>71</v>
      </c>
      <c r="F2213" s="10">
        <v>1801</v>
      </c>
      <c r="G2213" s="10">
        <v>3342831</v>
      </c>
      <c r="H2213" s="11" cm="1">
        <f t="array" ref="H2213">F2213/G2213*100000</f>
        <v>53.8764897178469</v>
      </c>
    </row>
    <row r="2214" ht="13" customHeight="1">
      <c r="A2214" s="8">
        <v>2</v>
      </c>
      <c r="B2214" t="s" s="9">
        <v>30</v>
      </c>
      <c r="C2214" t="s" s="9">
        <v>31</v>
      </c>
      <c r="D2214" t="s" s="9">
        <v>47</v>
      </c>
      <c r="E2214" t="s" s="9">
        <v>71</v>
      </c>
      <c r="F2214" s="10">
        <v>1587</v>
      </c>
      <c r="G2214" s="10">
        <v>3342831</v>
      </c>
      <c r="H2214" s="11" cm="1">
        <f t="array" ref="H2214">F2214/G2214*100000</f>
        <v>47.4747302510956</v>
      </c>
    </row>
    <row r="2215" ht="13" customHeight="1">
      <c r="A2215" s="8">
        <v>3</v>
      </c>
      <c r="B2215" t="s" s="9">
        <v>35</v>
      </c>
      <c r="C2215" t="s" s="9">
        <v>31</v>
      </c>
      <c r="D2215" t="s" s="9">
        <v>47</v>
      </c>
      <c r="E2215" t="s" s="9">
        <v>71</v>
      </c>
      <c r="F2215" s="10">
        <v>616</v>
      </c>
      <c r="G2215" s="10">
        <v>3342831</v>
      </c>
      <c r="H2215" s="11" cm="1">
        <f t="array" ref="H2215">F2215/G2215*100000</f>
        <v>18.4274945398077</v>
      </c>
    </row>
    <row r="2216" ht="13" customHeight="1">
      <c r="A2216" s="8">
        <v>4</v>
      </c>
      <c r="B2216" t="s" s="9">
        <v>35</v>
      </c>
      <c r="C2216" t="s" s="9">
        <v>31</v>
      </c>
      <c r="D2216" t="s" s="9">
        <v>47</v>
      </c>
      <c r="E2216" t="s" s="9">
        <v>71</v>
      </c>
      <c r="F2216" s="10">
        <v>545</v>
      </c>
      <c r="G2216" s="10">
        <v>3342831</v>
      </c>
      <c r="H2216" s="11" cm="1">
        <f t="array" ref="H2216">F2216/G2216*100000</f>
        <v>16.3035463055117</v>
      </c>
    </row>
    <row r="2217" ht="13" customHeight="1">
      <c r="A2217" s="8">
        <v>5</v>
      </c>
      <c r="B2217" t="s" s="9">
        <v>34</v>
      </c>
      <c r="C2217" t="s" s="9">
        <v>31</v>
      </c>
      <c r="D2217" t="s" s="9">
        <v>47</v>
      </c>
      <c r="E2217" t="s" s="9">
        <v>71</v>
      </c>
      <c r="F2217" s="10">
        <v>442</v>
      </c>
      <c r="G2217" s="10">
        <v>3342831</v>
      </c>
      <c r="H2217" s="11" cm="1">
        <f t="array" ref="H2217">F2217/G2217*100000</f>
        <v>13.2223256275893</v>
      </c>
    </row>
    <row r="2218" ht="13" customHeight="1">
      <c r="A2218" s="8">
        <v>6</v>
      </c>
      <c r="B2218" t="s" s="9">
        <v>30</v>
      </c>
      <c r="C2218" t="s" s="9">
        <v>31</v>
      </c>
      <c r="D2218" t="s" s="9">
        <v>47</v>
      </c>
      <c r="E2218" t="s" s="9">
        <v>71</v>
      </c>
      <c r="F2218" s="10">
        <v>410</v>
      </c>
      <c r="G2218" s="10">
        <v>3342831</v>
      </c>
      <c r="H2218" s="11" cm="1">
        <f t="array" ref="H2218">F2218/G2218*100000</f>
        <v>12.2650531839629</v>
      </c>
    </row>
    <row r="2219" ht="13" customHeight="1">
      <c r="A2219" s="8">
        <v>7</v>
      </c>
      <c r="B2219" t="s" s="9">
        <v>45</v>
      </c>
      <c r="C2219" t="s" s="9">
        <v>31</v>
      </c>
      <c r="D2219" t="s" s="9">
        <v>47</v>
      </c>
      <c r="E2219" t="s" s="9">
        <v>71</v>
      </c>
      <c r="F2219" s="10">
        <v>328</v>
      </c>
      <c r="G2219" s="10">
        <v>3342831</v>
      </c>
      <c r="H2219" s="11" cm="1">
        <f t="array" ref="H2219">F2219/G2219*100000</f>
        <v>9.81204254717035</v>
      </c>
    </row>
    <row r="2220" ht="13" customHeight="1">
      <c r="A2220" s="8">
        <v>8</v>
      </c>
      <c r="B2220" t="s" s="9">
        <v>39</v>
      </c>
      <c r="C2220" t="s" s="9">
        <v>31</v>
      </c>
      <c r="D2220" t="s" s="9">
        <v>47</v>
      </c>
      <c r="E2220" t="s" s="9">
        <v>71</v>
      </c>
      <c r="F2220" s="10">
        <v>421</v>
      </c>
      <c r="G2220" s="10">
        <v>3342831</v>
      </c>
      <c r="H2220" s="11" cm="1">
        <f t="array" ref="H2220">F2220/G2220*100000</f>
        <v>12.5941155864595</v>
      </c>
    </row>
    <row r="2221" ht="13" customHeight="1">
      <c r="A2221" s="8">
        <v>9</v>
      </c>
      <c r="B2221" t="s" s="9">
        <v>30</v>
      </c>
      <c r="C2221" t="s" s="9">
        <v>31</v>
      </c>
      <c r="D2221" t="s" s="9">
        <v>47</v>
      </c>
      <c r="E2221" t="s" s="9">
        <v>71</v>
      </c>
      <c r="F2221" s="10">
        <v>241</v>
      </c>
      <c r="G2221" s="10">
        <v>3342831</v>
      </c>
      <c r="H2221" s="11" cm="1">
        <f t="array" ref="H2221">F2221/G2221*100000</f>
        <v>7.20945809106114</v>
      </c>
    </row>
    <row r="2222" ht="13" customHeight="1">
      <c r="A2222" s="8">
        <v>10</v>
      </c>
      <c r="B2222" t="s" s="9">
        <v>39</v>
      </c>
      <c r="C2222" t="s" s="9">
        <v>31</v>
      </c>
      <c r="D2222" t="s" s="9">
        <v>47</v>
      </c>
      <c r="E2222" t="s" s="9">
        <v>71</v>
      </c>
      <c r="F2222" s="10">
        <v>320</v>
      </c>
      <c r="G2222" s="10">
        <v>3342831</v>
      </c>
      <c r="H2222" s="11" cm="1">
        <f t="array" ref="H2222">F2222/G2222*100000</f>
        <v>9.57272443626375</v>
      </c>
    </row>
    <row r="2223" ht="13" customHeight="1">
      <c r="A2223" s="8">
        <v>1</v>
      </c>
      <c r="B2223" t="s" s="9">
        <v>48</v>
      </c>
      <c r="C2223" t="s" s="9">
        <v>31</v>
      </c>
      <c r="D2223" t="s" s="9">
        <v>49</v>
      </c>
      <c r="E2223" t="s" s="9">
        <v>71</v>
      </c>
      <c r="F2223" s="10">
        <v>0</v>
      </c>
      <c r="G2223" s="10">
        <v>6397690</v>
      </c>
      <c r="H2223" t="s" s="9">
        <v>50</v>
      </c>
    </row>
    <row r="2224" ht="13" customHeight="1">
      <c r="A2224" s="8">
        <v>2</v>
      </c>
      <c r="B2224" t="s" s="9">
        <v>48</v>
      </c>
      <c r="C2224" t="s" s="9">
        <v>31</v>
      </c>
      <c r="D2224" t="s" s="9">
        <v>49</v>
      </c>
      <c r="E2224" t="s" s="9">
        <v>71</v>
      </c>
      <c r="F2224" s="10">
        <v>0</v>
      </c>
      <c r="G2224" s="10">
        <v>6397690</v>
      </c>
      <c r="H2224" t="s" s="9">
        <v>50</v>
      </c>
    </row>
    <row r="2225" ht="13" customHeight="1">
      <c r="A2225" s="8">
        <v>3</v>
      </c>
      <c r="B2225" t="s" s="9">
        <v>48</v>
      </c>
      <c r="C2225" t="s" s="9">
        <v>31</v>
      </c>
      <c r="D2225" t="s" s="9">
        <v>49</v>
      </c>
      <c r="E2225" t="s" s="9">
        <v>71</v>
      </c>
      <c r="F2225" s="10">
        <v>0</v>
      </c>
      <c r="G2225" s="10">
        <v>6397690</v>
      </c>
      <c r="H2225" t="s" s="9">
        <v>50</v>
      </c>
    </row>
    <row r="2226" ht="13" customHeight="1">
      <c r="A2226" s="8">
        <v>4</v>
      </c>
      <c r="B2226" t="s" s="9">
        <v>48</v>
      </c>
      <c r="C2226" t="s" s="9">
        <v>31</v>
      </c>
      <c r="D2226" t="s" s="9">
        <v>49</v>
      </c>
      <c r="E2226" t="s" s="9">
        <v>71</v>
      </c>
      <c r="F2226" s="10">
        <v>0</v>
      </c>
      <c r="G2226" s="10">
        <v>6397690</v>
      </c>
      <c r="H2226" t="s" s="9">
        <v>50</v>
      </c>
    </row>
    <row r="2227" ht="13" customHeight="1">
      <c r="A2227" s="8">
        <v>5</v>
      </c>
      <c r="B2227" t="s" s="9">
        <v>48</v>
      </c>
      <c r="C2227" t="s" s="9">
        <v>31</v>
      </c>
      <c r="D2227" t="s" s="9">
        <v>49</v>
      </c>
      <c r="E2227" t="s" s="9">
        <v>71</v>
      </c>
      <c r="F2227" s="10">
        <v>0</v>
      </c>
      <c r="G2227" s="10">
        <v>6397690</v>
      </c>
      <c r="H2227" t="s" s="9">
        <v>50</v>
      </c>
    </row>
    <row r="2228" ht="13" customHeight="1">
      <c r="A2228" s="8">
        <v>6</v>
      </c>
      <c r="B2228" t="s" s="9">
        <v>48</v>
      </c>
      <c r="C2228" t="s" s="9">
        <v>31</v>
      </c>
      <c r="D2228" t="s" s="9">
        <v>49</v>
      </c>
      <c r="E2228" t="s" s="9">
        <v>71</v>
      </c>
      <c r="F2228" s="10">
        <v>0</v>
      </c>
      <c r="G2228" s="10">
        <v>6397690</v>
      </c>
      <c r="H2228" t="s" s="9">
        <v>50</v>
      </c>
    </row>
    <row r="2229" ht="13" customHeight="1">
      <c r="A2229" s="8">
        <v>7</v>
      </c>
      <c r="B2229" t="s" s="9">
        <v>48</v>
      </c>
      <c r="C2229" t="s" s="9">
        <v>31</v>
      </c>
      <c r="D2229" t="s" s="9">
        <v>49</v>
      </c>
      <c r="E2229" t="s" s="9">
        <v>71</v>
      </c>
      <c r="F2229" s="10">
        <v>0</v>
      </c>
      <c r="G2229" s="10">
        <v>6397690</v>
      </c>
      <c r="H2229" t="s" s="9">
        <v>50</v>
      </c>
    </row>
    <row r="2230" ht="13" customHeight="1">
      <c r="A2230" s="8">
        <v>8</v>
      </c>
      <c r="B2230" t="s" s="9">
        <v>48</v>
      </c>
      <c r="C2230" t="s" s="9">
        <v>31</v>
      </c>
      <c r="D2230" t="s" s="9">
        <v>49</v>
      </c>
      <c r="E2230" t="s" s="9">
        <v>71</v>
      </c>
      <c r="F2230" s="10">
        <v>0</v>
      </c>
      <c r="G2230" s="10">
        <v>6397690</v>
      </c>
      <c r="H2230" t="s" s="9">
        <v>50</v>
      </c>
    </row>
    <row r="2231" ht="13" customHeight="1">
      <c r="A2231" s="8">
        <v>9</v>
      </c>
      <c r="B2231" t="s" s="9">
        <v>48</v>
      </c>
      <c r="C2231" t="s" s="9">
        <v>31</v>
      </c>
      <c r="D2231" t="s" s="9">
        <v>49</v>
      </c>
      <c r="E2231" t="s" s="9">
        <v>71</v>
      </c>
      <c r="F2231" s="10">
        <v>0</v>
      </c>
      <c r="G2231" s="10">
        <v>6397690</v>
      </c>
      <c r="H2231" t="s" s="9">
        <v>50</v>
      </c>
    </row>
    <row r="2232" ht="13" customHeight="1">
      <c r="A2232" s="8">
        <v>10</v>
      </c>
      <c r="B2232" t="s" s="9">
        <v>48</v>
      </c>
      <c r="C2232" t="s" s="9">
        <v>31</v>
      </c>
      <c r="D2232" t="s" s="9">
        <v>49</v>
      </c>
      <c r="E2232" t="s" s="9">
        <v>71</v>
      </c>
      <c r="F2232" s="10">
        <v>0</v>
      </c>
      <c r="G2232" s="10">
        <v>6397690</v>
      </c>
      <c r="H2232" t="s" s="9">
        <v>50</v>
      </c>
    </row>
    <row r="2233" ht="13.65" customHeight="1">
      <c r="A2233" s="8">
        <v>1</v>
      </c>
      <c r="B2233" t="s" s="9">
        <v>30</v>
      </c>
      <c r="C2233" t="s" s="9">
        <v>31</v>
      </c>
      <c r="D2233" t="s" s="9">
        <v>51</v>
      </c>
      <c r="E2233" t="s" s="9">
        <v>71</v>
      </c>
      <c r="F2233" s="10">
        <v>1607</v>
      </c>
      <c r="G2233" s="12"/>
      <c r="H2233" s="13"/>
    </row>
    <row r="2234" ht="13.65" customHeight="1">
      <c r="A2234" s="8">
        <v>2</v>
      </c>
      <c r="B2234" t="s" s="9">
        <v>34</v>
      </c>
      <c r="C2234" t="s" s="9">
        <v>31</v>
      </c>
      <c r="D2234" t="s" s="9">
        <v>51</v>
      </c>
      <c r="E2234" t="s" s="9">
        <v>71</v>
      </c>
      <c r="F2234" s="10">
        <v>1554</v>
      </c>
      <c r="G2234" s="14"/>
      <c r="H2234" s="15"/>
    </row>
    <row r="2235" ht="13.65" customHeight="1">
      <c r="A2235" s="8">
        <v>3</v>
      </c>
      <c r="B2235" t="s" s="9">
        <v>30</v>
      </c>
      <c r="C2235" t="s" s="9">
        <v>31</v>
      </c>
      <c r="D2235" t="s" s="9">
        <v>51</v>
      </c>
      <c r="E2235" t="s" s="9">
        <v>71</v>
      </c>
      <c r="F2235" s="10">
        <v>982</v>
      </c>
      <c r="G2235" s="14"/>
      <c r="H2235" s="15"/>
    </row>
    <row r="2236" ht="13.65" customHeight="1">
      <c r="A2236" s="8">
        <v>4</v>
      </c>
      <c r="B2236" t="s" s="9">
        <v>35</v>
      </c>
      <c r="C2236" t="s" s="9">
        <v>31</v>
      </c>
      <c r="D2236" t="s" s="9">
        <v>51</v>
      </c>
      <c r="E2236" t="s" s="9">
        <v>71</v>
      </c>
      <c r="F2236" s="10">
        <v>531</v>
      </c>
      <c r="G2236" s="14"/>
      <c r="H2236" s="15"/>
    </row>
    <row r="2237" ht="13.65" customHeight="1">
      <c r="A2237" s="8">
        <v>5</v>
      </c>
      <c r="B2237" t="s" s="9">
        <v>39</v>
      </c>
      <c r="C2237" t="s" s="9">
        <v>31</v>
      </c>
      <c r="D2237" t="s" s="9">
        <v>51</v>
      </c>
      <c r="E2237" t="s" s="9">
        <v>71</v>
      </c>
      <c r="F2237" s="10">
        <v>513</v>
      </c>
      <c r="G2237" s="14"/>
      <c r="H2237" s="15"/>
    </row>
    <row r="2238" ht="13.65" customHeight="1">
      <c r="A2238" s="8">
        <v>6</v>
      </c>
      <c r="B2238" t="s" s="9">
        <v>30</v>
      </c>
      <c r="C2238" t="s" s="9">
        <v>31</v>
      </c>
      <c r="D2238" t="s" s="9">
        <v>51</v>
      </c>
      <c r="E2238" t="s" s="9">
        <v>71</v>
      </c>
      <c r="F2238" s="10">
        <v>182</v>
      </c>
      <c r="G2238" s="14"/>
      <c r="H2238" s="15"/>
    </row>
    <row r="2239" ht="13.65" customHeight="1">
      <c r="A2239" s="8">
        <v>7</v>
      </c>
      <c r="B2239" t="s" s="9">
        <v>30</v>
      </c>
      <c r="C2239" t="s" s="9">
        <v>31</v>
      </c>
      <c r="D2239" t="s" s="9">
        <v>51</v>
      </c>
      <c r="E2239" t="s" s="9">
        <v>71</v>
      </c>
      <c r="F2239" s="10">
        <v>212</v>
      </c>
      <c r="G2239" s="14"/>
      <c r="H2239" s="15"/>
    </row>
    <row r="2240" ht="13.65" customHeight="1">
      <c r="A2240" s="8">
        <v>8</v>
      </c>
      <c r="B2240" t="s" s="9">
        <v>36</v>
      </c>
      <c r="C2240" t="s" s="9">
        <v>31</v>
      </c>
      <c r="D2240" t="s" s="9">
        <v>51</v>
      </c>
      <c r="E2240" t="s" s="9">
        <v>71</v>
      </c>
      <c r="F2240" s="10">
        <v>62</v>
      </c>
      <c r="G2240" s="14"/>
      <c r="H2240" s="15"/>
    </row>
    <row r="2241" ht="13.65" customHeight="1">
      <c r="A2241" s="8">
        <v>9</v>
      </c>
      <c r="B2241" t="s" s="9">
        <v>30</v>
      </c>
      <c r="C2241" t="s" s="9">
        <v>31</v>
      </c>
      <c r="D2241" t="s" s="9">
        <v>51</v>
      </c>
      <c r="E2241" t="s" s="9">
        <v>71</v>
      </c>
      <c r="F2241" s="10">
        <v>33</v>
      </c>
      <c r="G2241" s="14"/>
      <c r="H2241" s="15"/>
    </row>
    <row r="2242" ht="13.65" customHeight="1">
      <c r="A2242" s="8">
        <v>10</v>
      </c>
      <c r="B2242" t="s" s="9">
        <v>37</v>
      </c>
      <c r="C2242" t="s" s="9">
        <v>31</v>
      </c>
      <c r="D2242" t="s" s="9">
        <v>51</v>
      </c>
      <c r="E2242" t="s" s="9">
        <v>71</v>
      </c>
      <c r="F2242" s="10">
        <v>41</v>
      </c>
      <c r="G2242" s="14"/>
      <c r="H2242" s="15"/>
    </row>
    <row r="2243" ht="13.65" customHeight="1">
      <c r="A2243" s="8">
        <v>1</v>
      </c>
      <c r="B2243" t="s" s="9">
        <v>30</v>
      </c>
      <c r="C2243" t="s" s="9">
        <v>31</v>
      </c>
      <c r="D2243" t="s" s="9">
        <v>52</v>
      </c>
      <c r="E2243" t="s" s="9">
        <v>71</v>
      </c>
      <c r="F2243" s="10">
        <v>6632</v>
      </c>
      <c r="G2243" s="14"/>
      <c r="H2243" s="15"/>
    </row>
    <row r="2244" ht="13.65" customHeight="1">
      <c r="A2244" s="8">
        <v>2</v>
      </c>
      <c r="B2244" t="s" s="9">
        <v>35</v>
      </c>
      <c r="C2244" t="s" s="9">
        <v>31</v>
      </c>
      <c r="D2244" t="s" s="9">
        <v>52</v>
      </c>
      <c r="E2244" t="s" s="9">
        <v>71</v>
      </c>
      <c r="F2244" s="10">
        <v>5107</v>
      </c>
      <c r="G2244" s="14"/>
      <c r="H2244" s="15"/>
    </row>
    <row r="2245" ht="13.65" customHeight="1">
      <c r="A2245" s="8">
        <v>3</v>
      </c>
      <c r="B2245" t="s" s="9">
        <v>34</v>
      </c>
      <c r="C2245" t="s" s="9">
        <v>31</v>
      </c>
      <c r="D2245" t="s" s="9">
        <v>52</v>
      </c>
      <c r="E2245" t="s" s="9">
        <v>71</v>
      </c>
      <c r="F2245" s="10">
        <v>3877</v>
      </c>
      <c r="G2245" s="14"/>
      <c r="H2245" s="15"/>
    </row>
    <row r="2246" ht="13.65" customHeight="1">
      <c r="A2246" s="8">
        <v>4</v>
      </c>
      <c r="B2246" t="s" s="9">
        <v>30</v>
      </c>
      <c r="C2246" t="s" s="9">
        <v>31</v>
      </c>
      <c r="D2246" t="s" s="9">
        <v>52</v>
      </c>
      <c r="E2246" t="s" s="9">
        <v>71</v>
      </c>
      <c r="F2246" s="10">
        <v>2221</v>
      </c>
      <c r="G2246" s="14"/>
      <c r="H2246" s="15"/>
    </row>
    <row r="2247" ht="13.65" customHeight="1">
      <c r="A2247" s="8">
        <v>5</v>
      </c>
      <c r="B2247" t="s" s="9">
        <v>39</v>
      </c>
      <c r="C2247" t="s" s="9">
        <v>31</v>
      </c>
      <c r="D2247" t="s" s="9">
        <v>52</v>
      </c>
      <c r="E2247" t="s" s="9">
        <v>71</v>
      </c>
      <c r="F2247" s="10">
        <v>1602</v>
      </c>
      <c r="G2247" s="14"/>
      <c r="H2247" s="15"/>
    </row>
    <row r="2248" ht="13.65" customHeight="1">
      <c r="A2248" s="8">
        <v>6</v>
      </c>
      <c r="B2248" t="s" s="9">
        <v>45</v>
      </c>
      <c r="C2248" t="s" s="9">
        <v>31</v>
      </c>
      <c r="D2248" t="s" s="9">
        <v>52</v>
      </c>
      <c r="E2248" t="s" s="9">
        <v>71</v>
      </c>
      <c r="F2248" s="10">
        <v>800</v>
      </c>
      <c r="G2248" s="14"/>
      <c r="H2248" s="15"/>
    </row>
    <row r="2249" ht="13.65" customHeight="1">
      <c r="A2249" s="8">
        <v>7</v>
      </c>
      <c r="B2249" t="s" s="9">
        <v>30</v>
      </c>
      <c r="C2249" t="s" s="9">
        <v>31</v>
      </c>
      <c r="D2249" t="s" s="9">
        <v>52</v>
      </c>
      <c r="E2249" t="s" s="9">
        <v>71</v>
      </c>
      <c r="F2249" s="10">
        <v>789</v>
      </c>
      <c r="G2249" s="14"/>
      <c r="H2249" s="15"/>
    </row>
    <row r="2250" ht="13.65" customHeight="1">
      <c r="A2250" s="8">
        <v>8</v>
      </c>
      <c r="B2250" t="s" s="9">
        <v>36</v>
      </c>
      <c r="C2250" t="s" s="9">
        <v>31</v>
      </c>
      <c r="D2250" t="s" s="9">
        <v>52</v>
      </c>
      <c r="E2250" t="s" s="9">
        <v>71</v>
      </c>
      <c r="F2250" s="10">
        <v>658</v>
      </c>
      <c r="G2250" s="14"/>
      <c r="H2250" s="15"/>
    </row>
    <row r="2251" ht="13.65" customHeight="1">
      <c r="A2251" s="8">
        <v>9</v>
      </c>
      <c r="B2251" t="s" s="9">
        <v>45</v>
      </c>
      <c r="C2251" t="s" s="9">
        <v>31</v>
      </c>
      <c r="D2251" t="s" s="9">
        <v>52</v>
      </c>
      <c r="E2251" t="s" s="9">
        <v>71</v>
      </c>
      <c r="F2251" s="10">
        <v>678</v>
      </c>
      <c r="G2251" s="14"/>
      <c r="H2251" s="15"/>
    </row>
    <row r="2252" ht="13.65" customHeight="1">
      <c r="A2252" s="8">
        <v>10</v>
      </c>
      <c r="B2252" t="s" s="9">
        <v>41</v>
      </c>
      <c r="C2252" t="s" s="9">
        <v>31</v>
      </c>
      <c r="D2252" t="s" s="9">
        <v>52</v>
      </c>
      <c r="E2252" t="s" s="9">
        <v>71</v>
      </c>
      <c r="F2252" s="10">
        <v>752</v>
      </c>
      <c r="G2252" s="16"/>
      <c r="H2252" s="17"/>
    </row>
    <row r="2253" ht="13" customHeight="1">
      <c r="A2253" s="8">
        <v>1</v>
      </c>
      <c r="B2253" t="s" s="9">
        <v>41</v>
      </c>
      <c r="C2253" t="s" s="9">
        <v>31</v>
      </c>
      <c r="D2253" t="s" s="9">
        <v>53</v>
      </c>
      <c r="E2253" t="s" s="9">
        <v>71</v>
      </c>
      <c r="F2253" s="10">
        <v>1807</v>
      </c>
      <c r="G2253" s="10">
        <v>5049226</v>
      </c>
      <c r="H2253" s="11" cm="1">
        <f t="array" ref="H2253">F2253/G2253*100000</f>
        <v>35.7876632973054</v>
      </c>
    </row>
    <row r="2254" ht="13" customHeight="1">
      <c r="A2254" s="8">
        <v>2</v>
      </c>
      <c r="B2254" t="s" s="9">
        <v>30</v>
      </c>
      <c r="C2254" t="s" s="9">
        <v>31</v>
      </c>
      <c r="D2254" t="s" s="9">
        <v>53</v>
      </c>
      <c r="E2254" t="s" s="9">
        <v>71</v>
      </c>
      <c r="F2254" s="10">
        <v>374</v>
      </c>
      <c r="G2254" s="10">
        <v>5049226</v>
      </c>
      <c r="H2254" s="11" cm="1">
        <f t="array" ref="H2254">F2254/G2254*100000</f>
        <v>7.40707585677488</v>
      </c>
    </row>
    <row r="2255" ht="13" customHeight="1">
      <c r="A2255" s="8">
        <v>3</v>
      </c>
      <c r="B2255" t="s" s="9">
        <v>45</v>
      </c>
      <c r="C2255" t="s" s="9">
        <v>31</v>
      </c>
      <c r="D2255" t="s" s="9">
        <v>53</v>
      </c>
      <c r="E2255" t="s" s="9">
        <v>71</v>
      </c>
      <c r="F2255" s="10">
        <v>66</v>
      </c>
      <c r="G2255" s="10">
        <v>5049226</v>
      </c>
      <c r="H2255" s="11" cm="1">
        <f t="array" ref="H2255">F2255/G2255*100000</f>
        <v>1.30713103354851</v>
      </c>
    </row>
    <row r="2256" ht="13" customHeight="1">
      <c r="A2256" s="8">
        <v>4</v>
      </c>
      <c r="B2256" t="s" s="9">
        <v>34</v>
      </c>
      <c r="C2256" t="s" s="9">
        <v>31</v>
      </c>
      <c r="D2256" t="s" s="9">
        <v>53</v>
      </c>
      <c r="E2256" t="s" s="9">
        <v>71</v>
      </c>
      <c r="F2256" s="10">
        <v>62</v>
      </c>
      <c r="G2256" s="10">
        <v>5049226</v>
      </c>
      <c r="H2256" s="11" cm="1">
        <f t="array" ref="H2256">F2256/G2256*100000</f>
        <v>1.2279109709092</v>
      </c>
    </row>
    <row r="2257" ht="13" customHeight="1">
      <c r="A2257" s="8">
        <v>5</v>
      </c>
      <c r="B2257" t="s" s="9">
        <v>41</v>
      </c>
      <c r="C2257" t="s" s="9">
        <v>31</v>
      </c>
      <c r="D2257" t="s" s="9">
        <v>53</v>
      </c>
      <c r="E2257" t="s" s="9">
        <v>71</v>
      </c>
      <c r="F2257" s="10">
        <v>27</v>
      </c>
      <c r="G2257" s="10">
        <v>5049226</v>
      </c>
      <c r="H2257" s="11" cm="1">
        <f t="array" ref="H2257">F2257/G2257*100000</f>
        <v>0.534735422815299</v>
      </c>
    </row>
    <row r="2258" ht="13" customHeight="1">
      <c r="A2258" s="8">
        <v>6</v>
      </c>
      <c r="B2258" t="s" s="9">
        <v>45</v>
      </c>
      <c r="C2258" t="s" s="9">
        <v>31</v>
      </c>
      <c r="D2258" t="s" s="9">
        <v>53</v>
      </c>
      <c r="E2258" t="s" s="9">
        <v>71</v>
      </c>
      <c r="F2258" s="10">
        <v>6</v>
      </c>
      <c r="G2258" s="10">
        <v>5049226</v>
      </c>
      <c r="H2258" s="11" cm="1">
        <f t="array" ref="H2258">F2258/G2258*100000</f>
        <v>0.118830093958955</v>
      </c>
    </row>
    <row r="2259" ht="13" customHeight="1">
      <c r="A2259" s="8">
        <v>7</v>
      </c>
      <c r="B2259" t="s" s="9">
        <v>45</v>
      </c>
      <c r="C2259" t="s" s="9">
        <v>31</v>
      </c>
      <c r="D2259" t="s" s="9">
        <v>53</v>
      </c>
      <c r="E2259" t="s" s="9">
        <v>71</v>
      </c>
      <c r="F2259" s="10">
        <v>3</v>
      </c>
      <c r="G2259" s="10">
        <v>5049226</v>
      </c>
      <c r="H2259" s="11" cm="1">
        <f t="array" ref="H2259">F2259/G2259*100000</f>
        <v>0.0594150469794776</v>
      </c>
    </row>
    <row r="2260" ht="13" customHeight="1">
      <c r="A2260" s="8">
        <v>8</v>
      </c>
      <c r="B2260" t="s" s="9">
        <v>30</v>
      </c>
      <c r="C2260" t="s" s="9">
        <v>31</v>
      </c>
      <c r="D2260" t="s" s="9">
        <v>53</v>
      </c>
      <c r="E2260" t="s" s="9">
        <v>71</v>
      </c>
      <c r="F2260" s="10">
        <v>5</v>
      </c>
      <c r="G2260" s="10">
        <v>5049226</v>
      </c>
      <c r="H2260" s="11" cm="1">
        <f t="array" ref="H2260">F2260/G2260*100000</f>
        <v>0.0990250782991294</v>
      </c>
    </row>
    <row r="2261" ht="13" customHeight="1">
      <c r="A2261" s="8">
        <v>9</v>
      </c>
      <c r="B2261" t="s" s="9">
        <v>45</v>
      </c>
      <c r="C2261" t="s" s="9">
        <v>31</v>
      </c>
      <c r="D2261" t="s" s="9">
        <v>53</v>
      </c>
      <c r="E2261" t="s" s="9">
        <v>71</v>
      </c>
      <c r="F2261" s="10">
        <v>3</v>
      </c>
      <c r="G2261" s="10">
        <v>5049226</v>
      </c>
      <c r="H2261" s="11" cm="1">
        <f t="array" ref="H2261">F2261/G2261*100000</f>
        <v>0.0594150469794776</v>
      </c>
    </row>
    <row r="2262" ht="13" customHeight="1">
      <c r="A2262" s="8">
        <v>10</v>
      </c>
      <c r="B2262" t="s" s="9">
        <v>45</v>
      </c>
      <c r="C2262" t="s" s="9">
        <v>31</v>
      </c>
      <c r="D2262" t="s" s="9">
        <v>53</v>
      </c>
      <c r="E2262" t="s" s="9">
        <v>71</v>
      </c>
      <c r="F2262" s="10">
        <v>0</v>
      </c>
      <c r="G2262" s="10">
        <v>5049226</v>
      </c>
      <c r="H2262" s="11" cm="1">
        <f t="array" ref="H2262">F2262/G2262*100000</f>
        <v>0</v>
      </c>
    </row>
    <row r="2263" ht="13" customHeight="1">
      <c r="A2263" s="8">
        <v>1</v>
      </c>
      <c r="B2263" t="s" s="9">
        <v>30</v>
      </c>
      <c r="C2263" t="s" s="9">
        <v>31</v>
      </c>
      <c r="D2263" t="s" s="9">
        <v>54</v>
      </c>
      <c r="E2263" t="s" s="9">
        <v>71</v>
      </c>
      <c r="F2263" s="10">
        <v>3807</v>
      </c>
      <c r="G2263" s="10">
        <v>3901529</v>
      </c>
      <c r="H2263" s="11" cm="1">
        <f t="array" ref="H2263">F2263/G2263*100000</f>
        <v>97.5771293767136</v>
      </c>
    </row>
    <row r="2264" ht="13" customHeight="1">
      <c r="A2264" s="8">
        <v>2</v>
      </c>
      <c r="B2264" t="s" s="9">
        <v>35</v>
      </c>
      <c r="C2264" t="s" s="9">
        <v>31</v>
      </c>
      <c r="D2264" t="s" s="9">
        <v>54</v>
      </c>
      <c r="E2264" t="s" s="9">
        <v>71</v>
      </c>
      <c r="F2264" s="10">
        <v>2953</v>
      </c>
      <c r="G2264" s="10">
        <v>3901529</v>
      </c>
      <c r="H2264" s="11" cm="1">
        <f t="array" ref="H2264">F2264/G2264*100000</f>
        <v>75.68827503268589</v>
      </c>
    </row>
    <row r="2265" ht="13" customHeight="1">
      <c r="A2265" s="8">
        <v>3</v>
      </c>
      <c r="B2265" t="s" s="9">
        <v>30</v>
      </c>
      <c r="C2265" t="s" s="9">
        <v>31</v>
      </c>
      <c r="D2265" t="s" s="9">
        <v>54</v>
      </c>
      <c r="E2265" t="s" s="9">
        <v>71</v>
      </c>
      <c r="F2265" s="10">
        <v>1322</v>
      </c>
      <c r="G2265" s="10">
        <v>3901529</v>
      </c>
      <c r="H2265" s="11" cm="1">
        <f t="array" ref="H2265">F2265/G2265*100000</f>
        <v>33.8841515723707</v>
      </c>
    </row>
    <row r="2266" ht="13" customHeight="1">
      <c r="A2266" s="8">
        <v>4</v>
      </c>
      <c r="B2266" t="s" s="9">
        <v>34</v>
      </c>
      <c r="C2266" t="s" s="9">
        <v>31</v>
      </c>
      <c r="D2266" t="s" s="9">
        <v>54</v>
      </c>
      <c r="E2266" t="s" s="9">
        <v>71</v>
      </c>
      <c r="F2266" s="10">
        <v>1419</v>
      </c>
      <c r="G2266" s="10">
        <v>3901529</v>
      </c>
      <c r="H2266" s="11" cm="1">
        <f t="array" ref="H2266">F2266/G2266*100000</f>
        <v>36.3703563397837</v>
      </c>
    </row>
    <row r="2267" ht="13" customHeight="1">
      <c r="A2267" s="8">
        <v>5</v>
      </c>
      <c r="B2267" t="s" s="9">
        <v>30</v>
      </c>
      <c r="C2267" t="s" s="9">
        <v>31</v>
      </c>
      <c r="D2267" t="s" s="9">
        <v>54</v>
      </c>
      <c r="E2267" t="s" s="9">
        <v>71</v>
      </c>
      <c r="F2267" s="10">
        <v>1078</v>
      </c>
      <c r="G2267" s="10">
        <v>3901529</v>
      </c>
      <c r="H2267" s="11" cm="1">
        <f t="array" ref="H2267">F2267/G2267*100000</f>
        <v>27.6301931883628</v>
      </c>
    </row>
    <row r="2268" ht="13" customHeight="1">
      <c r="A2268" s="8">
        <v>6</v>
      </c>
      <c r="B2268" t="s" s="9">
        <v>41</v>
      </c>
      <c r="C2268" t="s" s="9">
        <v>31</v>
      </c>
      <c r="D2268" t="s" s="9">
        <v>54</v>
      </c>
      <c r="E2268" t="s" s="9">
        <v>71</v>
      </c>
      <c r="F2268" s="10">
        <v>695</v>
      </c>
      <c r="G2268" s="10">
        <v>3901529</v>
      </c>
      <c r="H2268" s="11" cm="1">
        <f t="array" ref="H2268">F2268/G2268*100000</f>
        <v>17.8135290036291</v>
      </c>
    </row>
    <row r="2269" ht="13" customHeight="1">
      <c r="A2269" s="8">
        <v>7</v>
      </c>
      <c r="B2269" t="s" s="9">
        <v>41</v>
      </c>
      <c r="C2269" t="s" s="9">
        <v>31</v>
      </c>
      <c r="D2269" t="s" s="9">
        <v>54</v>
      </c>
      <c r="E2269" t="s" s="9">
        <v>71</v>
      </c>
      <c r="F2269" s="10">
        <v>712</v>
      </c>
      <c r="G2269" s="10">
        <v>3901529</v>
      </c>
      <c r="H2269" s="11" cm="1">
        <f t="array" ref="H2269">F2269/G2269*100000</f>
        <v>18.249255612351</v>
      </c>
    </row>
    <row r="2270" ht="13" customHeight="1">
      <c r="A2270" s="8">
        <v>8</v>
      </c>
      <c r="B2270" t="s" s="9">
        <v>39</v>
      </c>
      <c r="C2270" t="s" s="9">
        <v>31</v>
      </c>
      <c r="D2270" t="s" s="9">
        <v>54</v>
      </c>
      <c r="E2270" t="s" s="9">
        <v>71</v>
      </c>
      <c r="F2270" s="10">
        <v>729</v>
      </c>
      <c r="G2270" s="10">
        <v>3901529</v>
      </c>
      <c r="H2270" s="11" cm="1">
        <f t="array" ref="H2270">F2270/G2270*100000</f>
        <v>18.6849822210728</v>
      </c>
    </row>
    <row r="2271" ht="13" customHeight="1">
      <c r="A2271" s="8">
        <v>9</v>
      </c>
      <c r="B2271" t="s" s="9">
        <v>40</v>
      </c>
      <c r="C2271" t="s" s="9">
        <v>31</v>
      </c>
      <c r="D2271" t="s" s="9">
        <v>54</v>
      </c>
      <c r="E2271" t="s" s="9">
        <v>71</v>
      </c>
      <c r="F2271" s="10">
        <v>478</v>
      </c>
      <c r="G2271" s="10">
        <v>3901529</v>
      </c>
      <c r="H2271" s="11" cm="1">
        <f t="array" ref="H2271">F2271/G2271*100000</f>
        <v>12.2516069981794</v>
      </c>
    </row>
    <row r="2272" ht="13" customHeight="1">
      <c r="A2272" s="8">
        <v>10</v>
      </c>
      <c r="B2272" t="s" s="9">
        <v>45</v>
      </c>
      <c r="C2272" t="s" s="9">
        <v>31</v>
      </c>
      <c r="D2272" t="s" s="9">
        <v>54</v>
      </c>
      <c r="E2272" t="s" s="9">
        <v>71</v>
      </c>
      <c r="F2272" s="10">
        <v>476</v>
      </c>
      <c r="G2272" s="10">
        <v>3901529</v>
      </c>
      <c r="H2272" s="11" cm="1">
        <f t="array" ref="H2272">F2272/G2272*100000</f>
        <v>12.2003450442122</v>
      </c>
    </row>
    <row r="2273" ht="13" customHeight="1">
      <c r="A2273" s="8">
        <v>1</v>
      </c>
      <c r="B2273" t="s" s="9">
        <v>35</v>
      </c>
      <c r="C2273" t="s" s="9">
        <v>31</v>
      </c>
      <c r="D2273" t="s" s="9">
        <v>55</v>
      </c>
      <c r="E2273" t="s" s="9">
        <v>71</v>
      </c>
      <c r="F2273" s="10">
        <v>5377</v>
      </c>
      <c r="G2273" s="10">
        <v>5273604</v>
      </c>
      <c r="H2273" s="11" cm="1">
        <f t="array" ref="H2273">F2273/G2273*100000</f>
        <v>101.960632614811</v>
      </c>
    </row>
    <row r="2274" ht="13" customHeight="1">
      <c r="A2274" s="8">
        <v>2</v>
      </c>
      <c r="B2274" t="s" s="9">
        <v>30</v>
      </c>
      <c r="C2274" t="s" s="9">
        <v>31</v>
      </c>
      <c r="D2274" t="s" s="9">
        <v>55</v>
      </c>
      <c r="E2274" t="s" s="9">
        <v>71</v>
      </c>
      <c r="F2274" s="10">
        <v>4053</v>
      </c>
      <c r="G2274" s="10">
        <v>5273604</v>
      </c>
      <c r="H2274" s="11" cm="1">
        <f t="array" ref="H2274">F2274/G2274*100000</f>
        <v>76.8544623373314</v>
      </c>
    </row>
    <row r="2275" ht="13" customHeight="1">
      <c r="A2275" s="8">
        <v>3</v>
      </c>
      <c r="B2275" t="s" s="9">
        <v>34</v>
      </c>
      <c r="C2275" t="s" s="9">
        <v>31</v>
      </c>
      <c r="D2275" t="s" s="9">
        <v>55</v>
      </c>
      <c r="E2275" t="s" s="9">
        <v>71</v>
      </c>
      <c r="F2275" s="10">
        <v>2118</v>
      </c>
      <c r="G2275" s="10">
        <v>5273604</v>
      </c>
      <c r="H2275" s="11" cm="1">
        <f t="array" ref="H2275">F2275/G2275*100000</f>
        <v>40.1622874982649</v>
      </c>
    </row>
    <row r="2276" ht="13" customHeight="1">
      <c r="A2276" s="8">
        <v>4</v>
      </c>
      <c r="B2276" t="s" s="9">
        <v>30</v>
      </c>
      <c r="C2276" t="s" s="9">
        <v>31</v>
      </c>
      <c r="D2276" t="s" s="9">
        <v>55</v>
      </c>
      <c r="E2276" t="s" s="9">
        <v>71</v>
      </c>
      <c r="F2276" s="10">
        <v>1449</v>
      </c>
      <c r="G2276" s="10">
        <v>5273604</v>
      </c>
      <c r="H2276" s="11" cm="1">
        <f t="array" ref="H2276">F2276/G2276*100000</f>
        <v>27.4764658097195</v>
      </c>
    </row>
    <row r="2277" ht="13" customHeight="1">
      <c r="A2277" s="8">
        <v>5</v>
      </c>
      <c r="B2277" t="s" s="9">
        <v>39</v>
      </c>
      <c r="C2277" t="s" s="9">
        <v>31</v>
      </c>
      <c r="D2277" t="s" s="9">
        <v>55</v>
      </c>
      <c r="E2277" t="s" s="9">
        <v>71</v>
      </c>
      <c r="F2277" s="10">
        <v>1511</v>
      </c>
      <c r="G2277" s="10">
        <v>5273604</v>
      </c>
      <c r="H2277" s="11" cm="1">
        <f t="array" ref="H2277">F2277/G2277*100000</f>
        <v>28.6521323937103</v>
      </c>
    </row>
    <row r="2278" ht="13" customHeight="1">
      <c r="A2278" s="8">
        <v>6</v>
      </c>
      <c r="B2278" t="s" s="9">
        <v>40</v>
      </c>
      <c r="C2278" t="s" s="9">
        <v>31</v>
      </c>
      <c r="D2278" t="s" s="9">
        <v>55</v>
      </c>
      <c r="E2278" t="s" s="9">
        <v>71</v>
      </c>
      <c r="F2278" s="10">
        <v>788</v>
      </c>
      <c r="G2278" s="10">
        <v>5273604</v>
      </c>
      <c r="H2278" s="11" cm="1">
        <f t="array" ref="H2278">F2278/G2278*100000</f>
        <v>14.9423430352374</v>
      </c>
    </row>
    <row r="2279" ht="13" customHeight="1">
      <c r="A2279" s="8">
        <v>7</v>
      </c>
      <c r="B2279" t="s" s="9">
        <v>30</v>
      </c>
      <c r="C2279" t="s" s="9">
        <v>31</v>
      </c>
      <c r="D2279" t="s" s="9">
        <v>55</v>
      </c>
      <c r="E2279" t="s" s="9">
        <v>71</v>
      </c>
      <c r="F2279" s="10">
        <v>882</v>
      </c>
      <c r="G2279" s="10">
        <v>5273604</v>
      </c>
      <c r="H2279" s="11" cm="1">
        <f t="array" ref="H2279">F2279/G2279*100000</f>
        <v>16.7248052754814</v>
      </c>
    </row>
    <row r="2280" ht="13" customHeight="1">
      <c r="A2280" s="8">
        <v>8</v>
      </c>
      <c r="B2280" t="s" s="9">
        <v>41</v>
      </c>
      <c r="C2280" t="s" s="9">
        <v>31</v>
      </c>
      <c r="D2280" t="s" s="9">
        <v>55</v>
      </c>
      <c r="E2280" t="s" s="9">
        <v>71</v>
      </c>
      <c r="F2280" s="10">
        <v>736</v>
      </c>
      <c r="G2280" s="10">
        <v>5273604</v>
      </c>
      <c r="H2280" s="11" cm="1">
        <f t="array" ref="H2280">F2280/G2280*100000</f>
        <v>13.9563000938258</v>
      </c>
    </row>
    <row r="2281" ht="13" customHeight="1">
      <c r="A2281" s="8">
        <v>9</v>
      </c>
      <c r="B2281" t="s" s="9">
        <v>36</v>
      </c>
      <c r="C2281" t="s" s="9">
        <v>31</v>
      </c>
      <c r="D2281" t="s" s="9">
        <v>55</v>
      </c>
      <c r="E2281" t="s" s="9">
        <v>71</v>
      </c>
      <c r="F2281" s="10">
        <v>752</v>
      </c>
      <c r="G2281" s="10">
        <v>5273604</v>
      </c>
      <c r="H2281" s="11" cm="1">
        <f t="array" ref="H2281">F2281/G2281*100000</f>
        <v>14.2596979219524</v>
      </c>
    </row>
    <row r="2282" ht="13" customHeight="1">
      <c r="A2282" s="8">
        <v>10</v>
      </c>
      <c r="B2282" t="s" s="9">
        <v>37</v>
      </c>
      <c r="C2282" t="s" s="9">
        <v>31</v>
      </c>
      <c r="D2282" t="s" s="9">
        <v>55</v>
      </c>
      <c r="E2282" t="s" s="9">
        <v>71</v>
      </c>
      <c r="F2282" s="10">
        <v>581</v>
      </c>
      <c r="G2282" s="10">
        <v>5273604</v>
      </c>
      <c r="H2282" s="11" cm="1">
        <f t="array" ref="H2282">F2282/G2282*100000</f>
        <v>11.0171336338489</v>
      </c>
    </row>
    <row r="2283" ht="13" customHeight="1">
      <c r="A2283" s="8">
        <v>1</v>
      </c>
      <c r="B2283" t="s" s="9">
        <v>30</v>
      </c>
      <c r="C2283" t="s" s="9">
        <v>31</v>
      </c>
      <c r="D2283" t="s" s="9">
        <v>56</v>
      </c>
      <c r="E2283" t="s" s="9">
        <v>71</v>
      </c>
      <c r="F2283" s="10">
        <v>1996</v>
      </c>
      <c r="G2283" s="10">
        <v>5691183</v>
      </c>
      <c r="H2283" s="11" cm="1">
        <f t="array" ref="H2283">F2283/G2283*100000</f>
        <v>35.0717943879155</v>
      </c>
    </row>
    <row r="2284" ht="13" customHeight="1">
      <c r="A2284" s="8">
        <v>2</v>
      </c>
      <c r="B2284" t="s" s="9">
        <v>35</v>
      </c>
      <c r="C2284" t="s" s="9">
        <v>31</v>
      </c>
      <c r="D2284" t="s" s="9">
        <v>56</v>
      </c>
      <c r="E2284" t="s" s="9">
        <v>71</v>
      </c>
      <c r="F2284" s="10">
        <v>885</v>
      </c>
      <c r="G2284" s="10">
        <v>5691183</v>
      </c>
      <c r="H2284" s="11" cm="1">
        <f t="array" ref="H2284">F2284/G2284*100000</f>
        <v>15.5503697561649</v>
      </c>
    </row>
    <row r="2285" ht="13" customHeight="1">
      <c r="A2285" s="8">
        <v>3</v>
      </c>
      <c r="B2285" t="s" s="9">
        <v>34</v>
      </c>
      <c r="C2285" t="s" s="9">
        <v>31</v>
      </c>
      <c r="D2285" t="s" s="9">
        <v>56</v>
      </c>
      <c r="E2285" t="s" s="9">
        <v>71</v>
      </c>
      <c r="F2285" s="10">
        <v>857</v>
      </c>
      <c r="G2285" s="10">
        <v>5691183</v>
      </c>
      <c r="H2285" s="11" cm="1">
        <f t="array" ref="H2285">F2285/G2285*100000</f>
        <v>15.0583806565349</v>
      </c>
    </row>
    <row r="2286" ht="13" customHeight="1">
      <c r="A2286" s="8">
        <v>4</v>
      </c>
      <c r="B2286" t="s" s="9">
        <v>30</v>
      </c>
      <c r="C2286" t="s" s="9">
        <v>31</v>
      </c>
      <c r="D2286" t="s" s="9">
        <v>56</v>
      </c>
      <c r="E2286" t="s" s="9">
        <v>71</v>
      </c>
      <c r="F2286" s="10">
        <v>595</v>
      </c>
      <c r="G2286" s="10">
        <v>5691183</v>
      </c>
      <c r="H2286" s="11" cm="1">
        <f t="array" ref="H2286">F2286/G2286*100000</f>
        <v>10.4547683671391</v>
      </c>
    </row>
    <row r="2287" ht="13" customHeight="1">
      <c r="A2287" s="8">
        <v>5</v>
      </c>
      <c r="B2287" t="s" s="9">
        <v>41</v>
      </c>
      <c r="C2287" t="s" s="9">
        <v>31</v>
      </c>
      <c r="D2287" t="s" s="9">
        <v>56</v>
      </c>
      <c r="E2287" t="s" s="9">
        <v>71</v>
      </c>
      <c r="F2287" s="10">
        <v>615</v>
      </c>
      <c r="G2287" s="10">
        <v>5691183</v>
      </c>
      <c r="H2287" s="11" cm="1">
        <f t="array" ref="H2287">F2287/G2287*100000</f>
        <v>10.8061891525892</v>
      </c>
    </row>
    <row r="2288" ht="13" customHeight="1">
      <c r="A2288" s="8">
        <v>6</v>
      </c>
      <c r="B2288" t="s" s="9">
        <v>30</v>
      </c>
      <c r="C2288" t="s" s="9">
        <v>31</v>
      </c>
      <c r="D2288" t="s" s="9">
        <v>56</v>
      </c>
      <c r="E2288" t="s" s="9">
        <v>71</v>
      </c>
      <c r="F2288" s="10">
        <v>476</v>
      </c>
      <c r="G2288" s="10">
        <v>5691183</v>
      </c>
      <c r="H2288" s="11" cm="1">
        <f t="array" ref="H2288">F2288/G2288*100000</f>
        <v>8.36381469371131</v>
      </c>
    </row>
    <row r="2289" ht="13" customHeight="1">
      <c r="A2289" s="8">
        <v>7</v>
      </c>
      <c r="B2289" t="s" s="9">
        <v>39</v>
      </c>
      <c r="C2289" t="s" s="9">
        <v>31</v>
      </c>
      <c r="D2289" t="s" s="9">
        <v>56</v>
      </c>
      <c r="E2289" t="s" s="9">
        <v>71</v>
      </c>
      <c r="F2289" s="10">
        <v>404</v>
      </c>
      <c r="G2289" s="10">
        <v>5691183</v>
      </c>
      <c r="H2289" s="11" cm="1">
        <f t="array" ref="H2289">F2289/G2289*100000</f>
        <v>7.09869986609111</v>
      </c>
    </row>
    <row r="2290" ht="13" customHeight="1">
      <c r="A2290" s="8">
        <v>8</v>
      </c>
      <c r="B2290" t="s" s="9">
        <v>36</v>
      </c>
      <c r="C2290" t="s" s="9">
        <v>31</v>
      </c>
      <c r="D2290" t="s" s="9">
        <v>56</v>
      </c>
      <c r="E2290" t="s" s="9">
        <v>71</v>
      </c>
      <c r="F2290" s="10">
        <v>263</v>
      </c>
      <c r="G2290" s="10">
        <v>5691183</v>
      </c>
      <c r="H2290" s="11" cm="1">
        <f t="array" ref="H2290">F2290/G2290*100000</f>
        <v>4.62118332866822</v>
      </c>
    </row>
    <row r="2291" ht="13" customHeight="1">
      <c r="A2291" s="8">
        <v>9</v>
      </c>
      <c r="B2291" t="s" s="9">
        <v>37</v>
      </c>
      <c r="C2291" t="s" s="9">
        <v>31</v>
      </c>
      <c r="D2291" t="s" s="9">
        <v>56</v>
      </c>
      <c r="E2291" t="s" s="9">
        <v>71</v>
      </c>
      <c r="F2291" s="10">
        <v>262</v>
      </c>
      <c r="G2291" s="10">
        <v>5691183</v>
      </c>
      <c r="H2291" s="11" cm="1">
        <f t="array" ref="H2291">F2291/G2291*100000</f>
        <v>4.60361228939572</v>
      </c>
    </row>
    <row r="2292" ht="13" customHeight="1">
      <c r="A2292" s="8">
        <v>10</v>
      </c>
      <c r="B2292" t="s" s="9">
        <v>30</v>
      </c>
      <c r="C2292" t="s" s="9">
        <v>31</v>
      </c>
      <c r="D2292" t="s" s="9">
        <v>56</v>
      </c>
      <c r="E2292" t="s" s="9">
        <v>71</v>
      </c>
      <c r="F2292" s="10">
        <v>133</v>
      </c>
      <c r="G2292" s="10">
        <v>5691183</v>
      </c>
      <c r="H2292" s="11" cm="1">
        <f t="array" ref="H2292">F2292/G2292*100000</f>
        <v>2.33694822324287</v>
      </c>
    </row>
    <row r="2293" ht="13" customHeight="1">
      <c r="A2293" s="8">
        <v>1</v>
      </c>
      <c r="B2293" t="s" s="9">
        <v>37</v>
      </c>
      <c r="C2293" t="s" s="9">
        <v>31</v>
      </c>
      <c r="D2293" t="s" s="9">
        <v>57</v>
      </c>
      <c r="E2293" t="s" s="9">
        <v>71</v>
      </c>
      <c r="F2293" s="10">
        <v>178</v>
      </c>
      <c r="G2293" s="10">
        <v>5214931</v>
      </c>
      <c r="H2293" s="11" cm="1">
        <f t="array" ref="H2293">F2293/G2293*100000</f>
        <v>3.41327622551478</v>
      </c>
    </row>
    <row r="2294" ht="13" customHeight="1">
      <c r="A2294" s="8">
        <v>2</v>
      </c>
      <c r="B2294" t="s" s="9">
        <v>45</v>
      </c>
      <c r="C2294" t="s" s="9">
        <v>31</v>
      </c>
      <c r="D2294" t="s" s="9">
        <v>57</v>
      </c>
      <c r="E2294" t="s" s="9">
        <v>71</v>
      </c>
      <c r="F2294" s="10">
        <v>33</v>
      </c>
      <c r="G2294" s="10">
        <v>5214931</v>
      </c>
      <c r="H2294" s="11" cm="1">
        <f t="array" ref="H2294">F2294/G2294*100000</f>
        <v>0.632798401359481</v>
      </c>
    </row>
    <row r="2295" ht="13" customHeight="1">
      <c r="A2295" s="8">
        <v>3</v>
      </c>
      <c r="B2295" t="s" s="9">
        <v>45</v>
      </c>
      <c r="C2295" t="s" s="9">
        <v>31</v>
      </c>
      <c r="D2295" t="s" s="9">
        <v>57</v>
      </c>
      <c r="E2295" t="s" s="9">
        <v>71</v>
      </c>
      <c r="F2295" s="10">
        <v>29</v>
      </c>
      <c r="G2295" s="10">
        <v>5214931</v>
      </c>
      <c r="H2295" s="11" cm="1">
        <f t="array" ref="H2295">F2295/G2295*100000</f>
        <v>0.556095564831059</v>
      </c>
    </row>
    <row r="2296" ht="13" customHeight="1">
      <c r="A2296" s="8">
        <v>4</v>
      </c>
      <c r="B2296" t="s" s="9">
        <v>37</v>
      </c>
      <c r="C2296" t="s" s="9">
        <v>31</v>
      </c>
      <c r="D2296" t="s" s="9">
        <v>57</v>
      </c>
      <c r="E2296" t="s" s="9">
        <v>71</v>
      </c>
      <c r="F2296" s="10">
        <v>27</v>
      </c>
      <c r="G2296" s="10">
        <v>5214931</v>
      </c>
      <c r="H2296" s="11" cm="1">
        <f t="array" ref="H2296">F2296/G2296*100000</f>
        <v>0.517744146566848</v>
      </c>
    </row>
    <row r="2297" ht="13" customHeight="1">
      <c r="A2297" s="8">
        <v>5</v>
      </c>
      <c r="B2297" t="s" s="9">
        <v>45</v>
      </c>
      <c r="C2297" t="s" s="9">
        <v>31</v>
      </c>
      <c r="D2297" t="s" s="9">
        <v>57</v>
      </c>
      <c r="E2297" t="s" s="9">
        <v>71</v>
      </c>
      <c r="F2297" s="10">
        <v>12</v>
      </c>
      <c r="G2297" s="10">
        <v>5214931</v>
      </c>
      <c r="H2297" s="11" cm="1">
        <f t="array" ref="H2297">F2297/G2297*100000</f>
        <v>0.230108509585266</v>
      </c>
    </row>
    <row r="2298" ht="13" customHeight="1">
      <c r="A2298" s="8">
        <v>6</v>
      </c>
      <c r="B2298" t="s" s="9">
        <v>45</v>
      </c>
      <c r="C2298" t="s" s="9">
        <v>31</v>
      </c>
      <c r="D2298" t="s" s="9">
        <v>57</v>
      </c>
      <c r="E2298" t="s" s="9">
        <v>71</v>
      </c>
      <c r="F2298" s="10">
        <v>0</v>
      </c>
      <c r="G2298" s="10">
        <v>5214931</v>
      </c>
      <c r="H2298" s="11" cm="1">
        <f t="array" ref="H2298">F2298/G2298*100000</f>
        <v>0</v>
      </c>
    </row>
    <row r="2299" ht="13" customHeight="1">
      <c r="A2299" s="8">
        <v>7</v>
      </c>
      <c r="B2299" t="s" s="9">
        <v>41</v>
      </c>
      <c r="C2299" t="s" s="9">
        <v>31</v>
      </c>
      <c r="D2299" t="s" s="9">
        <v>57</v>
      </c>
      <c r="E2299" t="s" s="9">
        <v>71</v>
      </c>
      <c r="F2299" s="10">
        <v>11</v>
      </c>
      <c r="G2299" s="10">
        <v>5214931</v>
      </c>
      <c r="H2299" s="11" cm="1">
        <f t="array" ref="H2299">F2299/G2299*100000</f>
        <v>0.21093280045316</v>
      </c>
    </row>
    <row r="2300" ht="13" customHeight="1">
      <c r="A2300" s="8">
        <v>8</v>
      </c>
      <c r="B2300" t="s" s="9">
        <v>45</v>
      </c>
      <c r="C2300" t="s" s="9">
        <v>31</v>
      </c>
      <c r="D2300" t="s" s="9">
        <v>57</v>
      </c>
      <c r="E2300" t="s" s="9">
        <v>71</v>
      </c>
      <c r="F2300" s="10">
        <v>5</v>
      </c>
      <c r="G2300" s="10">
        <v>5214931</v>
      </c>
      <c r="H2300" s="11" cm="1">
        <f t="array" ref="H2300">F2300/G2300*100000</f>
        <v>0.09587854566052741</v>
      </c>
    </row>
    <row r="2301" ht="13" customHeight="1">
      <c r="A2301" s="8">
        <v>9</v>
      </c>
      <c r="B2301" t="s" s="9">
        <v>45</v>
      </c>
      <c r="C2301" t="s" s="9">
        <v>31</v>
      </c>
      <c r="D2301" t="s" s="9">
        <v>57</v>
      </c>
      <c r="E2301" t="s" s="9">
        <v>71</v>
      </c>
      <c r="F2301" s="10">
        <v>6</v>
      </c>
      <c r="G2301" s="10">
        <v>5214931</v>
      </c>
      <c r="H2301" s="11" cm="1">
        <f t="array" ref="H2301">F2301/G2301*100000</f>
        <v>0.115054254792633</v>
      </c>
    </row>
    <row r="2302" ht="13" customHeight="1">
      <c r="A2302" s="8">
        <v>10</v>
      </c>
      <c r="B2302" t="s" s="9">
        <v>45</v>
      </c>
      <c r="C2302" t="s" s="9">
        <v>31</v>
      </c>
      <c r="D2302" t="s" s="9">
        <v>57</v>
      </c>
      <c r="E2302" t="s" s="9">
        <v>71</v>
      </c>
      <c r="F2302" s="10">
        <v>2</v>
      </c>
      <c r="G2302" s="10">
        <v>5214931</v>
      </c>
      <c r="H2302" s="11" cm="1">
        <f t="array" ref="H2302">F2302/G2302*100000</f>
        <v>0.038351418264211</v>
      </c>
    </row>
    <row r="2303" ht="13" customHeight="1">
      <c r="A2303" s="8">
        <v>1</v>
      </c>
      <c r="B2303" t="s" s="9">
        <v>30</v>
      </c>
      <c r="C2303" t="s" s="9">
        <v>31</v>
      </c>
      <c r="D2303" t="s" s="9">
        <v>20</v>
      </c>
      <c r="E2303" t="s" s="9">
        <v>71</v>
      </c>
      <c r="F2303" s="10">
        <v>4090</v>
      </c>
      <c r="G2303" s="10">
        <v>2889689</v>
      </c>
      <c r="H2303" s="11" cm="1">
        <f t="array" ref="H2303">F2303/G2303*100000</f>
        <v>141.537722571529</v>
      </c>
    </row>
    <row r="2304" ht="13" customHeight="1">
      <c r="A2304" s="8">
        <v>2</v>
      </c>
      <c r="B2304" t="s" s="9">
        <v>39</v>
      </c>
      <c r="C2304" t="s" s="9">
        <v>31</v>
      </c>
      <c r="D2304" t="s" s="9">
        <v>20</v>
      </c>
      <c r="E2304" t="s" s="9">
        <v>71</v>
      </c>
      <c r="F2304" s="10">
        <v>1656</v>
      </c>
      <c r="G2304" s="10">
        <v>2889689</v>
      </c>
      <c r="H2304" s="11" cm="1">
        <f t="array" ref="H2304">F2304/G2304*100000</f>
        <v>57.3072050314065</v>
      </c>
    </row>
    <row r="2305" ht="13" customHeight="1">
      <c r="A2305" s="8">
        <v>3</v>
      </c>
      <c r="B2305" t="s" s="9">
        <v>35</v>
      </c>
      <c r="C2305" t="s" s="9">
        <v>31</v>
      </c>
      <c r="D2305" t="s" s="9">
        <v>20</v>
      </c>
      <c r="E2305" t="s" s="9">
        <v>71</v>
      </c>
      <c r="F2305" s="10">
        <v>1132</v>
      </c>
      <c r="G2305" s="10">
        <v>2889689</v>
      </c>
      <c r="H2305" s="11" cm="1">
        <f t="array" ref="H2305">F2305/G2305*100000</f>
        <v>39.1737657581837</v>
      </c>
    </row>
    <row r="2306" ht="13" customHeight="1">
      <c r="A2306" s="8">
        <v>4</v>
      </c>
      <c r="B2306" t="s" s="9">
        <v>30</v>
      </c>
      <c r="C2306" t="s" s="9">
        <v>31</v>
      </c>
      <c r="D2306" t="s" s="9">
        <v>20</v>
      </c>
      <c r="E2306" t="s" s="9">
        <v>71</v>
      </c>
      <c r="F2306" s="10">
        <v>1006</v>
      </c>
      <c r="G2306" s="10">
        <v>2889689</v>
      </c>
      <c r="H2306" s="11" cm="1">
        <f t="array" ref="H2306">F2306/G2306*100000</f>
        <v>34.8134349405767</v>
      </c>
    </row>
    <row r="2307" ht="13" customHeight="1">
      <c r="A2307" s="8">
        <v>5</v>
      </c>
      <c r="B2307" t="s" s="9">
        <v>34</v>
      </c>
      <c r="C2307" t="s" s="9">
        <v>31</v>
      </c>
      <c r="D2307" t="s" s="9">
        <v>20</v>
      </c>
      <c r="E2307" t="s" s="9">
        <v>71</v>
      </c>
      <c r="F2307" s="10">
        <v>943</v>
      </c>
      <c r="G2307" s="10">
        <v>2889689</v>
      </c>
      <c r="H2307" s="11" cm="1">
        <f t="array" ref="H2307">F2307/G2307*100000</f>
        <v>32.6332695317731</v>
      </c>
    </row>
    <row r="2308" ht="13" customHeight="1">
      <c r="A2308" s="8">
        <v>6</v>
      </c>
      <c r="B2308" t="s" s="9">
        <v>36</v>
      </c>
      <c r="C2308" t="s" s="9">
        <v>31</v>
      </c>
      <c r="D2308" t="s" s="9">
        <v>20</v>
      </c>
      <c r="E2308" t="s" s="9">
        <v>71</v>
      </c>
      <c r="F2308" s="10">
        <v>464</v>
      </c>
      <c r="G2308" s="10">
        <v>2889689</v>
      </c>
      <c r="H2308" s="11" cm="1">
        <f t="array" ref="H2308">F2308/G2308*100000</f>
        <v>16.0570912648385</v>
      </c>
    </row>
    <row r="2309" ht="13" customHeight="1">
      <c r="A2309" s="8">
        <v>7</v>
      </c>
      <c r="B2309" t="s" s="9">
        <v>45</v>
      </c>
      <c r="C2309" t="s" s="9">
        <v>31</v>
      </c>
      <c r="D2309" t="s" s="9">
        <v>20</v>
      </c>
      <c r="E2309" t="s" s="9">
        <v>71</v>
      </c>
      <c r="F2309" s="10">
        <v>418</v>
      </c>
      <c r="G2309" s="10">
        <v>2889689</v>
      </c>
      <c r="H2309" s="11" cm="1">
        <f t="array" ref="H2309">F2309/G2309*100000</f>
        <v>14.4652244584106</v>
      </c>
    </row>
    <row r="2310" ht="13" customHeight="1">
      <c r="A2310" s="8">
        <v>8</v>
      </c>
      <c r="B2310" t="s" s="9">
        <v>37</v>
      </c>
      <c r="C2310" t="s" s="9">
        <v>31</v>
      </c>
      <c r="D2310" t="s" s="9">
        <v>20</v>
      </c>
      <c r="E2310" t="s" s="9">
        <v>71</v>
      </c>
      <c r="F2310" s="10">
        <v>339</v>
      </c>
      <c r="G2310" s="10">
        <v>2889689</v>
      </c>
      <c r="H2310" s="11" cm="1">
        <f t="array" ref="H2310">F2310/G2310*100000</f>
        <v>11.7313662473713</v>
      </c>
    </row>
    <row r="2311" ht="13" customHeight="1">
      <c r="A2311" s="8">
        <v>9</v>
      </c>
      <c r="B2311" t="s" s="9">
        <v>45</v>
      </c>
      <c r="C2311" t="s" s="9">
        <v>31</v>
      </c>
      <c r="D2311" t="s" s="9">
        <v>20</v>
      </c>
      <c r="E2311" t="s" s="9">
        <v>71</v>
      </c>
      <c r="F2311" s="10">
        <v>292</v>
      </c>
      <c r="G2311" s="10">
        <v>2889689</v>
      </c>
      <c r="H2311" s="11" cm="1">
        <f t="array" ref="H2311">F2311/G2311*100000</f>
        <v>10.1048936408036</v>
      </c>
    </row>
    <row r="2312" ht="13" customHeight="1">
      <c r="A2312" s="8">
        <v>10</v>
      </c>
      <c r="B2312" t="s" s="9">
        <v>37</v>
      </c>
      <c r="C2312" t="s" s="9">
        <v>31</v>
      </c>
      <c r="D2312" t="s" s="9">
        <v>20</v>
      </c>
      <c r="E2312" t="s" s="9">
        <v>71</v>
      </c>
      <c r="F2312" s="10">
        <v>258</v>
      </c>
      <c r="G2312" s="10">
        <v>2889689</v>
      </c>
      <c r="H2312" s="11" cm="1">
        <f t="array" ref="H2312">F2312/G2312*100000</f>
        <v>8.928296436052459</v>
      </c>
    </row>
    <row r="2313" ht="13" customHeight="1">
      <c r="A2313" s="8">
        <v>1</v>
      </c>
      <c r="B2313" t="s" s="9">
        <v>30</v>
      </c>
      <c r="C2313" t="s" s="9">
        <v>31</v>
      </c>
      <c r="D2313" t="s" s="9">
        <v>21</v>
      </c>
      <c r="E2313" t="s" s="9">
        <v>71</v>
      </c>
      <c r="F2313" s="10">
        <v>2986</v>
      </c>
      <c r="G2313" s="10">
        <v>4635519</v>
      </c>
      <c r="H2313" s="11" cm="1">
        <f t="array" ref="H2313">F2313/G2313*100000</f>
        <v>64.4156565855948</v>
      </c>
    </row>
    <row r="2314" ht="13" customHeight="1">
      <c r="A2314" s="8">
        <v>2</v>
      </c>
      <c r="B2314" t="s" s="9">
        <v>30</v>
      </c>
      <c r="C2314" t="s" s="9">
        <v>31</v>
      </c>
      <c r="D2314" t="s" s="9">
        <v>21</v>
      </c>
      <c r="E2314" t="s" s="9">
        <v>71</v>
      </c>
      <c r="F2314" s="10">
        <v>2783</v>
      </c>
      <c r="G2314" s="10">
        <v>4635519</v>
      </c>
      <c r="H2314" s="11" cm="1">
        <f t="array" ref="H2314">F2314/G2314*100000</f>
        <v>60.0364274205326</v>
      </c>
    </row>
    <row r="2315" ht="13" customHeight="1">
      <c r="A2315" s="8">
        <v>3</v>
      </c>
      <c r="B2315" t="s" s="9">
        <v>34</v>
      </c>
      <c r="C2315" t="s" s="9">
        <v>31</v>
      </c>
      <c r="D2315" t="s" s="9">
        <v>21</v>
      </c>
      <c r="E2315" t="s" s="9">
        <v>71</v>
      </c>
      <c r="F2315" s="10">
        <v>2200</v>
      </c>
      <c r="G2315" s="10">
        <v>4635519</v>
      </c>
      <c r="H2315" s="11" cm="1">
        <f t="array" ref="H2315">F2315/G2315*100000</f>
        <v>47.4596264193934</v>
      </c>
    </row>
    <row r="2316" ht="13" customHeight="1">
      <c r="A2316" s="8">
        <v>4</v>
      </c>
      <c r="B2316" t="s" s="9">
        <v>36</v>
      </c>
      <c r="C2316" t="s" s="9">
        <v>31</v>
      </c>
      <c r="D2316" t="s" s="9">
        <v>21</v>
      </c>
      <c r="E2316" t="s" s="9">
        <v>71</v>
      </c>
      <c r="F2316" s="10">
        <v>1397</v>
      </c>
      <c r="G2316" s="10">
        <v>4635519</v>
      </c>
      <c r="H2316" s="11" cm="1">
        <f t="array" ref="H2316">F2316/G2316*100000</f>
        <v>30.1368627763148</v>
      </c>
    </row>
    <row r="2317" ht="13" customHeight="1">
      <c r="A2317" s="8">
        <v>5</v>
      </c>
      <c r="B2317" t="s" s="9">
        <v>30</v>
      </c>
      <c r="C2317" t="s" s="9">
        <v>31</v>
      </c>
      <c r="D2317" t="s" s="9">
        <v>21</v>
      </c>
      <c r="E2317" t="s" s="9">
        <v>71</v>
      </c>
      <c r="F2317" s="10">
        <v>602</v>
      </c>
      <c r="G2317" s="10">
        <v>4635519</v>
      </c>
      <c r="H2317" s="11" cm="1">
        <f t="array" ref="H2317">F2317/G2317*100000</f>
        <v>12.9866795929431</v>
      </c>
    </row>
    <row r="2318" ht="13" customHeight="1">
      <c r="A2318" s="8">
        <v>6</v>
      </c>
      <c r="B2318" t="s" s="9">
        <v>45</v>
      </c>
      <c r="C2318" t="s" s="9">
        <v>31</v>
      </c>
      <c r="D2318" t="s" s="9">
        <v>21</v>
      </c>
      <c r="E2318" t="s" s="9">
        <v>71</v>
      </c>
      <c r="F2318" s="10">
        <v>442</v>
      </c>
      <c r="G2318" s="10">
        <v>4635519</v>
      </c>
      <c r="H2318" s="11" cm="1">
        <f t="array" ref="H2318">F2318/G2318*100000</f>
        <v>9.5350703988054</v>
      </c>
    </row>
    <row r="2319" ht="13" customHeight="1">
      <c r="A2319" s="8">
        <v>7</v>
      </c>
      <c r="B2319" t="s" s="9">
        <v>36</v>
      </c>
      <c r="C2319" t="s" s="9">
        <v>31</v>
      </c>
      <c r="D2319" t="s" s="9">
        <v>21</v>
      </c>
      <c r="E2319" t="s" s="9">
        <v>71</v>
      </c>
      <c r="F2319" s="10">
        <v>440</v>
      </c>
      <c r="G2319" s="10">
        <v>4635519</v>
      </c>
      <c r="H2319" s="11" cm="1">
        <f t="array" ref="H2319">F2319/G2319*100000</f>
        <v>9.491925283878681</v>
      </c>
    </row>
    <row r="2320" ht="13" customHeight="1">
      <c r="A2320" s="8">
        <v>8</v>
      </c>
      <c r="B2320" t="s" s="9">
        <v>37</v>
      </c>
      <c r="C2320" t="s" s="9">
        <v>31</v>
      </c>
      <c r="D2320" t="s" s="9">
        <v>21</v>
      </c>
      <c r="E2320" t="s" s="9">
        <v>71</v>
      </c>
      <c r="F2320" s="10">
        <v>445</v>
      </c>
      <c r="G2320" s="10">
        <v>4635519</v>
      </c>
      <c r="H2320" s="11" cm="1">
        <f t="array" ref="H2320">F2320/G2320*100000</f>
        <v>9.59978807119548</v>
      </c>
    </row>
    <row r="2321" ht="13" customHeight="1">
      <c r="A2321" s="8">
        <v>9</v>
      </c>
      <c r="B2321" t="s" s="9">
        <v>30</v>
      </c>
      <c r="C2321" t="s" s="9">
        <v>31</v>
      </c>
      <c r="D2321" t="s" s="9">
        <v>21</v>
      </c>
      <c r="E2321" t="s" s="9">
        <v>71</v>
      </c>
      <c r="F2321" s="10">
        <v>386</v>
      </c>
      <c r="G2321" s="10">
        <v>4635519</v>
      </c>
      <c r="H2321" s="11" cm="1">
        <f t="array" ref="H2321">F2321/G2321*100000</f>
        <v>8.327007180857199</v>
      </c>
    </row>
    <row r="2322" ht="13" customHeight="1">
      <c r="A2322" s="8">
        <v>10</v>
      </c>
      <c r="B2322" t="s" s="9">
        <v>41</v>
      </c>
      <c r="C2322" t="s" s="9">
        <v>31</v>
      </c>
      <c r="D2322" t="s" s="9">
        <v>21</v>
      </c>
      <c r="E2322" t="s" s="9">
        <v>71</v>
      </c>
      <c r="F2322" s="10">
        <v>293</v>
      </c>
      <c r="G2322" s="10">
        <v>4635519</v>
      </c>
      <c r="H2322" s="11" cm="1">
        <f t="array" ref="H2322">F2322/G2322*100000</f>
        <v>6.32075933676466</v>
      </c>
    </row>
    <row r="2323" ht="13.65" customHeight="1">
      <c r="A2323" s="8">
        <v>1</v>
      </c>
      <c r="B2323" t="s" s="9">
        <v>30</v>
      </c>
      <c r="C2323" t="s" s="9">
        <v>31</v>
      </c>
      <c r="D2323" t="s" s="9">
        <v>58</v>
      </c>
      <c r="E2323" t="s" s="9">
        <v>71</v>
      </c>
      <c r="F2323" s="10">
        <v>7045</v>
      </c>
      <c r="G2323" s="12"/>
      <c r="H2323" s="13"/>
    </row>
    <row r="2324" ht="13.65" customHeight="1">
      <c r="A2324" s="8">
        <v>2</v>
      </c>
      <c r="B2324" t="s" s="9">
        <v>30</v>
      </c>
      <c r="C2324" t="s" s="9">
        <v>31</v>
      </c>
      <c r="D2324" t="s" s="9">
        <v>58</v>
      </c>
      <c r="E2324" t="s" s="9">
        <v>71</v>
      </c>
      <c r="F2324" s="10">
        <v>1980</v>
      </c>
      <c r="G2324" s="14"/>
      <c r="H2324" s="15"/>
    </row>
    <row r="2325" ht="13.65" customHeight="1">
      <c r="A2325" s="8">
        <v>3</v>
      </c>
      <c r="B2325" t="s" s="9">
        <v>35</v>
      </c>
      <c r="C2325" t="s" s="9">
        <v>31</v>
      </c>
      <c r="D2325" t="s" s="9">
        <v>58</v>
      </c>
      <c r="E2325" t="s" s="9">
        <v>71</v>
      </c>
      <c r="F2325" s="10">
        <v>1490</v>
      </c>
      <c r="G2325" s="14"/>
      <c r="H2325" s="15"/>
    </row>
    <row r="2326" ht="13.65" customHeight="1">
      <c r="A2326" s="8">
        <v>4</v>
      </c>
      <c r="B2326" t="s" s="9">
        <v>30</v>
      </c>
      <c r="C2326" t="s" s="9">
        <v>31</v>
      </c>
      <c r="D2326" t="s" s="9">
        <v>58</v>
      </c>
      <c r="E2326" t="s" s="9">
        <v>71</v>
      </c>
      <c r="F2326" s="10">
        <v>1405</v>
      </c>
      <c r="G2326" s="14"/>
      <c r="H2326" s="15"/>
    </row>
    <row r="2327" ht="13.65" customHeight="1">
      <c r="A2327" s="8">
        <v>5</v>
      </c>
      <c r="B2327" t="s" s="9">
        <v>30</v>
      </c>
      <c r="C2327" t="s" s="9">
        <v>31</v>
      </c>
      <c r="D2327" t="s" s="9">
        <v>58</v>
      </c>
      <c r="E2327" t="s" s="9">
        <v>71</v>
      </c>
      <c r="F2327" s="10">
        <v>1289</v>
      </c>
      <c r="G2327" s="14"/>
      <c r="H2327" s="15"/>
    </row>
    <row r="2328" ht="13.65" customHeight="1">
      <c r="A2328" s="8">
        <v>6</v>
      </c>
      <c r="B2328" t="s" s="9">
        <v>39</v>
      </c>
      <c r="C2328" t="s" s="9">
        <v>31</v>
      </c>
      <c r="D2328" t="s" s="9">
        <v>58</v>
      </c>
      <c r="E2328" t="s" s="9">
        <v>71</v>
      </c>
      <c r="F2328" s="10">
        <v>969</v>
      </c>
      <c r="G2328" s="14"/>
      <c r="H2328" s="15"/>
    </row>
    <row r="2329" ht="13.65" customHeight="1">
      <c r="A2329" s="8">
        <v>7</v>
      </c>
      <c r="B2329" t="s" s="9">
        <v>34</v>
      </c>
      <c r="C2329" t="s" s="9">
        <v>31</v>
      </c>
      <c r="D2329" t="s" s="9">
        <v>58</v>
      </c>
      <c r="E2329" t="s" s="9">
        <v>71</v>
      </c>
      <c r="F2329" s="10">
        <v>968</v>
      </c>
      <c r="G2329" s="14"/>
      <c r="H2329" s="15"/>
    </row>
    <row r="2330" ht="13.65" customHeight="1">
      <c r="A2330" s="8">
        <v>8</v>
      </c>
      <c r="B2330" t="s" s="9">
        <v>45</v>
      </c>
      <c r="C2330" t="s" s="9">
        <v>31</v>
      </c>
      <c r="D2330" t="s" s="9">
        <v>58</v>
      </c>
      <c r="E2330" t="s" s="9">
        <v>71</v>
      </c>
      <c r="F2330" s="10">
        <v>766</v>
      </c>
      <c r="G2330" s="14"/>
      <c r="H2330" s="15"/>
    </row>
    <row r="2331" ht="13.65" customHeight="1">
      <c r="A2331" s="8">
        <v>9</v>
      </c>
      <c r="B2331" t="s" s="9">
        <v>59</v>
      </c>
      <c r="C2331" t="s" s="9">
        <v>31</v>
      </c>
      <c r="D2331" t="s" s="9">
        <v>58</v>
      </c>
      <c r="E2331" t="s" s="9">
        <v>71</v>
      </c>
      <c r="F2331" s="10">
        <v>438</v>
      </c>
      <c r="G2331" s="14"/>
      <c r="H2331" s="15"/>
    </row>
    <row r="2332" ht="13.65" customHeight="1">
      <c r="A2332" s="8">
        <v>10</v>
      </c>
      <c r="B2332" t="s" s="9">
        <v>36</v>
      </c>
      <c r="C2332" t="s" s="9">
        <v>31</v>
      </c>
      <c r="D2332" t="s" s="9">
        <v>58</v>
      </c>
      <c r="E2332" t="s" s="9">
        <v>71</v>
      </c>
      <c r="F2332" s="10">
        <v>392</v>
      </c>
      <c r="G2332" s="16"/>
      <c r="H2332" s="17"/>
    </row>
    <row r="2333" ht="13" customHeight="1">
      <c r="A2333" s="8">
        <v>1</v>
      </c>
      <c r="B2333" t="s" s="9">
        <v>35</v>
      </c>
      <c r="C2333" t="s" s="9">
        <v>60</v>
      </c>
      <c r="D2333" t="s" s="9">
        <v>32</v>
      </c>
      <c r="E2333" t="s" s="9">
        <v>71</v>
      </c>
      <c r="F2333" s="10">
        <v>5709</v>
      </c>
      <c r="G2333" s="10">
        <v>14521657</v>
      </c>
      <c r="H2333" s="11" cm="1">
        <f t="array" ref="H2333">F2333/G2333*100000</f>
        <v>39.313695399912</v>
      </c>
    </row>
    <row r="2334" ht="13" customHeight="1">
      <c r="A2334" s="8">
        <v>2</v>
      </c>
      <c r="B2334" t="s" s="9">
        <v>30</v>
      </c>
      <c r="C2334" t="s" s="9">
        <v>60</v>
      </c>
      <c r="D2334" t="s" s="9">
        <v>32</v>
      </c>
      <c r="E2334" t="s" s="9">
        <v>71</v>
      </c>
      <c r="F2334" s="10">
        <v>4892</v>
      </c>
      <c r="G2334" s="10">
        <v>14521657</v>
      </c>
      <c r="H2334" s="11" cm="1">
        <f t="array" ref="H2334">F2334/G2334*100000</f>
        <v>33.6876156763653</v>
      </c>
    </row>
    <row r="2335" ht="13" customHeight="1">
      <c r="A2335" s="8">
        <v>3</v>
      </c>
      <c r="B2335" t="s" s="9">
        <v>34</v>
      </c>
      <c r="C2335" t="s" s="9">
        <v>60</v>
      </c>
      <c r="D2335" t="s" s="9">
        <v>32</v>
      </c>
      <c r="E2335" t="s" s="9">
        <v>71</v>
      </c>
      <c r="F2335" s="10">
        <v>4507</v>
      </c>
      <c r="G2335" s="10">
        <v>14521657</v>
      </c>
      <c r="H2335" s="11" cm="1">
        <f t="array" ref="H2335">F2335/G2335*100000</f>
        <v>31.036403077142</v>
      </c>
    </row>
    <row r="2336" ht="13" customHeight="1">
      <c r="A2336" s="8">
        <v>4</v>
      </c>
      <c r="B2336" t="s" s="9">
        <v>30</v>
      </c>
      <c r="C2336" t="s" s="9">
        <v>60</v>
      </c>
      <c r="D2336" t="s" s="9">
        <v>32</v>
      </c>
      <c r="E2336" t="s" s="9">
        <v>71</v>
      </c>
      <c r="F2336" s="10">
        <v>3669</v>
      </c>
      <c r="G2336" s="10">
        <v>14521657</v>
      </c>
      <c r="H2336" s="11" cm="1">
        <f t="array" ref="H2336">F2336/G2336*100000</f>
        <v>25.265711757274</v>
      </c>
    </row>
    <row r="2337" ht="13" customHeight="1">
      <c r="A2337" s="8">
        <v>5</v>
      </c>
      <c r="B2337" t="s" s="9">
        <v>41</v>
      </c>
      <c r="C2337" t="s" s="9">
        <v>60</v>
      </c>
      <c r="D2337" t="s" s="9">
        <v>32</v>
      </c>
      <c r="E2337" t="s" s="9">
        <v>71</v>
      </c>
      <c r="F2337" s="10">
        <v>3436</v>
      </c>
      <c r="G2337" s="10">
        <v>14521657</v>
      </c>
      <c r="H2337" s="11" cm="1">
        <f t="array" ref="H2337">F2337/G2337*100000</f>
        <v>23.661211664757</v>
      </c>
    </row>
    <row r="2338" ht="13" customHeight="1">
      <c r="A2338" s="8">
        <v>6</v>
      </c>
      <c r="B2338" t="s" s="9">
        <v>30</v>
      </c>
      <c r="C2338" t="s" s="9">
        <v>60</v>
      </c>
      <c r="D2338" t="s" s="9">
        <v>32</v>
      </c>
      <c r="E2338" t="s" s="9">
        <v>71</v>
      </c>
      <c r="F2338" s="10">
        <v>2564</v>
      </c>
      <c r="G2338" s="10">
        <v>14521657</v>
      </c>
      <c r="H2338" s="11" cm="1">
        <f t="array" ref="H2338">F2338/G2338*100000</f>
        <v>17.6563872841784</v>
      </c>
    </row>
    <row r="2339" ht="13" customHeight="1">
      <c r="A2339" s="8">
        <v>7</v>
      </c>
      <c r="B2339" t="s" s="9">
        <v>37</v>
      </c>
      <c r="C2339" t="s" s="9">
        <v>60</v>
      </c>
      <c r="D2339" t="s" s="9">
        <v>32</v>
      </c>
      <c r="E2339" t="s" s="9">
        <v>71</v>
      </c>
      <c r="F2339" s="10">
        <v>1465</v>
      </c>
      <c r="G2339" s="10">
        <v>14521657</v>
      </c>
      <c r="H2339" s="11" cm="1">
        <f t="array" ref="H2339">F2339/G2339*100000</f>
        <v>10.0883804100317</v>
      </c>
    </row>
    <row r="2340" ht="13" customHeight="1">
      <c r="A2340" s="8">
        <v>8</v>
      </c>
      <c r="B2340" t="s" s="9">
        <v>30</v>
      </c>
      <c r="C2340" t="s" s="9">
        <v>60</v>
      </c>
      <c r="D2340" t="s" s="9">
        <v>32</v>
      </c>
      <c r="E2340" t="s" s="9">
        <v>71</v>
      </c>
      <c r="F2340" s="10">
        <v>999</v>
      </c>
      <c r="G2340" s="10">
        <v>14521657</v>
      </c>
      <c r="H2340" s="11" cm="1">
        <f t="array" ref="H2340">F2340/G2340*100000</f>
        <v>6.87938022499774</v>
      </c>
    </row>
    <row r="2341" ht="13" customHeight="1">
      <c r="A2341" s="8">
        <v>9</v>
      </c>
      <c r="B2341" t="s" s="9">
        <v>39</v>
      </c>
      <c r="C2341" t="s" s="9">
        <v>60</v>
      </c>
      <c r="D2341" t="s" s="9">
        <v>32</v>
      </c>
      <c r="E2341" t="s" s="9">
        <v>71</v>
      </c>
      <c r="F2341" s="10">
        <v>1279</v>
      </c>
      <c r="G2341" s="10">
        <v>14521657</v>
      </c>
      <c r="H2341" s="11" cm="1">
        <f t="array" ref="H2341">F2341/G2341*100000</f>
        <v>8.80753484261472</v>
      </c>
    </row>
    <row r="2342" ht="13" customHeight="1">
      <c r="A2342" s="8">
        <v>10</v>
      </c>
      <c r="B2342" t="s" s="9">
        <v>37</v>
      </c>
      <c r="C2342" t="s" s="9">
        <v>60</v>
      </c>
      <c r="D2342" t="s" s="9">
        <v>32</v>
      </c>
      <c r="E2342" t="s" s="9">
        <v>71</v>
      </c>
      <c r="F2342" s="10">
        <v>1012</v>
      </c>
      <c r="G2342" s="10">
        <v>14521657</v>
      </c>
      <c r="H2342" s="11" cm="1">
        <f t="array" ref="H2342">F2342/G2342*100000</f>
        <v>6.9689016893871</v>
      </c>
    </row>
    <row r="2343" ht="13" customHeight="1">
      <c r="A2343" s="8">
        <v>1</v>
      </c>
      <c r="B2343" t="s" s="9">
        <v>30</v>
      </c>
      <c r="C2343" t="s" s="9">
        <v>60</v>
      </c>
      <c r="D2343" t="s" s="9">
        <v>38</v>
      </c>
      <c r="E2343" t="s" s="9">
        <v>71</v>
      </c>
      <c r="F2343" s="10">
        <v>9660</v>
      </c>
      <c r="G2343" s="10">
        <v>1874281</v>
      </c>
      <c r="H2343" s="11" cm="1">
        <f t="array" ref="H2343">F2343/G2343*100000</f>
        <v>515.397637814180</v>
      </c>
    </row>
    <row r="2344" ht="13" customHeight="1">
      <c r="A2344" s="8">
        <v>2</v>
      </c>
      <c r="B2344" t="s" s="9">
        <v>34</v>
      </c>
      <c r="C2344" t="s" s="9">
        <v>60</v>
      </c>
      <c r="D2344" t="s" s="9">
        <v>38</v>
      </c>
      <c r="E2344" t="s" s="9">
        <v>71</v>
      </c>
      <c r="F2344" s="10">
        <v>4568</v>
      </c>
      <c r="G2344" s="10">
        <v>1874281</v>
      </c>
      <c r="H2344" s="11" cm="1">
        <f t="array" ref="H2344">F2344/G2344*100000</f>
        <v>243.720125210681</v>
      </c>
    </row>
    <row r="2345" ht="13" customHeight="1">
      <c r="A2345" s="8">
        <v>3</v>
      </c>
      <c r="B2345" t="s" s="9">
        <v>37</v>
      </c>
      <c r="C2345" t="s" s="9">
        <v>60</v>
      </c>
      <c r="D2345" t="s" s="9">
        <v>38</v>
      </c>
      <c r="E2345" t="s" s="9">
        <v>71</v>
      </c>
      <c r="F2345" s="10">
        <v>1786</v>
      </c>
      <c r="G2345" s="10">
        <v>1874281</v>
      </c>
      <c r="H2345" s="11" cm="1">
        <f t="array" ref="H2345">F2345/G2345*100000</f>
        <v>95.28987382361559</v>
      </c>
    </row>
    <row r="2346" ht="13" customHeight="1">
      <c r="A2346" s="8">
        <v>4</v>
      </c>
      <c r="B2346" t="s" s="9">
        <v>39</v>
      </c>
      <c r="C2346" t="s" s="9">
        <v>60</v>
      </c>
      <c r="D2346" t="s" s="9">
        <v>38</v>
      </c>
      <c r="E2346" t="s" s="9">
        <v>71</v>
      </c>
      <c r="F2346" s="10">
        <v>1293</v>
      </c>
      <c r="G2346" s="10">
        <v>1874281</v>
      </c>
      <c r="H2346" s="11" cm="1">
        <f t="array" ref="H2346">F2346/G2346*100000</f>
        <v>68.98645400556271</v>
      </c>
    </row>
    <row r="2347" ht="13" customHeight="1">
      <c r="A2347" s="8">
        <v>5</v>
      </c>
      <c r="B2347" t="s" s="9">
        <v>35</v>
      </c>
      <c r="C2347" t="s" s="9">
        <v>60</v>
      </c>
      <c r="D2347" t="s" s="9">
        <v>38</v>
      </c>
      <c r="E2347" t="s" s="9">
        <v>71</v>
      </c>
      <c r="F2347" s="10">
        <v>783</v>
      </c>
      <c r="G2347" s="10">
        <v>1874281</v>
      </c>
      <c r="H2347" s="11" cm="1">
        <f t="array" ref="H2347">F2347/G2347*100000</f>
        <v>41.7760197110252</v>
      </c>
    </row>
    <row r="2348" ht="13" customHeight="1">
      <c r="A2348" s="8">
        <v>6</v>
      </c>
      <c r="B2348" t="s" s="9">
        <v>30</v>
      </c>
      <c r="C2348" t="s" s="9">
        <v>60</v>
      </c>
      <c r="D2348" t="s" s="9">
        <v>38</v>
      </c>
      <c r="E2348" t="s" s="9">
        <v>71</v>
      </c>
      <c r="F2348" s="10">
        <v>941</v>
      </c>
      <c r="G2348" s="10">
        <v>1874281</v>
      </c>
      <c r="H2348" s="11" cm="1">
        <f t="array" ref="H2348">F2348/G2348*100000</f>
        <v>50.2059189630584</v>
      </c>
    </row>
    <row r="2349" ht="13" customHeight="1">
      <c r="A2349" s="8">
        <v>7</v>
      </c>
      <c r="B2349" t="s" s="9">
        <v>39</v>
      </c>
      <c r="C2349" t="s" s="9">
        <v>60</v>
      </c>
      <c r="D2349" t="s" s="9">
        <v>38</v>
      </c>
      <c r="E2349" t="s" s="9">
        <v>71</v>
      </c>
      <c r="F2349" s="10">
        <v>1742</v>
      </c>
      <c r="G2349" s="10">
        <v>1874281</v>
      </c>
      <c r="H2349" s="11" cm="1">
        <f t="array" ref="H2349">F2349/G2349*100000</f>
        <v>92.9423069433025</v>
      </c>
    </row>
    <row r="2350" ht="13" customHeight="1">
      <c r="A2350" s="8">
        <v>8</v>
      </c>
      <c r="B2350" t="s" s="9">
        <v>40</v>
      </c>
      <c r="C2350" t="s" s="9">
        <v>60</v>
      </c>
      <c r="D2350" t="s" s="9">
        <v>38</v>
      </c>
      <c r="E2350" t="s" s="9">
        <v>71</v>
      </c>
      <c r="F2350" s="10">
        <v>1012</v>
      </c>
      <c r="G2350" s="10">
        <v>1874281</v>
      </c>
      <c r="H2350" s="11" cm="1">
        <f t="array" ref="H2350">F2350/G2350*100000</f>
        <v>53.9940382471999</v>
      </c>
    </row>
    <row r="2351" ht="13" customHeight="1">
      <c r="A2351" s="8">
        <v>9</v>
      </c>
      <c r="B2351" t="s" s="9">
        <v>37</v>
      </c>
      <c r="C2351" t="s" s="9">
        <v>60</v>
      </c>
      <c r="D2351" t="s" s="9">
        <v>38</v>
      </c>
      <c r="E2351" t="s" s="9">
        <v>71</v>
      </c>
      <c r="F2351" s="10">
        <v>914</v>
      </c>
      <c r="G2351" s="10">
        <v>1874281</v>
      </c>
      <c r="H2351" s="11" cm="1">
        <f t="array" ref="H2351">F2351/G2351*100000</f>
        <v>48.7653665592299</v>
      </c>
    </row>
    <row r="2352" ht="13" customHeight="1">
      <c r="A2352" s="8">
        <v>10</v>
      </c>
      <c r="B2352" t="s" s="9">
        <v>45</v>
      </c>
      <c r="C2352" t="s" s="9">
        <v>60</v>
      </c>
      <c r="D2352" t="s" s="9">
        <v>38</v>
      </c>
      <c r="E2352" t="s" s="9">
        <v>71</v>
      </c>
      <c r="F2352" s="10">
        <v>538</v>
      </c>
      <c r="G2352" s="10">
        <v>1874281</v>
      </c>
      <c r="H2352" s="11" cm="1">
        <f t="array" ref="H2352">F2352/G2352*100000</f>
        <v>28.7043404911003</v>
      </c>
    </row>
    <row r="2353" ht="13" customHeight="1">
      <c r="A2353" s="8">
        <v>1</v>
      </c>
      <c r="B2353" t="s" s="9">
        <v>30</v>
      </c>
      <c r="C2353" t="s" s="9">
        <v>60</v>
      </c>
      <c r="D2353" t="s" s="9">
        <v>42</v>
      </c>
      <c r="E2353" t="s" s="9">
        <v>71</v>
      </c>
      <c r="F2353" s="10">
        <v>6162</v>
      </c>
      <c r="G2353" s="10">
        <v>5458063</v>
      </c>
      <c r="H2353" s="11" cm="1">
        <f t="array" ref="H2353">F2353/G2353*100000</f>
        <v>112.897194480899</v>
      </c>
    </row>
    <row r="2354" ht="13" customHeight="1">
      <c r="A2354" s="8">
        <v>2</v>
      </c>
      <c r="B2354" t="s" s="9">
        <v>34</v>
      </c>
      <c r="C2354" t="s" s="9">
        <v>60</v>
      </c>
      <c r="D2354" t="s" s="9">
        <v>42</v>
      </c>
      <c r="E2354" t="s" s="9">
        <v>71</v>
      </c>
      <c r="F2354" s="10">
        <v>3896</v>
      </c>
      <c r="G2354" s="10">
        <v>5458063</v>
      </c>
      <c r="H2354" s="11" cm="1">
        <f t="array" ref="H2354">F2354/G2354*100000</f>
        <v>71.38063448516441</v>
      </c>
    </row>
    <row r="2355" ht="13" customHeight="1">
      <c r="A2355" s="8">
        <v>3</v>
      </c>
      <c r="B2355" t="s" s="9">
        <v>35</v>
      </c>
      <c r="C2355" t="s" s="9">
        <v>60</v>
      </c>
      <c r="D2355" t="s" s="9">
        <v>42</v>
      </c>
      <c r="E2355" t="s" s="9">
        <v>71</v>
      </c>
      <c r="F2355" s="10">
        <v>1796</v>
      </c>
      <c r="G2355" s="10">
        <v>5458063</v>
      </c>
      <c r="H2355" s="11" cm="1">
        <f t="array" ref="H2355">F2355/G2355*100000</f>
        <v>32.9054464926477</v>
      </c>
    </row>
    <row r="2356" ht="13" customHeight="1">
      <c r="A2356" s="8">
        <v>4</v>
      </c>
      <c r="B2356" t="s" s="9">
        <v>37</v>
      </c>
      <c r="C2356" t="s" s="9">
        <v>60</v>
      </c>
      <c r="D2356" t="s" s="9">
        <v>42</v>
      </c>
      <c r="E2356" t="s" s="9">
        <v>71</v>
      </c>
      <c r="F2356" s="10">
        <v>1516</v>
      </c>
      <c r="G2356" s="10">
        <v>5458063</v>
      </c>
      <c r="H2356" s="11" cm="1">
        <f t="array" ref="H2356">F2356/G2356*100000</f>
        <v>27.7754214269788</v>
      </c>
    </row>
    <row r="2357" ht="13" customHeight="1">
      <c r="A2357" s="8">
        <v>5</v>
      </c>
      <c r="B2357" t="s" s="9">
        <v>30</v>
      </c>
      <c r="C2357" t="s" s="9">
        <v>60</v>
      </c>
      <c r="D2357" t="s" s="9">
        <v>42</v>
      </c>
      <c r="E2357" t="s" s="9">
        <v>71</v>
      </c>
      <c r="F2357" s="10">
        <v>903</v>
      </c>
      <c r="G2357" s="10">
        <v>5458063</v>
      </c>
      <c r="H2357" s="11" cm="1">
        <f t="array" ref="H2357">F2357/G2357*100000</f>
        <v>16.5443308367822</v>
      </c>
    </row>
    <row r="2358" ht="13" customHeight="1">
      <c r="A2358" s="8">
        <v>6</v>
      </c>
      <c r="B2358" t="s" s="9">
        <v>39</v>
      </c>
      <c r="C2358" t="s" s="9">
        <v>60</v>
      </c>
      <c r="D2358" t="s" s="9">
        <v>42</v>
      </c>
      <c r="E2358" t="s" s="9">
        <v>71</v>
      </c>
      <c r="F2358" s="10">
        <v>1240</v>
      </c>
      <c r="G2358" s="10">
        <v>5458063</v>
      </c>
      <c r="H2358" s="11" cm="1">
        <f t="array" ref="H2358">F2358/G2358*100000</f>
        <v>22.7186824336766</v>
      </c>
    </row>
    <row r="2359" ht="13" customHeight="1">
      <c r="A2359" s="8">
        <v>7</v>
      </c>
      <c r="B2359" t="s" s="9">
        <v>40</v>
      </c>
      <c r="C2359" t="s" s="9">
        <v>60</v>
      </c>
      <c r="D2359" t="s" s="9">
        <v>42</v>
      </c>
      <c r="E2359" t="s" s="9">
        <v>71</v>
      </c>
      <c r="F2359" s="10">
        <v>832</v>
      </c>
      <c r="G2359" s="10">
        <v>5458063</v>
      </c>
      <c r="H2359" s="11" cm="1">
        <f t="array" ref="H2359">F2359/G2359*100000</f>
        <v>15.2435030522733</v>
      </c>
    </row>
    <row r="2360" ht="13" customHeight="1">
      <c r="A2360" s="8">
        <v>8</v>
      </c>
      <c r="B2360" t="s" s="9">
        <v>41</v>
      </c>
      <c r="C2360" t="s" s="9">
        <v>60</v>
      </c>
      <c r="D2360" t="s" s="9">
        <v>42</v>
      </c>
      <c r="E2360" t="s" s="9">
        <v>71</v>
      </c>
      <c r="F2360" s="10">
        <v>797</v>
      </c>
      <c r="G2360" s="10">
        <v>5458063</v>
      </c>
      <c r="H2360" s="11" cm="1">
        <f t="array" ref="H2360">F2360/G2360*100000</f>
        <v>14.6022499190647</v>
      </c>
    </row>
    <row r="2361" ht="13" customHeight="1">
      <c r="A2361" s="8">
        <v>9</v>
      </c>
      <c r="B2361" t="s" s="9">
        <v>37</v>
      </c>
      <c r="C2361" t="s" s="9">
        <v>60</v>
      </c>
      <c r="D2361" t="s" s="9">
        <v>42</v>
      </c>
      <c r="E2361" t="s" s="9">
        <v>71</v>
      </c>
      <c r="F2361" s="10">
        <v>688</v>
      </c>
      <c r="G2361" s="10">
        <v>5458063</v>
      </c>
      <c r="H2361" s="11" cm="1">
        <f t="array" ref="H2361">F2361/G2361*100000</f>
        <v>12.6052044470722</v>
      </c>
    </row>
    <row r="2362" ht="13" customHeight="1">
      <c r="A2362" s="8">
        <v>10</v>
      </c>
      <c r="B2362" t="s" s="9">
        <v>37</v>
      </c>
      <c r="C2362" t="s" s="9">
        <v>60</v>
      </c>
      <c r="D2362" t="s" s="9">
        <v>42</v>
      </c>
      <c r="E2362" t="s" s="9">
        <v>71</v>
      </c>
      <c r="F2362" s="10">
        <v>611</v>
      </c>
      <c r="G2362" s="10">
        <v>5458063</v>
      </c>
      <c r="H2362" s="11" cm="1">
        <f t="array" ref="H2362">F2362/G2362*100000</f>
        <v>11.1944475540132</v>
      </c>
    </row>
    <row r="2363" ht="13" customHeight="1">
      <c r="A2363" s="8">
        <v>1</v>
      </c>
      <c r="B2363" t="s" s="9">
        <v>30</v>
      </c>
      <c r="C2363" t="s" s="9">
        <v>60</v>
      </c>
      <c r="D2363" t="s" s="9">
        <v>43</v>
      </c>
      <c r="E2363" t="s" s="9">
        <v>71</v>
      </c>
      <c r="F2363" s="10">
        <v>6274</v>
      </c>
      <c r="G2363" s="10">
        <v>3817144</v>
      </c>
      <c r="H2363" s="11" cm="1">
        <f t="array" ref="H2363">F2363/G2363*100000</f>
        <v>164.363723244394</v>
      </c>
    </row>
    <row r="2364" ht="13" customHeight="1">
      <c r="A2364" s="8">
        <v>2</v>
      </c>
      <c r="B2364" t="s" s="9">
        <v>34</v>
      </c>
      <c r="C2364" t="s" s="9">
        <v>60</v>
      </c>
      <c r="D2364" t="s" s="9">
        <v>43</v>
      </c>
      <c r="E2364" t="s" s="9">
        <v>71</v>
      </c>
      <c r="F2364" s="10">
        <v>6213</v>
      </c>
      <c r="G2364" s="10">
        <v>3817144</v>
      </c>
      <c r="H2364" s="11" cm="1">
        <f t="array" ref="H2364">F2364/G2364*100000</f>
        <v>162.765669830638</v>
      </c>
    </row>
    <row r="2365" ht="13" customHeight="1">
      <c r="A2365" s="8">
        <v>3</v>
      </c>
      <c r="B2365" t="s" s="9">
        <v>30</v>
      </c>
      <c r="C2365" t="s" s="9">
        <v>60</v>
      </c>
      <c r="D2365" t="s" s="9">
        <v>43</v>
      </c>
      <c r="E2365" t="s" s="9">
        <v>71</v>
      </c>
      <c r="F2365" s="10">
        <v>1095</v>
      </c>
      <c r="G2365" s="10">
        <v>3817144</v>
      </c>
      <c r="H2365" s="11" cm="1">
        <f t="array" ref="H2365">F2365/G2365*100000</f>
        <v>28.6863686567759</v>
      </c>
    </row>
    <row r="2366" ht="13" customHeight="1">
      <c r="A2366" s="8">
        <v>4</v>
      </c>
      <c r="B2366" t="s" s="9">
        <v>45</v>
      </c>
      <c r="C2366" t="s" s="9">
        <v>60</v>
      </c>
      <c r="D2366" t="s" s="9">
        <v>43</v>
      </c>
      <c r="E2366" t="s" s="9">
        <v>71</v>
      </c>
      <c r="F2366" s="10">
        <v>951</v>
      </c>
      <c r="G2366" s="10">
        <v>3817144</v>
      </c>
      <c r="H2366" s="11" cm="1">
        <f t="array" ref="H2366">F2366/G2366*100000</f>
        <v>24.9139146964327</v>
      </c>
    </row>
    <row r="2367" ht="13" customHeight="1">
      <c r="A2367" s="8">
        <v>5</v>
      </c>
      <c r="B2367" t="s" s="9">
        <v>40</v>
      </c>
      <c r="C2367" t="s" s="9">
        <v>60</v>
      </c>
      <c r="D2367" t="s" s="9">
        <v>43</v>
      </c>
      <c r="E2367" t="s" s="9">
        <v>71</v>
      </c>
      <c r="F2367" s="10">
        <v>850</v>
      </c>
      <c r="G2367" s="10">
        <v>3817144</v>
      </c>
      <c r="H2367" s="11" cm="1">
        <f t="array" ref="H2367">F2367/G2367*100000</f>
        <v>22.2679574048032</v>
      </c>
    </row>
    <row r="2368" ht="13" customHeight="1">
      <c r="A2368" s="8">
        <v>6</v>
      </c>
      <c r="B2368" t="s" s="9">
        <v>37</v>
      </c>
      <c r="C2368" t="s" s="9">
        <v>60</v>
      </c>
      <c r="D2368" t="s" s="9">
        <v>43</v>
      </c>
      <c r="E2368" t="s" s="9">
        <v>71</v>
      </c>
      <c r="F2368" s="10">
        <v>873</v>
      </c>
      <c r="G2368" s="10">
        <v>3817144</v>
      </c>
      <c r="H2368" s="11" cm="1">
        <f t="array" ref="H2368">F2368/G2368*100000</f>
        <v>22.8705021345802</v>
      </c>
    </row>
    <row r="2369" ht="13" customHeight="1">
      <c r="A2369" s="8">
        <v>7</v>
      </c>
      <c r="B2369" t="s" s="9">
        <v>30</v>
      </c>
      <c r="C2369" t="s" s="9">
        <v>60</v>
      </c>
      <c r="D2369" t="s" s="9">
        <v>43</v>
      </c>
      <c r="E2369" t="s" s="9">
        <v>71</v>
      </c>
      <c r="F2369" s="10">
        <v>670</v>
      </c>
      <c r="G2369" s="10">
        <v>3817144</v>
      </c>
      <c r="H2369" s="11" cm="1">
        <f t="array" ref="H2369">F2369/G2369*100000</f>
        <v>17.5523899543743</v>
      </c>
    </row>
    <row r="2370" ht="13" customHeight="1">
      <c r="A2370" s="8">
        <v>8</v>
      </c>
      <c r="B2370" t="s" s="9">
        <v>30</v>
      </c>
      <c r="C2370" t="s" s="9">
        <v>60</v>
      </c>
      <c r="D2370" t="s" s="9">
        <v>43</v>
      </c>
      <c r="E2370" t="s" s="9">
        <v>71</v>
      </c>
      <c r="F2370" s="10">
        <v>574</v>
      </c>
      <c r="G2370" s="10">
        <v>3817144</v>
      </c>
      <c r="H2370" s="11" cm="1">
        <f t="array" ref="H2370">F2370/G2370*100000</f>
        <v>15.0374206474788</v>
      </c>
    </row>
    <row r="2371" ht="13" customHeight="1">
      <c r="A2371" s="8">
        <v>9</v>
      </c>
      <c r="B2371" t="s" s="9">
        <v>39</v>
      </c>
      <c r="C2371" t="s" s="9">
        <v>60</v>
      </c>
      <c r="D2371" t="s" s="9">
        <v>43</v>
      </c>
      <c r="E2371" t="s" s="9">
        <v>71</v>
      </c>
      <c r="F2371" s="10">
        <v>724</v>
      </c>
      <c r="G2371" s="10">
        <v>3817144</v>
      </c>
      <c r="H2371" s="11" cm="1">
        <f t="array" ref="H2371">F2371/G2371*100000</f>
        <v>18.9670601895029</v>
      </c>
    </row>
    <row r="2372" ht="13" customHeight="1">
      <c r="A2372" s="8">
        <v>10</v>
      </c>
      <c r="B2372" t="s" s="9">
        <v>30</v>
      </c>
      <c r="C2372" t="s" s="9">
        <v>60</v>
      </c>
      <c r="D2372" t="s" s="9">
        <v>43</v>
      </c>
      <c r="E2372" t="s" s="9">
        <v>71</v>
      </c>
      <c r="F2372" s="10">
        <v>531</v>
      </c>
      <c r="G2372" s="10">
        <v>3817144</v>
      </c>
      <c r="H2372" s="11" cm="1">
        <f t="array" ref="H2372">F2372/G2372*100000</f>
        <v>13.9109239787653</v>
      </c>
    </row>
    <row r="2373" ht="13" customHeight="1">
      <c r="A2373" s="8">
        <v>1</v>
      </c>
      <c r="B2373" t="s" s="9">
        <v>30</v>
      </c>
      <c r="C2373" t="s" s="9">
        <v>60</v>
      </c>
      <c r="D2373" t="s" s="9">
        <v>44</v>
      </c>
      <c r="E2373" t="s" s="9">
        <v>71</v>
      </c>
      <c r="F2373" s="10">
        <v>5677</v>
      </c>
      <c r="G2373" s="10">
        <v>13239670</v>
      </c>
      <c r="H2373" s="11" cm="1">
        <f t="array" ref="H2373">F2373/G2373*100000</f>
        <v>42.8787122337641</v>
      </c>
    </row>
    <row r="2374" ht="13" customHeight="1">
      <c r="A2374" s="8">
        <v>2</v>
      </c>
      <c r="B2374" t="s" s="9">
        <v>34</v>
      </c>
      <c r="C2374" t="s" s="9">
        <v>60</v>
      </c>
      <c r="D2374" t="s" s="9">
        <v>44</v>
      </c>
      <c r="E2374" t="s" s="9">
        <v>71</v>
      </c>
      <c r="F2374" s="10">
        <v>1873</v>
      </c>
      <c r="G2374" s="10">
        <v>13239670</v>
      </c>
      <c r="H2374" s="11" cm="1">
        <f t="array" ref="H2374">F2374/G2374*100000</f>
        <v>14.1468782832201</v>
      </c>
    </row>
    <row r="2375" ht="13" customHeight="1">
      <c r="A2375" s="8">
        <v>3</v>
      </c>
      <c r="B2375" t="s" s="9">
        <v>39</v>
      </c>
      <c r="C2375" t="s" s="9">
        <v>60</v>
      </c>
      <c r="D2375" t="s" s="9">
        <v>44</v>
      </c>
      <c r="E2375" t="s" s="9">
        <v>71</v>
      </c>
      <c r="F2375" s="10">
        <v>2284</v>
      </c>
      <c r="G2375" s="10">
        <v>13239670</v>
      </c>
      <c r="H2375" s="11" cm="1">
        <f t="array" ref="H2375">F2375/G2375*100000</f>
        <v>17.251185263681</v>
      </c>
    </row>
    <row r="2376" ht="13" customHeight="1">
      <c r="A2376" s="8">
        <v>4</v>
      </c>
      <c r="B2376" t="s" s="9">
        <v>37</v>
      </c>
      <c r="C2376" t="s" s="9">
        <v>60</v>
      </c>
      <c r="D2376" t="s" s="9">
        <v>44</v>
      </c>
      <c r="E2376" t="s" s="9">
        <v>71</v>
      </c>
      <c r="F2376" s="10">
        <v>1036</v>
      </c>
      <c r="G2376" s="10">
        <v>13239670</v>
      </c>
      <c r="H2376" s="11" cm="1">
        <f t="array" ref="H2376">F2376/G2376*100000</f>
        <v>7.82496844709876</v>
      </c>
    </row>
    <row r="2377" ht="13" customHeight="1">
      <c r="A2377" s="8">
        <v>5</v>
      </c>
      <c r="B2377" t="s" s="9">
        <v>30</v>
      </c>
      <c r="C2377" t="s" s="9">
        <v>60</v>
      </c>
      <c r="D2377" t="s" s="9">
        <v>44</v>
      </c>
      <c r="E2377" t="s" s="9">
        <v>71</v>
      </c>
      <c r="F2377" s="10">
        <v>621</v>
      </c>
      <c r="G2377" s="10">
        <v>13239670</v>
      </c>
      <c r="H2377" s="11" cm="1">
        <f t="array" ref="H2377">F2377/G2377*100000</f>
        <v>4.69044923325128</v>
      </c>
    </row>
    <row r="2378" ht="13" customHeight="1">
      <c r="A2378" s="8">
        <v>6</v>
      </c>
      <c r="B2378" t="s" s="9">
        <v>30</v>
      </c>
      <c r="C2378" t="s" s="9">
        <v>60</v>
      </c>
      <c r="D2378" t="s" s="9">
        <v>44</v>
      </c>
      <c r="E2378" t="s" s="9">
        <v>71</v>
      </c>
      <c r="F2378" s="10">
        <v>672</v>
      </c>
      <c r="G2378" s="10">
        <v>13239670</v>
      </c>
      <c r="H2378" s="11" cm="1">
        <f t="array" ref="H2378">F2378/G2378*100000</f>
        <v>5.07565520892892</v>
      </c>
    </row>
    <row r="2379" ht="13" customHeight="1">
      <c r="A2379" s="8">
        <v>7</v>
      </c>
      <c r="B2379" t="s" s="9">
        <v>36</v>
      </c>
      <c r="C2379" t="s" s="9">
        <v>60</v>
      </c>
      <c r="D2379" t="s" s="9">
        <v>44</v>
      </c>
      <c r="E2379" t="s" s="9">
        <v>71</v>
      </c>
      <c r="F2379" s="10">
        <v>582</v>
      </c>
      <c r="G2379" s="10">
        <v>13239670</v>
      </c>
      <c r="H2379" s="11" cm="1">
        <f t="array" ref="H2379">F2379/G2379*100000</f>
        <v>4.39587995773309</v>
      </c>
    </row>
    <row r="2380" ht="13" customHeight="1">
      <c r="A2380" s="8">
        <v>8</v>
      </c>
      <c r="B2380" t="s" s="9">
        <v>45</v>
      </c>
      <c r="C2380" t="s" s="9">
        <v>60</v>
      </c>
      <c r="D2380" t="s" s="9">
        <v>44</v>
      </c>
      <c r="E2380" t="s" s="9">
        <v>71</v>
      </c>
      <c r="F2380" s="10">
        <v>538</v>
      </c>
      <c r="G2380" s="10">
        <v>13239670</v>
      </c>
      <c r="H2380" s="11" cm="1">
        <f t="array" ref="H2380">F2380/G2380*100000</f>
        <v>4.06354539048179</v>
      </c>
    </row>
    <row r="2381" ht="13" customHeight="1">
      <c r="A2381" s="8">
        <v>9</v>
      </c>
      <c r="B2381" t="s" s="9">
        <v>41</v>
      </c>
      <c r="C2381" t="s" s="9">
        <v>60</v>
      </c>
      <c r="D2381" t="s" s="9">
        <v>44</v>
      </c>
      <c r="E2381" t="s" s="9">
        <v>71</v>
      </c>
      <c r="F2381" s="10">
        <v>536</v>
      </c>
      <c r="G2381" s="10">
        <v>13239670</v>
      </c>
      <c r="H2381" s="11" cm="1">
        <f t="array" ref="H2381">F2381/G2381*100000</f>
        <v>4.04843927378855</v>
      </c>
    </row>
    <row r="2382" ht="13" customHeight="1">
      <c r="A2382" s="8">
        <v>10</v>
      </c>
      <c r="B2382" t="s" s="9">
        <v>30</v>
      </c>
      <c r="C2382" t="s" s="9">
        <v>60</v>
      </c>
      <c r="D2382" t="s" s="9">
        <v>44</v>
      </c>
      <c r="E2382" t="s" s="9">
        <v>71</v>
      </c>
      <c r="F2382" s="10">
        <v>575</v>
      </c>
      <c r="G2382" s="10">
        <v>13239670</v>
      </c>
      <c r="H2382" s="11" cm="1">
        <f t="array" ref="H2382">F2382/G2382*100000</f>
        <v>4.34300854930674</v>
      </c>
    </row>
    <row r="2383" ht="13" customHeight="1">
      <c r="A2383" s="8">
        <v>1</v>
      </c>
      <c r="B2383" t="s" s="9">
        <v>30</v>
      </c>
      <c r="C2383" t="s" s="9">
        <v>60</v>
      </c>
      <c r="D2383" t="s" s="9">
        <v>46</v>
      </c>
      <c r="E2383" t="s" s="9">
        <v>71</v>
      </c>
      <c r="F2383" s="10">
        <v>18813</v>
      </c>
      <c r="G2383" s="10">
        <v>17477569</v>
      </c>
      <c r="H2383" s="11" cm="1">
        <f t="array" ref="H2383">F2383/G2383*100000</f>
        <v>107.640828080839</v>
      </c>
    </row>
    <row r="2384" ht="13" customHeight="1">
      <c r="A2384" s="8">
        <v>2</v>
      </c>
      <c r="B2384" t="s" s="9">
        <v>30</v>
      </c>
      <c r="C2384" t="s" s="9">
        <v>60</v>
      </c>
      <c r="D2384" t="s" s="9">
        <v>46</v>
      </c>
      <c r="E2384" t="s" s="9">
        <v>71</v>
      </c>
      <c r="F2384" s="10">
        <v>7548</v>
      </c>
      <c r="G2384" s="10">
        <v>17477569</v>
      </c>
      <c r="H2384" s="11" cm="1">
        <f t="array" ref="H2384">F2384/G2384*100000</f>
        <v>43.1867841574535</v>
      </c>
    </row>
    <row r="2385" ht="13" customHeight="1">
      <c r="A2385" s="8">
        <v>3</v>
      </c>
      <c r="B2385" t="s" s="9">
        <v>34</v>
      </c>
      <c r="C2385" t="s" s="9">
        <v>60</v>
      </c>
      <c r="D2385" t="s" s="9">
        <v>46</v>
      </c>
      <c r="E2385" t="s" s="9">
        <v>71</v>
      </c>
      <c r="F2385" s="10">
        <v>6816</v>
      </c>
      <c r="G2385" s="10">
        <v>17477569</v>
      </c>
      <c r="H2385" s="11" cm="1">
        <f t="array" ref="H2385">F2385/G2385*100000</f>
        <v>38.998558666826</v>
      </c>
    </row>
    <row r="2386" ht="13" customHeight="1">
      <c r="A2386" s="8">
        <v>4</v>
      </c>
      <c r="B2386" t="s" s="9">
        <v>30</v>
      </c>
      <c r="C2386" t="s" s="9">
        <v>60</v>
      </c>
      <c r="D2386" t="s" s="9">
        <v>46</v>
      </c>
      <c r="E2386" t="s" s="9">
        <v>71</v>
      </c>
      <c r="F2386" s="10">
        <v>4964</v>
      </c>
      <c r="G2386" s="10">
        <v>17477569</v>
      </c>
      <c r="H2386" s="11" cm="1">
        <f t="array" ref="H2386">F2386/G2386*100000</f>
        <v>28.4021193107577</v>
      </c>
    </row>
    <row r="2387" ht="13" customHeight="1">
      <c r="A2387" s="8">
        <v>5</v>
      </c>
      <c r="B2387" t="s" s="9">
        <v>35</v>
      </c>
      <c r="C2387" t="s" s="9">
        <v>60</v>
      </c>
      <c r="D2387" t="s" s="9">
        <v>46</v>
      </c>
      <c r="E2387" t="s" s="9">
        <v>71</v>
      </c>
      <c r="F2387" s="10">
        <v>4728</v>
      </c>
      <c r="G2387" s="10">
        <v>17477569</v>
      </c>
      <c r="H2387" s="11" cm="1">
        <f t="array" ref="H2387">F2387/G2387*100000</f>
        <v>27.0518171033969</v>
      </c>
    </row>
    <row r="2388" ht="13" customHeight="1">
      <c r="A2388" s="8">
        <v>6</v>
      </c>
      <c r="B2388" t="s" s="9">
        <v>41</v>
      </c>
      <c r="C2388" t="s" s="9">
        <v>60</v>
      </c>
      <c r="D2388" t="s" s="9">
        <v>46</v>
      </c>
      <c r="E2388" t="s" s="9">
        <v>71</v>
      </c>
      <c r="F2388" s="10">
        <v>4757</v>
      </c>
      <c r="G2388" s="10">
        <v>17477569</v>
      </c>
      <c r="H2388" s="11" cm="1">
        <f t="array" ref="H2388">F2388/G2388*100000</f>
        <v>27.2177440695557</v>
      </c>
    </row>
    <row r="2389" ht="13" customHeight="1">
      <c r="A2389" s="8">
        <v>7</v>
      </c>
      <c r="B2389" t="s" s="9">
        <v>39</v>
      </c>
      <c r="C2389" t="s" s="9">
        <v>60</v>
      </c>
      <c r="D2389" t="s" s="9">
        <v>46</v>
      </c>
      <c r="E2389" t="s" s="9">
        <v>71</v>
      </c>
      <c r="F2389" s="10">
        <v>4787</v>
      </c>
      <c r="G2389" s="10">
        <v>17477569</v>
      </c>
      <c r="H2389" s="11" cm="1">
        <f t="array" ref="H2389">F2389/G2389*100000</f>
        <v>27.3893926552371</v>
      </c>
    </row>
    <row r="2390" ht="13" customHeight="1">
      <c r="A2390" s="8">
        <v>8</v>
      </c>
      <c r="B2390" t="s" s="9">
        <v>37</v>
      </c>
      <c r="C2390" t="s" s="9">
        <v>60</v>
      </c>
      <c r="D2390" t="s" s="9">
        <v>46</v>
      </c>
      <c r="E2390" t="s" s="9">
        <v>71</v>
      </c>
      <c r="F2390" s="10">
        <v>2233</v>
      </c>
      <c r="G2390" s="10">
        <v>17477569</v>
      </c>
      <c r="H2390" s="11" cm="1">
        <f t="array" ref="H2390">F2390/G2390*100000</f>
        <v>12.7763763942228</v>
      </c>
    </row>
    <row r="2391" ht="13" customHeight="1">
      <c r="A2391" s="8">
        <v>9</v>
      </c>
      <c r="B2391" t="s" s="9">
        <v>45</v>
      </c>
      <c r="C2391" t="s" s="9">
        <v>60</v>
      </c>
      <c r="D2391" t="s" s="9">
        <v>46</v>
      </c>
      <c r="E2391" t="s" s="9">
        <v>71</v>
      </c>
      <c r="F2391" s="10">
        <v>1509</v>
      </c>
      <c r="G2391" s="10">
        <v>17477569</v>
      </c>
      <c r="H2391" s="11" cm="1">
        <f t="array" ref="H2391">F2391/G2391*100000</f>
        <v>8.63392385977707</v>
      </c>
    </row>
    <row r="2392" ht="13" customHeight="1">
      <c r="A2392" s="8">
        <v>10</v>
      </c>
      <c r="B2392" t="s" s="9">
        <v>41</v>
      </c>
      <c r="C2392" t="s" s="9">
        <v>60</v>
      </c>
      <c r="D2392" t="s" s="9">
        <v>46</v>
      </c>
      <c r="E2392" t="s" s="9">
        <v>71</v>
      </c>
      <c r="F2392" s="10">
        <v>1329</v>
      </c>
      <c r="G2392" s="10">
        <v>17477569</v>
      </c>
      <c r="H2392" s="11" cm="1">
        <f t="array" ref="H2392">F2392/G2392*100000</f>
        <v>7.60403234568835</v>
      </c>
    </row>
    <row r="2393" ht="13" customHeight="1">
      <c r="A2393" s="8">
        <v>1</v>
      </c>
      <c r="B2393" t="s" s="9">
        <v>30</v>
      </c>
      <c r="C2393" t="s" s="9">
        <v>60</v>
      </c>
      <c r="D2393" t="s" s="9">
        <v>47</v>
      </c>
      <c r="E2393" t="s" s="9">
        <v>71</v>
      </c>
      <c r="F2393" s="10">
        <v>2502</v>
      </c>
      <c r="G2393" s="10">
        <v>3342831</v>
      </c>
      <c r="H2393" s="11" cm="1">
        <f t="array" ref="H2393">F2393/G2393*100000</f>
        <v>74.8467391860372</v>
      </c>
    </row>
    <row r="2394" ht="13" customHeight="1">
      <c r="A2394" s="8">
        <v>2</v>
      </c>
      <c r="B2394" t="s" s="9">
        <v>35</v>
      </c>
      <c r="C2394" t="s" s="9">
        <v>60</v>
      </c>
      <c r="D2394" t="s" s="9">
        <v>47</v>
      </c>
      <c r="E2394" t="s" s="9">
        <v>71</v>
      </c>
      <c r="F2394" s="10">
        <v>1179</v>
      </c>
      <c r="G2394" s="10">
        <v>3342831</v>
      </c>
      <c r="H2394" s="11" cm="1">
        <f t="array" ref="H2394">F2394/G2394*100000</f>
        <v>35.2695065948593</v>
      </c>
    </row>
    <row r="2395" ht="13" customHeight="1">
      <c r="A2395" s="8">
        <v>3</v>
      </c>
      <c r="B2395" t="s" s="9">
        <v>34</v>
      </c>
      <c r="C2395" t="s" s="9">
        <v>60</v>
      </c>
      <c r="D2395" t="s" s="9">
        <v>47</v>
      </c>
      <c r="E2395" t="s" s="9">
        <v>71</v>
      </c>
      <c r="F2395" s="10">
        <v>913</v>
      </c>
      <c r="G2395" s="10">
        <v>3342831</v>
      </c>
      <c r="H2395" s="11" cm="1">
        <f t="array" ref="H2395">F2395/G2395*100000</f>
        <v>27.312179407215</v>
      </c>
    </row>
    <row r="2396" ht="13" customHeight="1">
      <c r="A2396" s="8">
        <v>4</v>
      </c>
      <c r="B2396" t="s" s="9">
        <v>40</v>
      </c>
      <c r="C2396" t="s" s="9">
        <v>60</v>
      </c>
      <c r="D2396" t="s" s="9">
        <v>47</v>
      </c>
      <c r="E2396" t="s" s="9">
        <v>71</v>
      </c>
      <c r="F2396" s="10">
        <v>778</v>
      </c>
      <c r="G2396" s="10">
        <v>3342831</v>
      </c>
      <c r="H2396" s="11" cm="1">
        <f t="array" ref="H2396">F2396/G2396*100000</f>
        <v>23.2736862856663</v>
      </c>
    </row>
    <row r="2397" ht="13" customHeight="1">
      <c r="A2397" s="8">
        <v>5</v>
      </c>
      <c r="B2397" t="s" s="9">
        <v>45</v>
      </c>
      <c r="C2397" t="s" s="9">
        <v>60</v>
      </c>
      <c r="D2397" t="s" s="9">
        <v>47</v>
      </c>
      <c r="E2397" t="s" s="9">
        <v>71</v>
      </c>
      <c r="F2397" s="10">
        <v>332</v>
      </c>
      <c r="G2397" s="10">
        <v>3342831</v>
      </c>
      <c r="H2397" s="11" cm="1">
        <f t="array" ref="H2397">F2397/G2397*100000</f>
        <v>9.93170160262364</v>
      </c>
    </row>
    <row r="2398" ht="13" customHeight="1">
      <c r="A2398" s="8">
        <v>6</v>
      </c>
      <c r="B2398" t="s" s="9">
        <v>39</v>
      </c>
      <c r="C2398" t="s" s="9">
        <v>60</v>
      </c>
      <c r="D2398" t="s" s="9">
        <v>47</v>
      </c>
      <c r="E2398" t="s" s="9">
        <v>71</v>
      </c>
      <c r="F2398" s="10">
        <v>496</v>
      </c>
      <c r="G2398" s="10">
        <v>3342831</v>
      </c>
      <c r="H2398" s="11" cm="1">
        <f t="array" ref="H2398">F2398/G2398*100000</f>
        <v>14.8377228762088</v>
      </c>
    </row>
    <row r="2399" ht="13" customHeight="1">
      <c r="A2399" s="8">
        <v>7</v>
      </c>
      <c r="B2399" t="s" s="9">
        <v>35</v>
      </c>
      <c r="C2399" t="s" s="9">
        <v>60</v>
      </c>
      <c r="D2399" t="s" s="9">
        <v>47</v>
      </c>
      <c r="E2399" t="s" s="9">
        <v>71</v>
      </c>
      <c r="F2399" s="10">
        <v>248</v>
      </c>
      <c r="G2399" s="10">
        <v>3342831</v>
      </c>
      <c r="H2399" s="11" cm="1">
        <f t="array" ref="H2399">F2399/G2399*100000</f>
        <v>7.41886143810441</v>
      </c>
    </row>
    <row r="2400" ht="13" customHeight="1">
      <c r="A2400" s="8">
        <v>8</v>
      </c>
      <c r="B2400" t="s" s="9">
        <v>30</v>
      </c>
      <c r="C2400" t="s" s="9">
        <v>60</v>
      </c>
      <c r="D2400" t="s" s="9">
        <v>47</v>
      </c>
      <c r="E2400" t="s" s="9">
        <v>71</v>
      </c>
      <c r="F2400" s="10">
        <v>270</v>
      </c>
      <c r="G2400" s="10">
        <v>3342831</v>
      </c>
      <c r="H2400" s="11" cm="1">
        <f t="array" ref="H2400">F2400/G2400*100000</f>
        <v>8.07698624309754</v>
      </c>
    </row>
    <row r="2401" ht="13" customHeight="1">
      <c r="A2401" s="8">
        <v>9</v>
      </c>
      <c r="B2401" t="s" s="9">
        <v>36</v>
      </c>
      <c r="C2401" t="s" s="9">
        <v>60</v>
      </c>
      <c r="D2401" t="s" s="9">
        <v>47</v>
      </c>
      <c r="E2401" t="s" s="9">
        <v>71</v>
      </c>
      <c r="F2401" s="10">
        <v>337</v>
      </c>
      <c r="G2401" s="10">
        <v>3342831</v>
      </c>
      <c r="H2401" s="11" cm="1">
        <f t="array" ref="H2401">F2401/G2401*100000</f>
        <v>10.0812754219403</v>
      </c>
    </row>
    <row r="2402" ht="13" customHeight="1">
      <c r="A2402" s="8">
        <v>10</v>
      </c>
      <c r="B2402" t="s" s="9">
        <v>37</v>
      </c>
      <c r="C2402" t="s" s="9">
        <v>60</v>
      </c>
      <c r="D2402" t="s" s="9">
        <v>47</v>
      </c>
      <c r="E2402" t="s" s="9">
        <v>71</v>
      </c>
      <c r="F2402" s="10">
        <v>311</v>
      </c>
      <c r="G2402" s="10">
        <v>3342831</v>
      </c>
      <c r="H2402" s="11" cm="1">
        <f t="array" ref="H2402">F2402/G2402*100000</f>
        <v>9.303491561493839</v>
      </c>
    </row>
    <row r="2403" ht="13" customHeight="1">
      <c r="A2403" s="8">
        <v>1</v>
      </c>
      <c r="B2403" t="s" s="9">
        <v>48</v>
      </c>
      <c r="C2403" t="s" s="9">
        <v>60</v>
      </c>
      <c r="D2403" t="s" s="9">
        <v>49</v>
      </c>
      <c r="E2403" t="s" s="9">
        <v>71</v>
      </c>
      <c r="F2403" s="10">
        <v>0</v>
      </c>
      <c r="G2403" s="10">
        <v>6397690</v>
      </c>
      <c r="H2403" t="s" s="9">
        <v>50</v>
      </c>
    </row>
    <row r="2404" ht="13" customHeight="1">
      <c r="A2404" s="8">
        <v>2</v>
      </c>
      <c r="B2404" t="s" s="9">
        <v>48</v>
      </c>
      <c r="C2404" t="s" s="9">
        <v>60</v>
      </c>
      <c r="D2404" t="s" s="9">
        <v>49</v>
      </c>
      <c r="E2404" t="s" s="9">
        <v>71</v>
      </c>
      <c r="F2404" s="10">
        <v>0</v>
      </c>
      <c r="G2404" s="10">
        <v>6397690</v>
      </c>
      <c r="H2404" t="s" s="9">
        <v>50</v>
      </c>
    </row>
    <row r="2405" ht="13" customHeight="1">
      <c r="A2405" s="8">
        <v>3</v>
      </c>
      <c r="B2405" t="s" s="9">
        <v>48</v>
      </c>
      <c r="C2405" t="s" s="9">
        <v>60</v>
      </c>
      <c r="D2405" t="s" s="9">
        <v>49</v>
      </c>
      <c r="E2405" t="s" s="9">
        <v>71</v>
      </c>
      <c r="F2405" s="10">
        <v>0</v>
      </c>
      <c r="G2405" s="10">
        <v>6397690</v>
      </c>
      <c r="H2405" t="s" s="9">
        <v>50</v>
      </c>
    </row>
    <row r="2406" ht="13" customHeight="1">
      <c r="A2406" s="8">
        <v>4</v>
      </c>
      <c r="B2406" t="s" s="9">
        <v>48</v>
      </c>
      <c r="C2406" t="s" s="9">
        <v>60</v>
      </c>
      <c r="D2406" t="s" s="9">
        <v>49</v>
      </c>
      <c r="E2406" t="s" s="9">
        <v>71</v>
      </c>
      <c r="F2406" s="10">
        <v>0</v>
      </c>
      <c r="G2406" s="10">
        <v>6397690</v>
      </c>
      <c r="H2406" t="s" s="9">
        <v>50</v>
      </c>
    </row>
    <row r="2407" ht="13" customHeight="1">
      <c r="A2407" s="8">
        <v>5</v>
      </c>
      <c r="B2407" t="s" s="9">
        <v>48</v>
      </c>
      <c r="C2407" t="s" s="9">
        <v>60</v>
      </c>
      <c r="D2407" t="s" s="9">
        <v>49</v>
      </c>
      <c r="E2407" t="s" s="9">
        <v>71</v>
      </c>
      <c r="F2407" s="10">
        <v>0</v>
      </c>
      <c r="G2407" s="10">
        <v>6397690</v>
      </c>
      <c r="H2407" t="s" s="9">
        <v>50</v>
      </c>
    </row>
    <row r="2408" ht="13" customHeight="1">
      <c r="A2408" s="8">
        <v>6</v>
      </c>
      <c r="B2408" t="s" s="9">
        <v>48</v>
      </c>
      <c r="C2408" t="s" s="9">
        <v>60</v>
      </c>
      <c r="D2408" t="s" s="9">
        <v>49</v>
      </c>
      <c r="E2408" t="s" s="9">
        <v>71</v>
      </c>
      <c r="F2408" s="10">
        <v>0</v>
      </c>
      <c r="G2408" s="10">
        <v>6397690</v>
      </c>
      <c r="H2408" t="s" s="9">
        <v>50</v>
      </c>
    </row>
    <row r="2409" ht="13" customHeight="1">
      <c r="A2409" s="8">
        <v>7</v>
      </c>
      <c r="B2409" t="s" s="9">
        <v>48</v>
      </c>
      <c r="C2409" t="s" s="9">
        <v>60</v>
      </c>
      <c r="D2409" t="s" s="9">
        <v>49</v>
      </c>
      <c r="E2409" t="s" s="9">
        <v>71</v>
      </c>
      <c r="F2409" s="10">
        <v>0</v>
      </c>
      <c r="G2409" s="10">
        <v>6397690</v>
      </c>
      <c r="H2409" t="s" s="9">
        <v>50</v>
      </c>
    </row>
    <row r="2410" ht="13" customHeight="1">
      <c r="A2410" s="8">
        <v>8</v>
      </c>
      <c r="B2410" t="s" s="9">
        <v>48</v>
      </c>
      <c r="C2410" t="s" s="9">
        <v>60</v>
      </c>
      <c r="D2410" t="s" s="9">
        <v>49</v>
      </c>
      <c r="E2410" t="s" s="9">
        <v>71</v>
      </c>
      <c r="F2410" s="10">
        <v>0</v>
      </c>
      <c r="G2410" s="10">
        <v>6397690</v>
      </c>
      <c r="H2410" t="s" s="9">
        <v>50</v>
      </c>
    </row>
    <row r="2411" ht="13" customHeight="1">
      <c r="A2411" s="8">
        <v>9</v>
      </c>
      <c r="B2411" t="s" s="9">
        <v>48</v>
      </c>
      <c r="C2411" t="s" s="9">
        <v>60</v>
      </c>
      <c r="D2411" t="s" s="9">
        <v>49</v>
      </c>
      <c r="E2411" t="s" s="9">
        <v>71</v>
      </c>
      <c r="F2411" s="10">
        <v>0</v>
      </c>
      <c r="G2411" s="10">
        <v>6397690</v>
      </c>
      <c r="H2411" t="s" s="9">
        <v>50</v>
      </c>
    </row>
    <row r="2412" ht="13" customHeight="1">
      <c r="A2412" s="8">
        <v>10</v>
      </c>
      <c r="B2412" t="s" s="9">
        <v>48</v>
      </c>
      <c r="C2412" t="s" s="9">
        <v>60</v>
      </c>
      <c r="D2412" t="s" s="9">
        <v>49</v>
      </c>
      <c r="E2412" t="s" s="9">
        <v>71</v>
      </c>
      <c r="F2412" s="10">
        <v>0</v>
      </c>
      <c r="G2412" s="10">
        <v>6397690</v>
      </c>
      <c r="H2412" t="s" s="9">
        <v>50</v>
      </c>
    </row>
    <row r="2413" ht="13.65" customHeight="1">
      <c r="A2413" s="8">
        <v>1</v>
      </c>
      <c r="B2413" t="s" s="9">
        <v>30</v>
      </c>
      <c r="C2413" t="s" s="9">
        <v>60</v>
      </c>
      <c r="D2413" t="s" s="9">
        <v>51</v>
      </c>
      <c r="E2413" t="s" s="9">
        <v>71</v>
      </c>
      <c r="F2413" s="10">
        <v>2042</v>
      </c>
      <c r="G2413" s="12"/>
      <c r="H2413" s="13"/>
    </row>
    <row r="2414" ht="13.65" customHeight="1">
      <c r="A2414" s="8">
        <v>2</v>
      </c>
      <c r="B2414" t="s" s="9">
        <v>34</v>
      </c>
      <c r="C2414" t="s" s="9">
        <v>60</v>
      </c>
      <c r="D2414" t="s" s="9">
        <v>51</v>
      </c>
      <c r="E2414" t="s" s="9">
        <v>71</v>
      </c>
      <c r="F2414" s="10">
        <v>1522</v>
      </c>
      <c r="G2414" s="14"/>
      <c r="H2414" s="15"/>
    </row>
    <row r="2415" ht="13.65" customHeight="1">
      <c r="A2415" s="8">
        <v>3</v>
      </c>
      <c r="B2415" t="s" s="9">
        <v>30</v>
      </c>
      <c r="C2415" t="s" s="9">
        <v>60</v>
      </c>
      <c r="D2415" t="s" s="9">
        <v>51</v>
      </c>
      <c r="E2415" t="s" s="9">
        <v>71</v>
      </c>
      <c r="F2415" s="10">
        <v>858</v>
      </c>
      <c r="G2415" s="14"/>
      <c r="H2415" s="15"/>
    </row>
    <row r="2416" ht="13.65" customHeight="1">
      <c r="A2416" s="8">
        <v>4</v>
      </c>
      <c r="B2416" t="s" s="9">
        <v>35</v>
      </c>
      <c r="C2416" t="s" s="9">
        <v>60</v>
      </c>
      <c r="D2416" t="s" s="9">
        <v>51</v>
      </c>
      <c r="E2416" t="s" s="9">
        <v>71</v>
      </c>
      <c r="F2416" s="10">
        <v>443</v>
      </c>
      <c r="G2416" s="14"/>
      <c r="H2416" s="15"/>
    </row>
    <row r="2417" ht="13.65" customHeight="1">
      <c r="A2417" s="8">
        <v>5</v>
      </c>
      <c r="B2417" t="s" s="9">
        <v>39</v>
      </c>
      <c r="C2417" t="s" s="9">
        <v>60</v>
      </c>
      <c r="D2417" t="s" s="9">
        <v>51</v>
      </c>
      <c r="E2417" t="s" s="9">
        <v>71</v>
      </c>
      <c r="F2417" s="10">
        <v>446</v>
      </c>
      <c r="G2417" s="14"/>
      <c r="H2417" s="15"/>
    </row>
    <row r="2418" ht="13.65" customHeight="1">
      <c r="A2418" s="8">
        <v>6</v>
      </c>
      <c r="B2418" t="s" s="9">
        <v>30</v>
      </c>
      <c r="C2418" t="s" s="9">
        <v>60</v>
      </c>
      <c r="D2418" t="s" s="9">
        <v>51</v>
      </c>
      <c r="E2418" t="s" s="9">
        <v>71</v>
      </c>
      <c r="F2418" s="10">
        <v>224</v>
      </c>
      <c r="G2418" s="14"/>
      <c r="H2418" s="15"/>
    </row>
    <row r="2419" ht="13.65" customHeight="1">
      <c r="A2419" s="8">
        <v>7</v>
      </c>
      <c r="B2419" t="s" s="9">
        <v>30</v>
      </c>
      <c r="C2419" t="s" s="9">
        <v>60</v>
      </c>
      <c r="D2419" t="s" s="9">
        <v>51</v>
      </c>
      <c r="E2419" t="s" s="9">
        <v>71</v>
      </c>
      <c r="F2419" s="10">
        <v>319</v>
      </c>
      <c r="G2419" s="14"/>
      <c r="H2419" s="15"/>
    </row>
    <row r="2420" ht="13.65" customHeight="1">
      <c r="A2420" s="8">
        <v>8</v>
      </c>
      <c r="B2420" t="s" s="9">
        <v>30</v>
      </c>
      <c r="C2420" t="s" s="9">
        <v>60</v>
      </c>
      <c r="D2420" t="s" s="9">
        <v>51</v>
      </c>
      <c r="E2420" t="s" s="9">
        <v>71</v>
      </c>
      <c r="F2420" s="10">
        <v>34</v>
      </c>
      <c r="G2420" s="14"/>
      <c r="H2420" s="15"/>
    </row>
    <row r="2421" ht="13.65" customHeight="1">
      <c r="A2421" s="8">
        <v>9</v>
      </c>
      <c r="B2421" t="s" s="9">
        <v>30</v>
      </c>
      <c r="C2421" t="s" s="9">
        <v>60</v>
      </c>
      <c r="D2421" t="s" s="9">
        <v>51</v>
      </c>
      <c r="E2421" t="s" s="9">
        <v>71</v>
      </c>
      <c r="F2421" s="10">
        <v>31</v>
      </c>
      <c r="G2421" s="14"/>
      <c r="H2421" s="15"/>
    </row>
    <row r="2422" ht="13.65" customHeight="1">
      <c r="A2422" s="8">
        <v>10</v>
      </c>
      <c r="B2422" t="s" s="9">
        <v>34</v>
      </c>
      <c r="C2422" t="s" s="9">
        <v>60</v>
      </c>
      <c r="D2422" t="s" s="9">
        <v>51</v>
      </c>
      <c r="E2422" t="s" s="9">
        <v>71</v>
      </c>
      <c r="F2422" s="10">
        <v>25</v>
      </c>
      <c r="G2422" s="14"/>
      <c r="H2422" s="15"/>
    </row>
    <row r="2423" ht="13.65" customHeight="1">
      <c r="A2423" s="8">
        <v>1</v>
      </c>
      <c r="B2423" t="s" s="9">
        <v>34</v>
      </c>
      <c r="C2423" t="s" s="9">
        <v>60</v>
      </c>
      <c r="D2423" t="s" s="9">
        <v>52</v>
      </c>
      <c r="E2423" t="s" s="9">
        <v>71</v>
      </c>
      <c r="F2423" s="10">
        <v>2714</v>
      </c>
      <c r="G2423" s="14"/>
      <c r="H2423" s="15"/>
    </row>
    <row r="2424" ht="13.65" customHeight="1">
      <c r="A2424" s="8">
        <v>2</v>
      </c>
      <c r="B2424" t="s" s="9">
        <v>35</v>
      </c>
      <c r="C2424" t="s" s="9">
        <v>60</v>
      </c>
      <c r="D2424" t="s" s="9">
        <v>52</v>
      </c>
      <c r="E2424" t="s" s="9">
        <v>71</v>
      </c>
      <c r="F2424" s="10">
        <v>1943</v>
      </c>
      <c r="G2424" s="14"/>
      <c r="H2424" s="15"/>
    </row>
    <row r="2425" ht="13.65" customHeight="1">
      <c r="A2425" s="8">
        <v>3</v>
      </c>
      <c r="B2425" t="s" s="9">
        <v>41</v>
      </c>
      <c r="C2425" t="s" s="9">
        <v>60</v>
      </c>
      <c r="D2425" t="s" s="9">
        <v>52</v>
      </c>
      <c r="E2425" t="s" s="9">
        <v>71</v>
      </c>
      <c r="F2425" s="10">
        <v>2044</v>
      </c>
      <c r="G2425" s="14"/>
      <c r="H2425" s="15"/>
    </row>
    <row r="2426" ht="13.65" customHeight="1">
      <c r="A2426" s="8">
        <v>4</v>
      </c>
      <c r="B2426" t="s" s="9">
        <v>35</v>
      </c>
      <c r="C2426" t="s" s="9">
        <v>60</v>
      </c>
      <c r="D2426" t="s" s="9">
        <v>52</v>
      </c>
      <c r="E2426" t="s" s="9">
        <v>71</v>
      </c>
      <c r="F2426" s="10">
        <v>1247</v>
      </c>
      <c r="G2426" s="14"/>
      <c r="H2426" s="15"/>
    </row>
    <row r="2427" ht="13.65" customHeight="1">
      <c r="A2427" s="8">
        <v>5</v>
      </c>
      <c r="B2427" t="s" s="9">
        <v>30</v>
      </c>
      <c r="C2427" t="s" s="9">
        <v>60</v>
      </c>
      <c r="D2427" t="s" s="9">
        <v>52</v>
      </c>
      <c r="E2427" t="s" s="9">
        <v>71</v>
      </c>
      <c r="F2427" s="10">
        <v>1082</v>
      </c>
      <c r="G2427" s="14"/>
      <c r="H2427" s="15"/>
    </row>
    <row r="2428" ht="13.65" customHeight="1">
      <c r="A2428" s="8">
        <v>6</v>
      </c>
      <c r="B2428" t="s" s="9">
        <v>30</v>
      </c>
      <c r="C2428" t="s" s="9">
        <v>60</v>
      </c>
      <c r="D2428" t="s" s="9">
        <v>52</v>
      </c>
      <c r="E2428" t="s" s="9">
        <v>71</v>
      </c>
      <c r="F2428" s="10">
        <v>1011</v>
      </c>
      <c r="G2428" s="14"/>
      <c r="H2428" s="15"/>
    </row>
    <row r="2429" ht="13.65" customHeight="1">
      <c r="A2429" s="8">
        <v>7</v>
      </c>
      <c r="B2429" t="s" s="9">
        <v>34</v>
      </c>
      <c r="C2429" t="s" s="9">
        <v>60</v>
      </c>
      <c r="D2429" t="s" s="9">
        <v>52</v>
      </c>
      <c r="E2429" t="s" s="9">
        <v>71</v>
      </c>
      <c r="F2429" s="10">
        <v>820</v>
      </c>
      <c r="G2429" s="14"/>
      <c r="H2429" s="15"/>
    </row>
    <row r="2430" ht="13.65" customHeight="1">
      <c r="A2430" s="8">
        <v>8</v>
      </c>
      <c r="B2430" t="s" s="9">
        <v>35</v>
      </c>
      <c r="C2430" t="s" s="9">
        <v>60</v>
      </c>
      <c r="D2430" t="s" s="9">
        <v>52</v>
      </c>
      <c r="E2430" t="s" s="9">
        <v>71</v>
      </c>
      <c r="F2430" s="10">
        <v>867</v>
      </c>
      <c r="G2430" s="14"/>
      <c r="H2430" s="15"/>
    </row>
    <row r="2431" ht="13.65" customHeight="1">
      <c r="A2431" s="8">
        <v>9</v>
      </c>
      <c r="B2431" t="s" s="9">
        <v>59</v>
      </c>
      <c r="C2431" t="s" s="9">
        <v>60</v>
      </c>
      <c r="D2431" t="s" s="9">
        <v>52</v>
      </c>
      <c r="E2431" t="s" s="9">
        <v>71</v>
      </c>
      <c r="F2431" s="10">
        <v>829</v>
      </c>
      <c r="G2431" s="14"/>
      <c r="H2431" s="15"/>
    </row>
    <row r="2432" ht="13.65" customHeight="1">
      <c r="A2432" s="8">
        <v>10</v>
      </c>
      <c r="B2432" t="s" s="9">
        <v>30</v>
      </c>
      <c r="C2432" t="s" s="9">
        <v>60</v>
      </c>
      <c r="D2432" t="s" s="9">
        <v>52</v>
      </c>
      <c r="E2432" t="s" s="9">
        <v>71</v>
      </c>
      <c r="F2432" s="10">
        <v>541</v>
      </c>
      <c r="G2432" s="16"/>
      <c r="H2432" s="17"/>
    </row>
    <row r="2433" ht="13" customHeight="1">
      <c r="A2433" s="8">
        <v>1</v>
      </c>
      <c r="B2433" t="s" s="9">
        <v>41</v>
      </c>
      <c r="C2433" t="s" s="9">
        <v>60</v>
      </c>
      <c r="D2433" t="s" s="9">
        <v>53</v>
      </c>
      <c r="E2433" t="s" s="9">
        <v>71</v>
      </c>
      <c r="F2433" s="10">
        <v>2611</v>
      </c>
      <c r="G2433" s="10">
        <v>5049226</v>
      </c>
      <c r="H2433" s="11" cm="1">
        <f t="array" ref="H2433">F2433/G2433*100000</f>
        <v>51.7108958878054</v>
      </c>
    </row>
    <row r="2434" ht="13" customHeight="1">
      <c r="A2434" s="8">
        <v>2</v>
      </c>
      <c r="B2434" t="s" s="9">
        <v>30</v>
      </c>
      <c r="C2434" t="s" s="9">
        <v>60</v>
      </c>
      <c r="D2434" t="s" s="9">
        <v>53</v>
      </c>
      <c r="E2434" t="s" s="9">
        <v>71</v>
      </c>
      <c r="F2434" s="10">
        <v>399</v>
      </c>
      <c r="G2434" s="10">
        <v>5049226</v>
      </c>
      <c r="H2434" s="11" cm="1">
        <f t="array" ref="H2434">F2434/G2434*100000</f>
        <v>7.90220124827053</v>
      </c>
    </row>
    <row r="2435" ht="13" customHeight="1">
      <c r="A2435" s="8">
        <v>3</v>
      </c>
      <c r="B2435" t="s" s="9">
        <v>45</v>
      </c>
      <c r="C2435" t="s" s="9">
        <v>60</v>
      </c>
      <c r="D2435" t="s" s="9">
        <v>53</v>
      </c>
      <c r="E2435" t="s" s="9">
        <v>71</v>
      </c>
      <c r="F2435" s="10">
        <v>90</v>
      </c>
      <c r="G2435" s="10">
        <v>5049226</v>
      </c>
      <c r="H2435" s="11" cm="1">
        <f t="array" ref="H2435">F2435/G2435*100000</f>
        <v>1.78245140938433</v>
      </c>
    </row>
    <row r="2436" ht="13" customHeight="1">
      <c r="A2436" s="8">
        <v>4</v>
      </c>
      <c r="B2436" t="s" s="9">
        <v>34</v>
      </c>
      <c r="C2436" t="s" s="9">
        <v>60</v>
      </c>
      <c r="D2436" t="s" s="9">
        <v>53</v>
      </c>
      <c r="E2436" t="s" s="9">
        <v>71</v>
      </c>
      <c r="F2436" s="10">
        <v>72</v>
      </c>
      <c r="G2436" s="10">
        <v>5049226</v>
      </c>
      <c r="H2436" s="11" cm="1">
        <f t="array" ref="H2436">F2436/G2436*100000</f>
        <v>1.42596112750746</v>
      </c>
    </row>
    <row r="2437" ht="13" customHeight="1">
      <c r="A2437" s="8">
        <v>5</v>
      </c>
      <c r="B2437" t="s" s="9">
        <v>41</v>
      </c>
      <c r="C2437" t="s" s="9">
        <v>60</v>
      </c>
      <c r="D2437" t="s" s="9">
        <v>53</v>
      </c>
      <c r="E2437" t="s" s="9">
        <v>71</v>
      </c>
      <c r="F2437" s="10">
        <v>51</v>
      </c>
      <c r="G2437" s="10">
        <v>5049226</v>
      </c>
      <c r="H2437" s="11" cm="1">
        <f t="array" ref="H2437">F2437/G2437*100000</f>
        <v>1.01005579865112</v>
      </c>
    </row>
    <row r="2438" ht="13" customHeight="1">
      <c r="A2438" s="8">
        <v>6</v>
      </c>
      <c r="B2438" t="s" s="9">
        <v>45</v>
      </c>
      <c r="C2438" t="s" s="9">
        <v>60</v>
      </c>
      <c r="D2438" t="s" s="9">
        <v>53</v>
      </c>
      <c r="E2438" t="s" s="9">
        <v>71</v>
      </c>
      <c r="F2438" s="10">
        <v>11</v>
      </c>
      <c r="G2438" s="10">
        <v>5049226</v>
      </c>
      <c r="H2438" s="11" cm="1">
        <f t="array" ref="H2438">F2438/G2438*100000</f>
        <v>0.217855172258085</v>
      </c>
    </row>
    <row r="2439" ht="13" customHeight="1">
      <c r="A2439" s="8">
        <v>7</v>
      </c>
      <c r="B2439" t="s" s="9">
        <v>30</v>
      </c>
      <c r="C2439" t="s" s="9">
        <v>60</v>
      </c>
      <c r="D2439" t="s" s="9">
        <v>53</v>
      </c>
      <c r="E2439" t="s" s="9">
        <v>71</v>
      </c>
      <c r="F2439" s="10">
        <v>2</v>
      </c>
      <c r="G2439" s="10">
        <v>5049226</v>
      </c>
      <c r="H2439" s="11" cm="1">
        <f t="array" ref="H2439">F2439/G2439*100000</f>
        <v>0.0396100313196518</v>
      </c>
    </row>
    <row r="2440" ht="13" customHeight="1">
      <c r="A2440" s="8">
        <v>8</v>
      </c>
      <c r="B2440" t="s" s="9">
        <v>45</v>
      </c>
      <c r="C2440" t="s" s="9">
        <v>60</v>
      </c>
      <c r="D2440" t="s" s="9">
        <v>53</v>
      </c>
      <c r="E2440" t="s" s="9">
        <v>71</v>
      </c>
      <c r="F2440" s="10">
        <v>1</v>
      </c>
      <c r="G2440" s="10">
        <v>5049226</v>
      </c>
      <c r="H2440" s="11" cm="1">
        <f t="array" ref="H2440">F2440/G2440*100000</f>
        <v>0.0198050156598259</v>
      </c>
    </row>
    <row r="2441" ht="13" customHeight="1">
      <c r="A2441" s="8">
        <v>9</v>
      </c>
      <c r="B2441" t="s" s="9">
        <v>48</v>
      </c>
      <c r="C2441" t="s" s="9">
        <v>60</v>
      </c>
      <c r="D2441" t="s" s="9">
        <v>53</v>
      </c>
      <c r="E2441" t="s" s="9">
        <v>71</v>
      </c>
      <c r="F2441" s="10">
        <v>0</v>
      </c>
      <c r="G2441" s="10">
        <v>5049226</v>
      </c>
      <c r="H2441" s="11" cm="1">
        <f t="array" ref="H2441">F2441/G2441*100000</f>
        <v>0</v>
      </c>
    </row>
    <row r="2442" ht="13" customHeight="1">
      <c r="A2442" s="8">
        <v>10</v>
      </c>
      <c r="B2442" t="s" s="9">
        <v>48</v>
      </c>
      <c r="C2442" t="s" s="9">
        <v>60</v>
      </c>
      <c r="D2442" t="s" s="9">
        <v>53</v>
      </c>
      <c r="E2442" t="s" s="9">
        <v>71</v>
      </c>
      <c r="F2442" s="10">
        <v>0</v>
      </c>
      <c r="G2442" s="10">
        <v>5049226</v>
      </c>
      <c r="H2442" s="11" cm="1">
        <f t="array" ref="H2442">F2442/G2442*100000</f>
        <v>0</v>
      </c>
    </row>
    <row r="2443" ht="13" customHeight="1">
      <c r="A2443" s="8">
        <v>1</v>
      </c>
      <c r="B2443" t="s" s="9">
        <v>35</v>
      </c>
      <c r="C2443" t="s" s="9">
        <v>60</v>
      </c>
      <c r="D2443" t="s" s="9">
        <v>54</v>
      </c>
      <c r="E2443" t="s" s="9">
        <v>71</v>
      </c>
      <c r="F2443" s="10">
        <v>2178</v>
      </c>
      <c r="G2443" s="10">
        <v>3901529</v>
      </c>
      <c r="H2443" s="11" cm="1">
        <f t="array" ref="H2443">F2443/G2443*100000</f>
        <v>55.8242678703657</v>
      </c>
    </row>
    <row r="2444" ht="13" customHeight="1">
      <c r="A2444" s="8">
        <v>2</v>
      </c>
      <c r="B2444" t="s" s="9">
        <v>30</v>
      </c>
      <c r="C2444" t="s" s="9">
        <v>60</v>
      </c>
      <c r="D2444" t="s" s="9">
        <v>54</v>
      </c>
      <c r="E2444" t="s" s="9">
        <v>71</v>
      </c>
      <c r="F2444" s="10">
        <v>2276</v>
      </c>
      <c r="G2444" s="10">
        <v>3901529</v>
      </c>
      <c r="H2444" s="11" cm="1">
        <f t="array" ref="H2444">F2444/G2444*100000</f>
        <v>58.3361036147623</v>
      </c>
    </row>
    <row r="2445" ht="13" customHeight="1">
      <c r="A2445" s="8">
        <v>3</v>
      </c>
      <c r="B2445" t="s" s="9">
        <v>34</v>
      </c>
      <c r="C2445" t="s" s="9">
        <v>60</v>
      </c>
      <c r="D2445" t="s" s="9">
        <v>54</v>
      </c>
      <c r="E2445" t="s" s="9">
        <v>71</v>
      </c>
      <c r="F2445" s="10">
        <v>906</v>
      </c>
      <c r="G2445" s="10">
        <v>3901529</v>
      </c>
      <c r="H2445" s="11" cm="1">
        <f t="array" ref="H2445">F2445/G2445*100000</f>
        <v>23.2216651471769</v>
      </c>
    </row>
    <row r="2446" ht="13" customHeight="1">
      <c r="A2446" s="8">
        <v>4</v>
      </c>
      <c r="B2446" t="s" s="9">
        <v>30</v>
      </c>
      <c r="C2446" t="s" s="9">
        <v>60</v>
      </c>
      <c r="D2446" t="s" s="9">
        <v>54</v>
      </c>
      <c r="E2446" t="s" s="9">
        <v>71</v>
      </c>
      <c r="F2446" s="10">
        <v>634</v>
      </c>
      <c r="G2446" s="10">
        <v>3901529</v>
      </c>
      <c r="H2446" s="11" cm="1">
        <f t="array" ref="H2446">F2446/G2446*100000</f>
        <v>16.2500394076271</v>
      </c>
    </row>
    <row r="2447" ht="13" customHeight="1">
      <c r="A2447" s="8">
        <v>5</v>
      </c>
      <c r="B2447" t="s" s="9">
        <v>40</v>
      </c>
      <c r="C2447" t="s" s="9">
        <v>60</v>
      </c>
      <c r="D2447" t="s" s="9">
        <v>54</v>
      </c>
      <c r="E2447" t="s" s="9">
        <v>71</v>
      </c>
      <c r="F2447" s="10">
        <v>470</v>
      </c>
      <c r="G2447" s="10">
        <v>3901529</v>
      </c>
      <c r="H2447" s="11" cm="1">
        <f t="array" ref="H2447">F2447/G2447*100000</f>
        <v>12.0465591823103</v>
      </c>
    </row>
    <row r="2448" ht="13" customHeight="1">
      <c r="A2448" s="8">
        <v>6</v>
      </c>
      <c r="B2448" t="s" s="9">
        <v>39</v>
      </c>
      <c r="C2448" t="s" s="9">
        <v>60</v>
      </c>
      <c r="D2448" t="s" s="9">
        <v>54</v>
      </c>
      <c r="E2448" t="s" s="9">
        <v>71</v>
      </c>
      <c r="F2448" s="10">
        <v>532</v>
      </c>
      <c r="G2448" s="10">
        <v>3901529</v>
      </c>
      <c r="H2448" s="11" cm="1">
        <f t="array" ref="H2448">F2448/G2448*100000</f>
        <v>13.6356797552959</v>
      </c>
    </row>
    <row r="2449" ht="13" customHeight="1">
      <c r="A2449" s="8">
        <v>7</v>
      </c>
      <c r="B2449" t="s" s="9">
        <v>41</v>
      </c>
      <c r="C2449" t="s" s="9">
        <v>60</v>
      </c>
      <c r="D2449" t="s" s="9">
        <v>54</v>
      </c>
      <c r="E2449" t="s" s="9">
        <v>71</v>
      </c>
      <c r="F2449" s="10">
        <v>457</v>
      </c>
      <c r="G2449" s="10">
        <v>3901529</v>
      </c>
      <c r="H2449" s="11" cm="1">
        <f t="array" ref="H2449">F2449/G2449*100000</f>
        <v>11.713356481523</v>
      </c>
    </row>
    <row r="2450" ht="13" customHeight="1">
      <c r="A2450" s="8">
        <v>8</v>
      </c>
      <c r="B2450" t="s" s="9">
        <v>45</v>
      </c>
      <c r="C2450" t="s" s="9">
        <v>60</v>
      </c>
      <c r="D2450" t="s" s="9">
        <v>54</v>
      </c>
      <c r="E2450" t="s" s="9">
        <v>71</v>
      </c>
      <c r="F2450" s="10">
        <v>281</v>
      </c>
      <c r="G2450" s="10">
        <v>3901529</v>
      </c>
      <c r="H2450" s="11" cm="1">
        <f t="array" ref="H2450">F2450/G2450*100000</f>
        <v>7.20230453240255</v>
      </c>
    </row>
    <row r="2451" ht="13" customHeight="1">
      <c r="A2451" s="8">
        <v>9</v>
      </c>
      <c r="B2451" t="s" s="9">
        <v>41</v>
      </c>
      <c r="C2451" t="s" s="9">
        <v>60</v>
      </c>
      <c r="D2451" t="s" s="9">
        <v>54</v>
      </c>
      <c r="E2451" t="s" s="9">
        <v>71</v>
      </c>
      <c r="F2451" s="10">
        <v>253</v>
      </c>
      <c r="G2451" s="10">
        <v>3901529</v>
      </c>
      <c r="H2451" s="11" cm="1">
        <f t="array" ref="H2451">F2451/G2451*100000</f>
        <v>6.48463717686066</v>
      </c>
    </row>
    <row r="2452" ht="13" customHeight="1">
      <c r="A2452" s="8">
        <v>10</v>
      </c>
      <c r="B2452" t="s" s="9">
        <v>30</v>
      </c>
      <c r="C2452" t="s" s="9">
        <v>60</v>
      </c>
      <c r="D2452" t="s" s="9">
        <v>54</v>
      </c>
      <c r="E2452" t="s" s="9">
        <v>71</v>
      </c>
      <c r="F2452" s="10">
        <v>256</v>
      </c>
      <c r="G2452" s="10">
        <v>3901529</v>
      </c>
      <c r="H2452" s="11" cm="1">
        <f t="array" ref="H2452">F2452/G2452*100000</f>
        <v>6.56153010781158</v>
      </c>
    </row>
    <row r="2453" ht="13" customHeight="1">
      <c r="A2453" s="8">
        <v>1</v>
      </c>
      <c r="B2453" t="s" s="9">
        <v>35</v>
      </c>
      <c r="C2453" t="s" s="9">
        <v>60</v>
      </c>
      <c r="D2453" t="s" s="9">
        <v>55</v>
      </c>
      <c r="E2453" t="s" s="9">
        <v>71</v>
      </c>
      <c r="F2453" s="10">
        <v>3392</v>
      </c>
      <c r="G2453" s="10">
        <v>5273604</v>
      </c>
      <c r="H2453" s="11" cm="1">
        <f t="array" ref="H2453">F2453/G2453*100000</f>
        <v>64.3203395628492</v>
      </c>
    </row>
    <row r="2454" ht="13" customHeight="1">
      <c r="A2454" s="8">
        <v>2</v>
      </c>
      <c r="B2454" t="s" s="9">
        <v>30</v>
      </c>
      <c r="C2454" t="s" s="9">
        <v>60</v>
      </c>
      <c r="D2454" t="s" s="9">
        <v>55</v>
      </c>
      <c r="E2454" t="s" s="9">
        <v>71</v>
      </c>
      <c r="F2454" s="10">
        <v>3441</v>
      </c>
      <c r="G2454" s="10">
        <v>5273604</v>
      </c>
      <c r="H2454" s="11" cm="1">
        <f t="array" ref="H2454">F2454/G2454*100000</f>
        <v>65.2494954114871</v>
      </c>
    </row>
    <row r="2455" ht="13" customHeight="1">
      <c r="A2455" s="8">
        <v>3</v>
      </c>
      <c r="B2455" t="s" s="9">
        <v>30</v>
      </c>
      <c r="C2455" t="s" s="9">
        <v>60</v>
      </c>
      <c r="D2455" t="s" s="9">
        <v>55</v>
      </c>
      <c r="E2455" t="s" s="9">
        <v>71</v>
      </c>
      <c r="F2455" s="10">
        <v>1194</v>
      </c>
      <c r="G2455" s="10">
        <v>5273604</v>
      </c>
      <c r="H2455" s="11" cm="1">
        <f t="array" ref="H2455">F2455/G2455*100000</f>
        <v>22.6410629239511</v>
      </c>
    </row>
    <row r="2456" ht="13" customHeight="1">
      <c r="A2456" s="8">
        <v>4</v>
      </c>
      <c r="B2456" t="s" s="9">
        <v>34</v>
      </c>
      <c r="C2456" t="s" s="9">
        <v>60</v>
      </c>
      <c r="D2456" t="s" s="9">
        <v>55</v>
      </c>
      <c r="E2456" t="s" s="9">
        <v>71</v>
      </c>
      <c r="F2456" s="10">
        <v>1440</v>
      </c>
      <c r="G2456" s="10">
        <v>5273604</v>
      </c>
      <c r="H2456" s="11" cm="1">
        <f t="array" ref="H2456">F2456/G2456*100000</f>
        <v>27.3058045313983</v>
      </c>
    </row>
    <row r="2457" ht="13" customHeight="1">
      <c r="A2457" s="8">
        <v>5</v>
      </c>
      <c r="B2457" t="s" s="9">
        <v>39</v>
      </c>
      <c r="C2457" t="s" s="9">
        <v>60</v>
      </c>
      <c r="D2457" t="s" s="9">
        <v>55</v>
      </c>
      <c r="E2457" t="s" s="9">
        <v>71</v>
      </c>
      <c r="F2457" s="10">
        <v>1337</v>
      </c>
      <c r="G2457" s="10">
        <v>5273604</v>
      </c>
      <c r="H2457" s="11" cm="1">
        <f t="array" ref="H2457">F2457/G2457*100000</f>
        <v>25.352681012833</v>
      </c>
    </row>
    <row r="2458" ht="13" customHeight="1">
      <c r="A2458" s="8">
        <v>6</v>
      </c>
      <c r="B2458" t="s" s="9">
        <v>36</v>
      </c>
      <c r="C2458" t="s" s="9">
        <v>60</v>
      </c>
      <c r="D2458" t="s" s="9">
        <v>55</v>
      </c>
      <c r="E2458" t="s" s="9">
        <v>71</v>
      </c>
      <c r="F2458" s="10">
        <v>466</v>
      </c>
      <c r="G2458" s="10">
        <v>5273604</v>
      </c>
      <c r="H2458" s="11" cm="1">
        <f t="array" ref="H2458">F2458/G2458*100000</f>
        <v>8.8364617441886</v>
      </c>
    </row>
    <row r="2459" ht="13" customHeight="1">
      <c r="A2459" s="8">
        <v>7</v>
      </c>
      <c r="B2459" t="s" s="9">
        <v>41</v>
      </c>
      <c r="C2459" t="s" s="9">
        <v>60</v>
      </c>
      <c r="D2459" t="s" s="9">
        <v>55</v>
      </c>
      <c r="E2459" t="s" s="9">
        <v>71</v>
      </c>
      <c r="F2459" s="10">
        <v>479</v>
      </c>
      <c r="G2459" s="10">
        <v>5273604</v>
      </c>
      <c r="H2459" s="11" cm="1">
        <f t="array" ref="H2459">F2459/G2459*100000</f>
        <v>9.08297247954151</v>
      </c>
    </row>
    <row r="2460" ht="13" customHeight="1">
      <c r="A2460" s="8">
        <v>8</v>
      </c>
      <c r="B2460" t="s" s="9">
        <v>45</v>
      </c>
      <c r="C2460" t="s" s="9">
        <v>60</v>
      </c>
      <c r="D2460" t="s" s="9">
        <v>55</v>
      </c>
      <c r="E2460" t="s" s="9">
        <v>71</v>
      </c>
      <c r="F2460" s="10">
        <v>391</v>
      </c>
      <c r="G2460" s="10">
        <v>5273604</v>
      </c>
      <c r="H2460" s="11" cm="1">
        <f t="array" ref="H2460">F2460/G2460*100000</f>
        <v>7.41428442484494</v>
      </c>
    </row>
    <row r="2461" ht="13" customHeight="1">
      <c r="A2461" s="8">
        <v>9</v>
      </c>
      <c r="B2461" t="s" s="9">
        <v>36</v>
      </c>
      <c r="C2461" t="s" s="9">
        <v>60</v>
      </c>
      <c r="D2461" t="s" s="9">
        <v>55</v>
      </c>
      <c r="E2461" t="s" s="9">
        <v>71</v>
      </c>
      <c r="F2461" s="10">
        <v>406</v>
      </c>
      <c r="G2461" s="10">
        <v>5273604</v>
      </c>
      <c r="H2461" s="11" cm="1">
        <f t="array" ref="H2461">F2461/G2461*100000</f>
        <v>7.69871988871368</v>
      </c>
    </row>
    <row r="2462" ht="13" customHeight="1">
      <c r="A2462" s="8">
        <v>10</v>
      </c>
      <c r="B2462" t="s" s="9">
        <v>30</v>
      </c>
      <c r="C2462" t="s" s="9">
        <v>60</v>
      </c>
      <c r="D2462" t="s" s="9">
        <v>55</v>
      </c>
      <c r="E2462" t="s" s="9">
        <v>71</v>
      </c>
      <c r="F2462" s="10">
        <v>388</v>
      </c>
      <c r="G2462" s="10">
        <v>5273604</v>
      </c>
      <c r="H2462" s="11" cm="1">
        <f t="array" ref="H2462">F2462/G2462*100000</f>
        <v>7.3573973320712</v>
      </c>
    </row>
    <row r="2463" ht="13" customHeight="1">
      <c r="A2463" s="8">
        <v>1</v>
      </c>
      <c r="B2463" t="s" s="9">
        <v>30</v>
      </c>
      <c r="C2463" t="s" s="9">
        <v>60</v>
      </c>
      <c r="D2463" t="s" s="9">
        <v>56</v>
      </c>
      <c r="E2463" t="s" s="9">
        <v>71</v>
      </c>
      <c r="F2463" s="10">
        <v>1781</v>
      </c>
      <c r="G2463" s="10">
        <v>5691183</v>
      </c>
      <c r="H2463" s="11" cm="1">
        <f t="array" ref="H2463">F2463/G2463*100000</f>
        <v>31.2940209443274</v>
      </c>
    </row>
    <row r="2464" ht="13" customHeight="1">
      <c r="A2464" s="8">
        <v>2</v>
      </c>
      <c r="B2464" t="s" s="9">
        <v>35</v>
      </c>
      <c r="C2464" t="s" s="9">
        <v>60</v>
      </c>
      <c r="D2464" t="s" s="9">
        <v>56</v>
      </c>
      <c r="E2464" t="s" s="9">
        <v>71</v>
      </c>
      <c r="F2464" s="10">
        <v>921</v>
      </c>
      <c r="G2464" s="10">
        <v>5691183</v>
      </c>
      <c r="H2464" s="11" cm="1">
        <f t="array" ref="H2464">F2464/G2464*100000</f>
        <v>16.182927169975</v>
      </c>
    </row>
    <row r="2465" ht="13" customHeight="1">
      <c r="A2465" s="8">
        <v>3</v>
      </c>
      <c r="B2465" t="s" s="9">
        <v>41</v>
      </c>
      <c r="C2465" t="s" s="9">
        <v>60</v>
      </c>
      <c r="D2465" t="s" s="9">
        <v>56</v>
      </c>
      <c r="E2465" t="s" s="9">
        <v>71</v>
      </c>
      <c r="F2465" s="10">
        <v>904</v>
      </c>
      <c r="G2465" s="10">
        <v>5691183</v>
      </c>
      <c r="H2465" s="11" cm="1">
        <f t="array" ref="H2465">F2465/G2465*100000</f>
        <v>15.8842195023425</v>
      </c>
    </row>
    <row r="2466" ht="13" customHeight="1">
      <c r="A2466" s="8">
        <v>4</v>
      </c>
      <c r="B2466" t="s" s="9">
        <v>30</v>
      </c>
      <c r="C2466" t="s" s="9">
        <v>60</v>
      </c>
      <c r="D2466" t="s" s="9">
        <v>56</v>
      </c>
      <c r="E2466" t="s" s="9">
        <v>71</v>
      </c>
      <c r="F2466" s="10">
        <v>466</v>
      </c>
      <c r="G2466" s="10">
        <v>5691183</v>
      </c>
      <c r="H2466" s="11" cm="1">
        <f t="array" ref="H2466">F2466/G2466*100000</f>
        <v>8.18810430098628</v>
      </c>
    </row>
    <row r="2467" ht="13" customHeight="1">
      <c r="A2467" s="8">
        <v>5</v>
      </c>
      <c r="B2467" t="s" s="9">
        <v>37</v>
      </c>
      <c r="C2467" t="s" s="9">
        <v>60</v>
      </c>
      <c r="D2467" t="s" s="9">
        <v>56</v>
      </c>
      <c r="E2467" t="s" s="9">
        <v>71</v>
      </c>
      <c r="F2467" s="10">
        <v>371</v>
      </c>
      <c r="G2467" s="10">
        <v>5691183</v>
      </c>
      <c r="H2467" s="11" cm="1">
        <f t="array" ref="H2467">F2467/G2467*100000</f>
        <v>6.51885557009852</v>
      </c>
    </row>
    <row r="2468" ht="13" customHeight="1">
      <c r="A2468" s="8">
        <v>6</v>
      </c>
      <c r="B2468" t="s" s="9">
        <v>39</v>
      </c>
      <c r="C2468" t="s" s="9">
        <v>60</v>
      </c>
      <c r="D2468" t="s" s="9">
        <v>56</v>
      </c>
      <c r="E2468" t="s" s="9">
        <v>71</v>
      </c>
      <c r="F2468" s="10">
        <v>439</v>
      </c>
      <c r="G2468" s="10">
        <v>5691183</v>
      </c>
      <c r="H2468" s="11" cm="1">
        <f t="array" ref="H2468">F2468/G2468*100000</f>
        <v>7.71368624062871</v>
      </c>
    </row>
    <row r="2469" ht="13" customHeight="1">
      <c r="A2469" s="8">
        <v>7</v>
      </c>
      <c r="B2469" t="s" s="9">
        <v>30</v>
      </c>
      <c r="C2469" t="s" s="9">
        <v>60</v>
      </c>
      <c r="D2469" t="s" s="9">
        <v>56</v>
      </c>
      <c r="E2469" t="s" s="9">
        <v>71</v>
      </c>
      <c r="F2469" s="10">
        <v>265</v>
      </c>
      <c r="G2469" s="10">
        <v>5691183</v>
      </c>
      <c r="H2469" s="11" cm="1">
        <f t="array" ref="H2469">F2469/G2469*100000</f>
        <v>4.65632540721323</v>
      </c>
    </row>
    <row r="2470" ht="13" customHeight="1">
      <c r="A2470" s="8">
        <v>8</v>
      </c>
      <c r="B2470" t="s" s="9">
        <v>41</v>
      </c>
      <c r="C2470" t="s" s="9">
        <v>60</v>
      </c>
      <c r="D2470" t="s" s="9">
        <v>56</v>
      </c>
      <c r="E2470" t="s" s="9">
        <v>71</v>
      </c>
      <c r="F2470" s="10">
        <v>263</v>
      </c>
      <c r="G2470" s="10">
        <v>5691183</v>
      </c>
      <c r="H2470" s="11" cm="1">
        <f t="array" ref="H2470">F2470/G2470*100000</f>
        <v>4.62118332866822</v>
      </c>
    </row>
    <row r="2471" ht="13" customHeight="1">
      <c r="A2471" s="8">
        <v>9</v>
      </c>
      <c r="B2471" t="s" s="9">
        <v>30</v>
      </c>
      <c r="C2471" t="s" s="9">
        <v>60</v>
      </c>
      <c r="D2471" t="s" s="9">
        <v>56</v>
      </c>
      <c r="E2471" t="s" s="9">
        <v>71</v>
      </c>
      <c r="F2471" s="10">
        <v>221</v>
      </c>
      <c r="G2471" s="10">
        <v>5691183</v>
      </c>
      <c r="H2471" s="11" cm="1">
        <f t="array" ref="H2471">F2471/G2471*100000</f>
        <v>3.88319967922311</v>
      </c>
    </row>
    <row r="2472" ht="13" customHeight="1">
      <c r="A2472" s="8">
        <v>10</v>
      </c>
      <c r="B2472" t="s" s="9">
        <v>35</v>
      </c>
      <c r="C2472" t="s" s="9">
        <v>60</v>
      </c>
      <c r="D2472" t="s" s="9">
        <v>56</v>
      </c>
      <c r="E2472" t="s" s="9">
        <v>71</v>
      </c>
      <c r="F2472" s="10">
        <v>131</v>
      </c>
      <c r="G2472" s="10">
        <v>5691183</v>
      </c>
      <c r="H2472" s="11" cm="1">
        <f t="array" ref="H2472">F2472/G2472*100000</f>
        <v>2.30180614469786</v>
      </c>
    </row>
    <row r="2473" ht="13" customHeight="1">
      <c r="A2473" s="8">
        <v>1</v>
      </c>
      <c r="B2473" t="s" s="9">
        <v>35</v>
      </c>
      <c r="C2473" t="s" s="9">
        <v>60</v>
      </c>
      <c r="D2473" t="s" s="9">
        <v>57</v>
      </c>
      <c r="E2473" t="s" s="9">
        <v>71</v>
      </c>
      <c r="F2473" s="10">
        <v>426</v>
      </c>
      <c r="G2473" s="10">
        <v>5214931</v>
      </c>
      <c r="H2473" s="11" cm="1">
        <f t="array" ref="H2473">F2473/G2473*100000</f>
        <v>8.168852090276941</v>
      </c>
    </row>
    <row r="2474" ht="13" customHeight="1">
      <c r="A2474" s="8">
        <v>2</v>
      </c>
      <c r="B2474" t="s" s="9">
        <v>34</v>
      </c>
      <c r="C2474" t="s" s="9">
        <v>60</v>
      </c>
      <c r="D2474" t="s" s="9">
        <v>57</v>
      </c>
      <c r="E2474" t="s" s="9">
        <v>71</v>
      </c>
      <c r="F2474" s="10">
        <v>276</v>
      </c>
      <c r="G2474" s="10">
        <v>5214931</v>
      </c>
      <c r="H2474" s="11" cm="1">
        <f t="array" ref="H2474">F2474/G2474*100000</f>
        <v>5.29249572046111</v>
      </c>
    </row>
    <row r="2475" ht="13" customHeight="1">
      <c r="A2475" s="8">
        <v>3</v>
      </c>
      <c r="B2475" t="s" s="9">
        <v>30</v>
      </c>
      <c r="C2475" t="s" s="9">
        <v>60</v>
      </c>
      <c r="D2475" t="s" s="9">
        <v>57</v>
      </c>
      <c r="E2475" t="s" s="9">
        <v>71</v>
      </c>
      <c r="F2475" s="10">
        <v>56</v>
      </c>
      <c r="G2475" s="10">
        <v>5214931</v>
      </c>
      <c r="H2475" s="11" cm="1">
        <f t="array" ref="H2475">F2475/G2475*100000</f>
        <v>1.07383971139791</v>
      </c>
    </row>
    <row r="2476" ht="13" customHeight="1">
      <c r="A2476" s="8">
        <v>4</v>
      </c>
      <c r="B2476" t="s" s="9">
        <v>30</v>
      </c>
      <c r="C2476" t="s" s="9">
        <v>60</v>
      </c>
      <c r="D2476" t="s" s="9">
        <v>57</v>
      </c>
      <c r="E2476" t="s" s="9">
        <v>71</v>
      </c>
      <c r="F2476" s="10">
        <v>68</v>
      </c>
      <c r="G2476" s="10">
        <v>5214931</v>
      </c>
      <c r="H2476" s="11" cm="1">
        <f t="array" ref="H2476">F2476/G2476*100000</f>
        <v>1.30394822098317</v>
      </c>
    </row>
    <row r="2477" ht="13" customHeight="1">
      <c r="A2477" s="8">
        <v>5</v>
      </c>
      <c r="B2477" t="s" s="9">
        <v>41</v>
      </c>
      <c r="C2477" t="s" s="9">
        <v>60</v>
      </c>
      <c r="D2477" t="s" s="9">
        <v>57</v>
      </c>
      <c r="E2477" t="s" s="9">
        <v>71</v>
      </c>
      <c r="F2477" s="10">
        <v>44</v>
      </c>
      <c r="G2477" s="10">
        <v>5214931</v>
      </c>
      <c r="H2477" s="11" cm="1">
        <f t="array" ref="H2477">F2477/G2477*100000</f>
        <v>0.8437312018126411</v>
      </c>
    </row>
    <row r="2478" ht="13" customHeight="1">
      <c r="A2478" s="8">
        <v>6</v>
      </c>
      <c r="B2478" t="s" s="9">
        <v>45</v>
      </c>
      <c r="C2478" t="s" s="9">
        <v>60</v>
      </c>
      <c r="D2478" t="s" s="9">
        <v>57</v>
      </c>
      <c r="E2478" t="s" s="9">
        <v>71</v>
      </c>
      <c r="F2478" s="10">
        <v>20</v>
      </c>
      <c r="G2478" s="10">
        <v>5214931</v>
      </c>
      <c r="H2478" s="11" cm="1">
        <f t="array" ref="H2478">F2478/G2478*100000</f>
        <v>0.38351418264211</v>
      </c>
    </row>
    <row r="2479" ht="13" customHeight="1">
      <c r="A2479" s="8">
        <v>7</v>
      </c>
      <c r="B2479" t="s" s="9">
        <v>45</v>
      </c>
      <c r="C2479" t="s" s="9">
        <v>60</v>
      </c>
      <c r="D2479" t="s" s="9">
        <v>57</v>
      </c>
      <c r="E2479" t="s" s="9">
        <v>71</v>
      </c>
      <c r="F2479" s="10">
        <v>4</v>
      </c>
      <c r="G2479" s="10">
        <v>5214931</v>
      </c>
      <c r="H2479" s="11" cm="1">
        <f t="array" ref="H2479">F2479/G2479*100000</f>
        <v>0.0767028365284219</v>
      </c>
    </row>
    <row r="2480" ht="13" customHeight="1">
      <c r="A2480" s="8">
        <v>8</v>
      </c>
      <c r="B2480" t="s" s="9">
        <v>48</v>
      </c>
      <c r="C2480" t="s" s="9">
        <v>60</v>
      </c>
      <c r="D2480" t="s" s="9">
        <v>57</v>
      </c>
      <c r="E2480" t="s" s="9">
        <v>71</v>
      </c>
      <c r="F2480" s="10">
        <v>0</v>
      </c>
      <c r="G2480" s="10">
        <v>5214931</v>
      </c>
      <c r="H2480" s="11" cm="1">
        <f t="array" ref="H2480">F2480/G2480*100000</f>
        <v>0</v>
      </c>
    </row>
    <row r="2481" ht="13" customHeight="1">
      <c r="A2481" s="8">
        <v>9</v>
      </c>
      <c r="B2481" t="s" s="9">
        <v>48</v>
      </c>
      <c r="C2481" t="s" s="9">
        <v>60</v>
      </c>
      <c r="D2481" t="s" s="9">
        <v>57</v>
      </c>
      <c r="E2481" t="s" s="9">
        <v>71</v>
      </c>
      <c r="F2481" s="10">
        <v>0</v>
      </c>
      <c r="G2481" s="10">
        <v>5214931</v>
      </c>
      <c r="H2481" s="11" cm="1">
        <f t="array" ref="H2481">F2481/G2481*100000</f>
        <v>0</v>
      </c>
    </row>
    <row r="2482" ht="13" customHeight="1">
      <c r="A2482" s="8">
        <v>10</v>
      </c>
      <c r="B2482" t="s" s="9">
        <v>48</v>
      </c>
      <c r="C2482" t="s" s="9">
        <v>60</v>
      </c>
      <c r="D2482" t="s" s="9">
        <v>57</v>
      </c>
      <c r="E2482" t="s" s="9">
        <v>71</v>
      </c>
      <c r="F2482" s="10">
        <v>0</v>
      </c>
      <c r="G2482" s="10">
        <v>5214931</v>
      </c>
      <c r="H2482" s="11" cm="1">
        <f t="array" ref="H2482">F2482/G2482*100000</f>
        <v>0</v>
      </c>
    </row>
    <row r="2483" ht="13" customHeight="1">
      <c r="A2483" s="8">
        <v>1</v>
      </c>
      <c r="B2483" t="s" s="9">
        <v>30</v>
      </c>
      <c r="C2483" t="s" s="9">
        <v>60</v>
      </c>
      <c r="D2483" t="s" s="9">
        <v>20</v>
      </c>
      <c r="E2483" t="s" s="9">
        <v>71</v>
      </c>
      <c r="F2483" s="10">
        <v>4217</v>
      </c>
      <c r="G2483" s="10">
        <v>2889689</v>
      </c>
      <c r="H2483" s="11" cm="1">
        <f t="array" ref="H2483">F2483/G2483*100000</f>
        <v>145.932659189276</v>
      </c>
    </row>
    <row r="2484" ht="13" customHeight="1">
      <c r="A2484" s="8">
        <v>2</v>
      </c>
      <c r="B2484" t="s" s="9">
        <v>35</v>
      </c>
      <c r="C2484" t="s" s="9">
        <v>60</v>
      </c>
      <c r="D2484" t="s" s="9">
        <v>20</v>
      </c>
      <c r="E2484" t="s" s="9">
        <v>71</v>
      </c>
      <c r="F2484" s="10">
        <v>2738</v>
      </c>
      <c r="G2484" s="10">
        <v>2889689</v>
      </c>
      <c r="H2484" s="11" cm="1">
        <f t="array" ref="H2484">F2484/G2484*100000</f>
        <v>94.7506807826032</v>
      </c>
    </row>
    <row r="2485" ht="13" customHeight="1">
      <c r="A2485" s="8">
        <v>3</v>
      </c>
      <c r="B2485" t="s" s="9">
        <v>34</v>
      </c>
      <c r="C2485" t="s" s="9">
        <v>60</v>
      </c>
      <c r="D2485" t="s" s="9">
        <v>20</v>
      </c>
      <c r="E2485" t="s" s="9">
        <v>71</v>
      </c>
      <c r="F2485" s="10">
        <v>1134</v>
      </c>
      <c r="G2485" s="10">
        <v>2889689</v>
      </c>
      <c r="H2485" s="11" cm="1">
        <f t="array" ref="H2485">F2485/G2485*100000</f>
        <v>39.2429773584631</v>
      </c>
    </row>
    <row r="2486" ht="13" customHeight="1">
      <c r="A2486" s="8">
        <v>4</v>
      </c>
      <c r="B2486" t="s" s="9">
        <v>39</v>
      </c>
      <c r="C2486" t="s" s="9">
        <v>60</v>
      </c>
      <c r="D2486" t="s" s="9">
        <v>20</v>
      </c>
      <c r="E2486" t="s" s="9">
        <v>71</v>
      </c>
      <c r="F2486" s="10">
        <v>1266</v>
      </c>
      <c r="G2486" s="10">
        <v>2889689</v>
      </c>
      <c r="H2486" s="11" cm="1">
        <f t="array" ref="H2486">F2486/G2486*100000</f>
        <v>43.8109429769086</v>
      </c>
    </row>
    <row r="2487" ht="13" customHeight="1">
      <c r="A2487" s="8">
        <v>5</v>
      </c>
      <c r="B2487" t="s" s="9">
        <v>30</v>
      </c>
      <c r="C2487" t="s" s="9">
        <v>60</v>
      </c>
      <c r="D2487" t="s" s="9">
        <v>20</v>
      </c>
      <c r="E2487" t="s" s="9">
        <v>71</v>
      </c>
      <c r="F2487" s="10">
        <v>805</v>
      </c>
      <c r="G2487" s="10">
        <v>2889689</v>
      </c>
      <c r="H2487" s="11" cm="1">
        <f t="array" ref="H2487">F2487/G2487*100000</f>
        <v>27.8576691124893</v>
      </c>
    </row>
    <row r="2488" ht="13" customHeight="1">
      <c r="A2488" s="8">
        <v>6</v>
      </c>
      <c r="B2488" t="s" s="9">
        <v>36</v>
      </c>
      <c r="C2488" t="s" s="9">
        <v>60</v>
      </c>
      <c r="D2488" t="s" s="9">
        <v>20</v>
      </c>
      <c r="E2488" t="s" s="9">
        <v>71</v>
      </c>
      <c r="F2488" s="10">
        <v>536</v>
      </c>
      <c r="G2488" s="10">
        <v>2889689</v>
      </c>
      <c r="H2488" s="11" cm="1">
        <f t="array" ref="H2488">F2488/G2488*100000</f>
        <v>18.5487088748997</v>
      </c>
    </row>
    <row r="2489" ht="13" customHeight="1">
      <c r="A2489" s="8">
        <v>7</v>
      </c>
      <c r="B2489" t="s" s="9">
        <v>37</v>
      </c>
      <c r="C2489" t="s" s="9">
        <v>60</v>
      </c>
      <c r="D2489" t="s" s="9">
        <v>20</v>
      </c>
      <c r="E2489" t="s" s="9">
        <v>71</v>
      </c>
      <c r="F2489" s="10">
        <v>497</v>
      </c>
      <c r="G2489" s="10">
        <v>2889689</v>
      </c>
      <c r="H2489" s="11" cm="1">
        <f t="array" ref="H2489">F2489/G2489*100000</f>
        <v>17.1990826694499</v>
      </c>
    </row>
    <row r="2490" ht="13" customHeight="1">
      <c r="A2490" s="8">
        <v>8</v>
      </c>
      <c r="B2490" t="s" s="9">
        <v>37</v>
      </c>
      <c r="C2490" t="s" s="9">
        <v>60</v>
      </c>
      <c r="D2490" t="s" s="9">
        <v>20</v>
      </c>
      <c r="E2490" t="s" s="9">
        <v>71</v>
      </c>
      <c r="F2490" s="10">
        <v>421</v>
      </c>
      <c r="G2490" s="10">
        <v>2889689</v>
      </c>
      <c r="H2490" s="11" cm="1">
        <f t="array" ref="H2490">F2490/G2490*100000</f>
        <v>14.5690418588298</v>
      </c>
    </row>
    <row r="2491" ht="13" customHeight="1">
      <c r="A2491" s="8">
        <v>9</v>
      </c>
      <c r="B2491" t="s" s="9">
        <v>30</v>
      </c>
      <c r="C2491" t="s" s="9">
        <v>60</v>
      </c>
      <c r="D2491" t="s" s="9">
        <v>20</v>
      </c>
      <c r="E2491" t="s" s="9">
        <v>71</v>
      </c>
      <c r="F2491" s="10">
        <v>294</v>
      </c>
      <c r="G2491" s="10">
        <v>2889689</v>
      </c>
      <c r="H2491" s="11" cm="1">
        <f t="array" ref="H2491">F2491/G2491*100000</f>
        <v>10.174105241083</v>
      </c>
    </row>
    <row r="2492" ht="13" customHeight="1">
      <c r="A2492" s="8">
        <v>10</v>
      </c>
      <c r="B2492" t="s" s="9">
        <v>45</v>
      </c>
      <c r="C2492" t="s" s="9">
        <v>60</v>
      </c>
      <c r="D2492" t="s" s="9">
        <v>20</v>
      </c>
      <c r="E2492" t="s" s="9">
        <v>71</v>
      </c>
      <c r="F2492" s="10">
        <v>238</v>
      </c>
      <c r="G2492" s="10">
        <v>2889689</v>
      </c>
      <c r="H2492" s="11" cm="1">
        <f t="array" ref="H2492">F2492/G2492*100000</f>
        <v>8.236180433257701</v>
      </c>
    </row>
    <row r="2493" ht="13" customHeight="1">
      <c r="A2493" s="8">
        <v>1</v>
      </c>
      <c r="B2493" t="s" s="9">
        <v>30</v>
      </c>
      <c r="C2493" t="s" s="9">
        <v>60</v>
      </c>
      <c r="D2493" t="s" s="9">
        <v>21</v>
      </c>
      <c r="E2493" t="s" s="9">
        <v>71</v>
      </c>
      <c r="F2493" s="10">
        <v>2022</v>
      </c>
      <c r="G2493" s="10">
        <v>4635519</v>
      </c>
      <c r="H2493" s="11" cm="1">
        <f t="array" ref="H2493">F2493/G2493*100000</f>
        <v>43.6197111909152</v>
      </c>
    </row>
    <row r="2494" ht="13" customHeight="1">
      <c r="A2494" s="8">
        <v>2</v>
      </c>
      <c r="B2494" t="s" s="9">
        <v>30</v>
      </c>
      <c r="C2494" t="s" s="9">
        <v>60</v>
      </c>
      <c r="D2494" t="s" s="9">
        <v>21</v>
      </c>
      <c r="E2494" t="s" s="9">
        <v>71</v>
      </c>
      <c r="F2494" s="10">
        <v>1847</v>
      </c>
      <c r="G2494" s="10">
        <v>4635519</v>
      </c>
      <c r="H2494" s="11" cm="1">
        <f t="array" ref="H2494">F2494/G2494*100000</f>
        <v>39.8445136348271</v>
      </c>
    </row>
    <row r="2495" ht="13" customHeight="1">
      <c r="A2495" s="8">
        <v>3</v>
      </c>
      <c r="B2495" t="s" s="9">
        <v>34</v>
      </c>
      <c r="C2495" t="s" s="9">
        <v>60</v>
      </c>
      <c r="D2495" t="s" s="9">
        <v>21</v>
      </c>
      <c r="E2495" t="s" s="9">
        <v>71</v>
      </c>
      <c r="F2495" s="10">
        <v>1776</v>
      </c>
      <c r="G2495" s="10">
        <v>4635519</v>
      </c>
      <c r="H2495" s="11" cm="1">
        <f t="array" ref="H2495">F2495/G2495*100000</f>
        <v>38.3128620549285</v>
      </c>
    </row>
    <row r="2496" ht="13" customHeight="1">
      <c r="A2496" s="8">
        <v>4</v>
      </c>
      <c r="B2496" t="s" s="9">
        <v>34</v>
      </c>
      <c r="C2496" t="s" s="9">
        <v>60</v>
      </c>
      <c r="D2496" t="s" s="9">
        <v>21</v>
      </c>
      <c r="E2496" t="s" s="9">
        <v>71</v>
      </c>
      <c r="F2496" s="10">
        <v>1265</v>
      </c>
      <c r="G2496" s="10">
        <v>4635519</v>
      </c>
      <c r="H2496" s="11" cm="1">
        <f t="array" ref="H2496">F2496/G2496*100000</f>
        <v>27.2892851911512</v>
      </c>
    </row>
    <row r="2497" ht="13" customHeight="1">
      <c r="A2497" s="8">
        <v>5</v>
      </c>
      <c r="B2497" t="s" s="9">
        <v>34</v>
      </c>
      <c r="C2497" t="s" s="9">
        <v>60</v>
      </c>
      <c r="D2497" t="s" s="9">
        <v>21</v>
      </c>
      <c r="E2497" t="s" s="9">
        <v>71</v>
      </c>
      <c r="F2497" s="10">
        <v>802</v>
      </c>
      <c r="G2497" s="10">
        <v>4635519</v>
      </c>
      <c r="H2497" s="11" cm="1">
        <f t="array" ref="H2497">F2497/G2497*100000</f>
        <v>17.3011910856152</v>
      </c>
    </row>
    <row r="2498" ht="13" customHeight="1">
      <c r="A2498" s="8">
        <v>6</v>
      </c>
      <c r="B2498" t="s" s="9">
        <v>37</v>
      </c>
      <c r="C2498" t="s" s="9">
        <v>60</v>
      </c>
      <c r="D2498" t="s" s="9">
        <v>21</v>
      </c>
      <c r="E2498" t="s" s="9">
        <v>71</v>
      </c>
      <c r="F2498" s="10">
        <v>593</v>
      </c>
      <c r="G2498" s="10">
        <v>4635519</v>
      </c>
      <c r="H2498" s="11" cm="1">
        <f t="array" ref="H2498">F2498/G2498*100000</f>
        <v>12.7925265757729</v>
      </c>
    </row>
    <row r="2499" ht="13" customHeight="1">
      <c r="A2499" s="8">
        <v>7</v>
      </c>
      <c r="B2499" t="s" s="9">
        <v>37</v>
      </c>
      <c r="C2499" t="s" s="9">
        <v>60</v>
      </c>
      <c r="D2499" t="s" s="9">
        <v>21</v>
      </c>
      <c r="E2499" t="s" s="9">
        <v>71</v>
      </c>
      <c r="F2499" s="10">
        <v>583</v>
      </c>
      <c r="G2499" s="10">
        <v>4635519</v>
      </c>
      <c r="H2499" s="11" cm="1">
        <f t="array" ref="H2499">F2499/G2499*100000</f>
        <v>12.5768010011392</v>
      </c>
    </row>
    <row r="2500" ht="13" customHeight="1">
      <c r="A2500" s="8">
        <v>8</v>
      </c>
      <c r="B2500" t="s" s="9">
        <v>30</v>
      </c>
      <c r="C2500" t="s" s="9">
        <v>60</v>
      </c>
      <c r="D2500" t="s" s="9">
        <v>21</v>
      </c>
      <c r="E2500" t="s" s="9">
        <v>71</v>
      </c>
      <c r="F2500" s="10">
        <v>442</v>
      </c>
      <c r="G2500" s="10">
        <v>4635519</v>
      </c>
      <c r="H2500" s="11" cm="1">
        <f t="array" ref="H2500">F2500/G2500*100000</f>
        <v>9.5350703988054</v>
      </c>
    </row>
    <row r="2501" ht="13" customHeight="1">
      <c r="A2501" s="8">
        <v>9</v>
      </c>
      <c r="B2501" t="s" s="9">
        <v>30</v>
      </c>
      <c r="C2501" t="s" s="9">
        <v>60</v>
      </c>
      <c r="D2501" t="s" s="9">
        <v>21</v>
      </c>
      <c r="E2501" t="s" s="9">
        <v>71</v>
      </c>
      <c r="F2501" s="10">
        <v>289</v>
      </c>
      <c r="G2501" s="10">
        <v>4635519</v>
      </c>
      <c r="H2501" s="11" cm="1">
        <f t="array" ref="H2501">F2501/G2501*100000</f>
        <v>6.23446910691122</v>
      </c>
    </row>
    <row r="2502" ht="13" customHeight="1">
      <c r="A2502" s="8">
        <v>10</v>
      </c>
      <c r="B2502" t="s" s="9">
        <v>41</v>
      </c>
      <c r="C2502" t="s" s="9">
        <v>60</v>
      </c>
      <c r="D2502" t="s" s="9">
        <v>21</v>
      </c>
      <c r="E2502" t="s" s="9">
        <v>71</v>
      </c>
      <c r="F2502" s="10">
        <v>341</v>
      </c>
      <c r="G2502" s="10">
        <v>4635519</v>
      </c>
      <c r="H2502" s="11" cm="1">
        <f t="array" ref="H2502">F2502/G2502*100000</f>
        <v>7.35624209500597</v>
      </c>
    </row>
    <row r="2503" ht="13.65" customHeight="1">
      <c r="A2503" s="8">
        <v>1</v>
      </c>
      <c r="B2503" t="s" s="9">
        <v>35</v>
      </c>
      <c r="C2503" t="s" s="9">
        <v>60</v>
      </c>
      <c r="D2503" t="s" s="9">
        <v>58</v>
      </c>
      <c r="E2503" t="s" s="9">
        <v>71</v>
      </c>
      <c r="F2503" s="10">
        <v>157</v>
      </c>
      <c r="G2503" s="12"/>
      <c r="H2503" s="13"/>
    </row>
    <row r="2504" ht="13.65" customHeight="1">
      <c r="A2504" s="8">
        <v>2</v>
      </c>
      <c r="B2504" t="s" s="9">
        <v>34</v>
      </c>
      <c r="C2504" t="s" s="9">
        <v>60</v>
      </c>
      <c r="D2504" t="s" s="9">
        <v>58</v>
      </c>
      <c r="E2504" t="s" s="9">
        <v>71</v>
      </c>
      <c r="F2504" s="10">
        <v>154</v>
      </c>
      <c r="G2504" s="14"/>
      <c r="H2504" s="15"/>
    </row>
    <row r="2505" ht="13.65" customHeight="1">
      <c r="A2505" s="8">
        <v>3</v>
      </c>
      <c r="B2505" t="s" s="9">
        <v>30</v>
      </c>
      <c r="C2505" t="s" s="9">
        <v>60</v>
      </c>
      <c r="D2505" t="s" s="9">
        <v>58</v>
      </c>
      <c r="E2505" t="s" s="9">
        <v>71</v>
      </c>
      <c r="F2505" s="10">
        <v>100</v>
      </c>
      <c r="G2505" s="14"/>
      <c r="H2505" s="15"/>
    </row>
    <row r="2506" ht="13.65" customHeight="1">
      <c r="A2506" s="8">
        <v>4</v>
      </c>
      <c r="B2506" t="s" s="9">
        <v>41</v>
      </c>
      <c r="C2506" t="s" s="9">
        <v>60</v>
      </c>
      <c r="D2506" t="s" s="9">
        <v>58</v>
      </c>
      <c r="E2506" t="s" s="9">
        <v>71</v>
      </c>
      <c r="F2506" s="10">
        <v>75</v>
      </c>
      <c r="G2506" s="14"/>
      <c r="H2506" s="15"/>
    </row>
    <row r="2507" ht="13.65" customHeight="1">
      <c r="A2507" s="8">
        <v>5</v>
      </c>
      <c r="B2507" t="s" s="9">
        <v>35</v>
      </c>
      <c r="C2507" t="s" s="9">
        <v>60</v>
      </c>
      <c r="D2507" t="s" s="9">
        <v>58</v>
      </c>
      <c r="E2507" t="s" s="9">
        <v>71</v>
      </c>
      <c r="F2507" s="10">
        <v>31</v>
      </c>
      <c r="G2507" s="14"/>
      <c r="H2507" s="15"/>
    </row>
    <row r="2508" ht="13.65" customHeight="1">
      <c r="A2508" s="8">
        <v>6</v>
      </c>
      <c r="B2508" t="s" s="9">
        <v>30</v>
      </c>
      <c r="C2508" t="s" s="9">
        <v>60</v>
      </c>
      <c r="D2508" t="s" s="9">
        <v>58</v>
      </c>
      <c r="E2508" t="s" s="9">
        <v>71</v>
      </c>
      <c r="F2508" s="10">
        <v>25</v>
      </c>
      <c r="G2508" s="14"/>
      <c r="H2508" s="15"/>
    </row>
    <row r="2509" ht="13.65" customHeight="1">
      <c r="A2509" s="8">
        <v>7</v>
      </c>
      <c r="B2509" t="s" s="9">
        <v>30</v>
      </c>
      <c r="C2509" t="s" s="9">
        <v>60</v>
      </c>
      <c r="D2509" t="s" s="9">
        <v>58</v>
      </c>
      <c r="E2509" t="s" s="9">
        <v>71</v>
      </c>
      <c r="F2509" s="10">
        <v>28</v>
      </c>
      <c r="G2509" s="14"/>
      <c r="H2509" s="15"/>
    </row>
    <row r="2510" ht="13.65" customHeight="1">
      <c r="A2510" s="8">
        <v>8</v>
      </c>
      <c r="B2510" t="s" s="9">
        <v>30</v>
      </c>
      <c r="C2510" t="s" s="9">
        <v>60</v>
      </c>
      <c r="D2510" t="s" s="9">
        <v>58</v>
      </c>
      <c r="E2510" t="s" s="9">
        <v>71</v>
      </c>
      <c r="F2510" s="10">
        <v>11</v>
      </c>
      <c r="G2510" s="14"/>
      <c r="H2510" s="15"/>
    </row>
    <row r="2511" ht="13.65" customHeight="1">
      <c r="A2511" s="8">
        <v>9</v>
      </c>
      <c r="B2511" t="s" s="9">
        <v>45</v>
      </c>
      <c r="C2511" t="s" s="9">
        <v>60</v>
      </c>
      <c r="D2511" t="s" s="9">
        <v>58</v>
      </c>
      <c r="E2511" t="s" s="9">
        <v>71</v>
      </c>
      <c r="F2511" s="10">
        <v>12</v>
      </c>
      <c r="G2511" s="14"/>
      <c r="H2511" s="15"/>
    </row>
    <row r="2512" ht="13.65" customHeight="1">
      <c r="A2512" s="8">
        <v>10</v>
      </c>
      <c r="B2512" t="s" s="9">
        <v>30</v>
      </c>
      <c r="C2512" t="s" s="9">
        <v>60</v>
      </c>
      <c r="D2512" t="s" s="9">
        <v>58</v>
      </c>
      <c r="E2512" t="s" s="9">
        <v>71</v>
      </c>
      <c r="F2512" s="10">
        <v>11</v>
      </c>
      <c r="G2512" s="16"/>
      <c r="H2512" s="17"/>
    </row>
    <row r="2513" ht="13" customHeight="1">
      <c r="A2513" s="8">
        <v>1</v>
      </c>
      <c r="B2513" t="s" s="9">
        <v>30</v>
      </c>
      <c r="C2513" t="s" s="9">
        <v>61</v>
      </c>
      <c r="D2513" t="s" s="9">
        <v>32</v>
      </c>
      <c r="E2513" t="s" s="9">
        <v>71</v>
      </c>
      <c r="F2513" s="10">
        <v>7415</v>
      </c>
      <c r="G2513" s="10">
        <v>14521657</v>
      </c>
      <c r="H2513" s="11" cm="1">
        <f t="array" ref="H2513">F2513/G2513*100000</f>
        <v>51.0616660343926</v>
      </c>
    </row>
    <row r="2514" ht="13" customHeight="1">
      <c r="A2514" s="8">
        <v>2</v>
      </c>
      <c r="B2514" t="s" s="9">
        <v>34</v>
      </c>
      <c r="C2514" t="s" s="9">
        <v>61</v>
      </c>
      <c r="D2514" t="s" s="9">
        <v>32</v>
      </c>
      <c r="E2514" t="s" s="9">
        <v>71</v>
      </c>
      <c r="F2514" s="10">
        <v>7689</v>
      </c>
      <c r="G2514" s="10">
        <v>14521657</v>
      </c>
      <c r="H2514" s="11" cm="1">
        <f t="array" ref="H2514">F2514/G2514*100000</f>
        <v>52.9485030530607</v>
      </c>
    </row>
    <row r="2515" ht="13" customHeight="1">
      <c r="A2515" s="8">
        <v>3</v>
      </c>
      <c r="B2515" t="s" s="9">
        <v>35</v>
      </c>
      <c r="C2515" t="s" s="9">
        <v>61</v>
      </c>
      <c r="D2515" t="s" s="9">
        <v>32</v>
      </c>
      <c r="E2515" t="s" s="9">
        <v>71</v>
      </c>
      <c r="F2515" s="10">
        <v>6384</v>
      </c>
      <c r="G2515" s="10">
        <v>14521657</v>
      </c>
      <c r="H2515" s="11" cm="1">
        <f t="array" ref="H2515">F2515/G2515*100000</f>
        <v>43.9619252816672</v>
      </c>
    </row>
    <row r="2516" ht="13" customHeight="1">
      <c r="A2516" s="8">
        <v>4</v>
      </c>
      <c r="B2516" t="s" s="9">
        <v>37</v>
      </c>
      <c r="C2516" t="s" s="9">
        <v>61</v>
      </c>
      <c r="D2516" t="s" s="9">
        <v>32</v>
      </c>
      <c r="E2516" t="s" s="9">
        <v>71</v>
      </c>
      <c r="F2516" s="10">
        <v>1901</v>
      </c>
      <c r="G2516" s="10">
        <v>14521657</v>
      </c>
      <c r="H2516" s="11" cm="1">
        <f t="array" ref="H2516">F2516/G2516*100000</f>
        <v>13.090792600321</v>
      </c>
    </row>
    <row r="2517" ht="13" customHeight="1">
      <c r="A2517" s="8">
        <v>5</v>
      </c>
      <c r="B2517" t="s" s="9">
        <v>30</v>
      </c>
      <c r="C2517" t="s" s="9">
        <v>61</v>
      </c>
      <c r="D2517" t="s" s="9">
        <v>32</v>
      </c>
      <c r="E2517" t="s" s="9">
        <v>71</v>
      </c>
      <c r="F2517" s="10">
        <v>1349</v>
      </c>
      <c r="G2517" s="10">
        <v>14521657</v>
      </c>
      <c r="H2517" s="11" cm="1">
        <f t="array" ref="H2517">F2517/G2517*100000</f>
        <v>9.289573497018971</v>
      </c>
    </row>
    <row r="2518" ht="13" customHeight="1">
      <c r="A2518" s="8">
        <v>6</v>
      </c>
      <c r="B2518" t="s" s="9">
        <v>30</v>
      </c>
      <c r="C2518" t="s" s="9">
        <v>61</v>
      </c>
      <c r="D2518" t="s" s="9">
        <v>32</v>
      </c>
      <c r="E2518" t="s" s="9">
        <v>71</v>
      </c>
      <c r="F2518" s="10">
        <v>1244</v>
      </c>
      <c r="G2518" s="10">
        <v>14521657</v>
      </c>
      <c r="H2518" s="11" cm="1">
        <f t="array" ref="H2518">F2518/G2518*100000</f>
        <v>8.5665155154126</v>
      </c>
    </row>
    <row r="2519" ht="13" customHeight="1">
      <c r="A2519" s="8">
        <v>7</v>
      </c>
      <c r="B2519" t="s" s="9">
        <v>30</v>
      </c>
      <c r="C2519" t="s" s="9">
        <v>61</v>
      </c>
      <c r="D2519" t="s" s="9">
        <v>32</v>
      </c>
      <c r="E2519" t="s" s="9">
        <v>71</v>
      </c>
      <c r="F2519" s="10">
        <v>1168</v>
      </c>
      <c r="G2519" s="10">
        <v>14521657</v>
      </c>
      <c r="H2519" s="11" cm="1">
        <f t="array" ref="H2519">F2519/G2519*100000</f>
        <v>8.043159262059421</v>
      </c>
    </row>
    <row r="2520" ht="13" customHeight="1">
      <c r="A2520" s="8">
        <v>8</v>
      </c>
      <c r="B2520" t="s" s="9">
        <v>30</v>
      </c>
      <c r="C2520" t="s" s="9">
        <v>61</v>
      </c>
      <c r="D2520" t="s" s="9">
        <v>32</v>
      </c>
      <c r="E2520" t="s" s="9">
        <v>71</v>
      </c>
      <c r="F2520" s="10">
        <v>688</v>
      </c>
      <c r="G2520" s="10">
        <v>14521657</v>
      </c>
      <c r="H2520" s="11" cm="1">
        <f t="array" ref="H2520">F2520/G2520*100000</f>
        <v>4.73775134614459</v>
      </c>
    </row>
    <row r="2521" ht="13" customHeight="1">
      <c r="A2521" s="8">
        <v>9</v>
      </c>
      <c r="B2521" t="s" s="9">
        <v>39</v>
      </c>
      <c r="C2521" t="s" s="9">
        <v>61</v>
      </c>
      <c r="D2521" t="s" s="9">
        <v>32</v>
      </c>
      <c r="E2521" t="s" s="9">
        <v>71</v>
      </c>
      <c r="F2521" s="10">
        <v>1024</v>
      </c>
      <c r="G2521" s="10">
        <v>14521657</v>
      </c>
      <c r="H2521" s="11" cm="1">
        <f t="array" ref="H2521">F2521/G2521*100000</f>
        <v>7.05153688728497</v>
      </c>
    </row>
    <row r="2522" ht="13" customHeight="1">
      <c r="A2522" s="8">
        <v>10</v>
      </c>
      <c r="B2522" t="s" s="9">
        <v>41</v>
      </c>
      <c r="C2522" t="s" s="9">
        <v>61</v>
      </c>
      <c r="D2522" t="s" s="9">
        <v>32</v>
      </c>
      <c r="E2522" t="s" s="9">
        <v>71</v>
      </c>
      <c r="F2522" s="10">
        <v>930</v>
      </c>
      <c r="G2522" s="10">
        <v>14521657</v>
      </c>
      <c r="H2522" s="11" cm="1">
        <f t="array" ref="H2522">F2522/G2522*100000</f>
        <v>6.40422783708498</v>
      </c>
    </row>
    <row r="2523" ht="13" customHeight="1">
      <c r="A2523" s="8">
        <v>1</v>
      </c>
      <c r="B2523" t="s" s="9">
        <v>30</v>
      </c>
      <c r="C2523" t="s" s="9">
        <v>61</v>
      </c>
      <c r="D2523" t="s" s="9">
        <v>38</v>
      </c>
      <c r="E2523" t="s" s="9">
        <v>71</v>
      </c>
      <c r="F2523" s="10">
        <v>7533</v>
      </c>
      <c r="G2523" s="10">
        <v>1874281</v>
      </c>
      <c r="H2523" s="11" cm="1">
        <f t="array" ref="H2523">F2523/G2523*100000</f>
        <v>401.914120668139</v>
      </c>
    </row>
    <row r="2524" ht="13" customHeight="1">
      <c r="A2524" s="8">
        <v>2</v>
      </c>
      <c r="B2524" t="s" s="9">
        <v>34</v>
      </c>
      <c r="C2524" t="s" s="9">
        <v>61</v>
      </c>
      <c r="D2524" t="s" s="9">
        <v>38</v>
      </c>
      <c r="E2524" t="s" s="9">
        <v>71</v>
      </c>
      <c r="F2524" s="10">
        <v>3622</v>
      </c>
      <c r="G2524" s="10">
        <v>1874281</v>
      </c>
      <c r="H2524" s="11" cm="1">
        <f t="array" ref="H2524">F2524/G2524*100000</f>
        <v>193.247437283950</v>
      </c>
    </row>
    <row r="2525" ht="13" customHeight="1">
      <c r="A2525" s="8">
        <v>3</v>
      </c>
      <c r="B2525" t="s" s="9">
        <v>30</v>
      </c>
      <c r="C2525" t="s" s="9">
        <v>61</v>
      </c>
      <c r="D2525" t="s" s="9">
        <v>38</v>
      </c>
      <c r="E2525" t="s" s="9">
        <v>71</v>
      </c>
      <c r="F2525" s="10">
        <v>1086</v>
      </c>
      <c r="G2525" s="10">
        <v>1874281</v>
      </c>
      <c r="H2525" s="11" cm="1">
        <f t="array" ref="H2525">F2525/G2525*100000</f>
        <v>57.9422189095445</v>
      </c>
    </row>
    <row r="2526" ht="13" customHeight="1">
      <c r="A2526" s="8">
        <v>4</v>
      </c>
      <c r="B2526" t="s" s="9">
        <v>39</v>
      </c>
      <c r="C2526" t="s" s="9">
        <v>61</v>
      </c>
      <c r="D2526" t="s" s="9">
        <v>38</v>
      </c>
      <c r="E2526" t="s" s="9">
        <v>71</v>
      </c>
      <c r="F2526" s="10">
        <v>1314</v>
      </c>
      <c r="G2526" s="10">
        <v>1874281</v>
      </c>
      <c r="H2526" s="11" cm="1">
        <f t="array" ref="H2526">F2526/G2526*100000</f>
        <v>70.10688365298481</v>
      </c>
    </row>
    <row r="2527" ht="13" customHeight="1">
      <c r="A2527" s="8">
        <v>5</v>
      </c>
      <c r="B2527" t="s" s="9">
        <v>37</v>
      </c>
      <c r="C2527" t="s" s="9">
        <v>61</v>
      </c>
      <c r="D2527" t="s" s="9">
        <v>38</v>
      </c>
      <c r="E2527" t="s" s="9">
        <v>71</v>
      </c>
      <c r="F2527" s="10">
        <v>905</v>
      </c>
      <c r="G2527" s="10">
        <v>1874281</v>
      </c>
      <c r="H2527" s="11" cm="1">
        <f t="array" ref="H2527">F2527/G2527*100000</f>
        <v>48.2851824246204</v>
      </c>
    </row>
    <row r="2528" ht="13" customHeight="1">
      <c r="A2528" s="8">
        <v>6</v>
      </c>
      <c r="B2528" t="s" s="9">
        <v>35</v>
      </c>
      <c r="C2528" t="s" s="9">
        <v>61</v>
      </c>
      <c r="D2528" t="s" s="9">
        <v>38</v>
      </c>
      <c r="E2528" t="s" s="9">
        <v>71</v>
      </c>
      <c r="F2528" s="10">
        <v>543</v>
      </c>
      <c r="G2528" s="10">
        <v>1874281</v>
      </c>
      <c r="H2528" s="11" cm="1">
        <f t="array" ref="H2528">F2528/G2528*100000</f>
        <v>28.9711094547723</v>
      </c>
    </row>
    <row r="2529" ht="13" customHeight="1">
      <c r="A2529" s="8">
        <v>7</v>
      </c>
      <c r="B2529" t="s" s="9">
        <v>37</v>
      </c>
      <c r="C2529" t="s" s="9">
        <v>61</v>
      </c>
      <c r="D2529" t="s" s="9">
        <v>38</v>
      </c>
      <c r="E2529" t="s" s="9">
        <v>71</v>
      </c>
      <c r="F2529" s="10">
        <v>781</v>
      </c>
      <c r="G2529" s="10">
        <v>1874281</v>
      </c>
      <c r="H2529" s="11" cm="1">
        <f t="array" ref="H2529">F2529/G2529*100000</f>
        <v>41.6693121255564</v>
      </c>
    </row>
    <row r="2530" ht="13" customHeight="1">
      <c r="A2530" s="8">
        <v>8</v>
      </c>
      <c r="B2530" t="s" s="9">
        <v>39</v>
      </c>
      <c r="C2530" t="s" s="9">
        <v>61</v>
      </c>
      <c r="D2530" t="s" s="9">
        <v>38</v>
      </c>
      <c r="E2530" t="s" s="9">
        <v>71</v>
      </c>
      <c r="F2530" s="10">
        <v>739</v>
      </c>
      <c r="G2530" s="10">
        <v>1874281</v>
      </c>
      <c r="H2530" s="11" cm="1">
        <f t="array" ref="H2530">F2530/G2530*100000</f>
        <v>39.4284528307122</v>
      </c>
    </row>
    <row r="2531" ht="13" customHeight="1">
      <c r="A2531" s="8">
        <v>9</v>
      </c>
      <c r="B2531" t="s" s="9">
        <v>30</v>
      </c>
      <c r="C2531" t="s" s="9">
        <v>61</v>
      </c>
      <c r="D2531" t="s" s="9">
        <v>38</v>
      </c>
      <c r="E2531" t="s" s="9">
        <v>71</v>
      </c>
      <c r="F2531" s="10">
        <v>527</v>
      </c>
      <c r="G2531" s="10">
        <v>1874281</v>
      </c>
      <c r="H2531" s="11" cm="1">
        <f t="array" ref="H2531">F2531/G2531*100000</f>
        <v>28.1174487710221</v>
      </c>
    </row>
    <row r="2532" ht="13" customHeight="1">
      <c r="A2532" s="8">
        <v>10</v>
      </c>
      <c r="B2532" t="s" s="9">
        <v>37</v>
      </c>
      <c r="C2532" t="s" s="9">
        <v>61</v>
      </c>
      <c r="D2532" t="s" s="9">
        <v>38</v>
      </c>
      <c r="E2532" t="s" s="9">
        <v>71</v>
      </c>
      <c r="F2532" s="10">
        <v>622</v>
      </c>
      <c r="G2532" s="10">
        <v>1874281</v>
      </c>
      <c r="H2532" s="11" cm="1">
        <f t="array" ref="H2532">F2532/G2532*100000</f>
        <v>33.1860590807888</v>
      </c>
    </row>
    <row r="2533" ht="13" customHeight="1">
      <c r="A2533" s="8">
        <v>1</v>
      </c>
      <c r="B2533" t="s" s="9">
        <v>30</v>
      </c>
      <c r="C2533" t="s" s="9">
        <v>61</v>
      </c>
      <c r="D2533" t="s" s="9">
        <v>42</v>
      </c>
      <c r="E2533" t="s" s="9">
        <v>71</v>
      </c>
      <c r="F2533" s="10">
        <v>7533</v>
      </c>
      <c r="G2533" s="10">
        <v>5458063</v>
      </c>
      <c r="H2533" s="11" cm="1">
        <f t="array" ref="H2533">F2533/G2533*100000</f>
        <v>138.015995784585</v>
      </c>
    </row>
    <row r="2534" ht="13" customHeight="1">
      <c r="A2534" s="8">
        <v>2</v>
      </c>
      <c r="B2534" t="s" s="9">
        <v>34</v>
      </c>
      <c r="C2534" t="s" s="9">
        <v>61</v>
      </c>
      <c r="D2534" t="s" s="9">
        <v>42</v>
      </c>
      <c r="E2534" t="s" s="9">
        <v>71</v>
      </c>
      <c r="F2534" s="10">
        <v>3622</v>
      </c>
      <c r="G2534" s="10">
        <v>5458063</v>
      </c>
      <c r="H2534" s="11" cm="1">
        <f t="array" ref="H2534">F2534/G2534*100000</f>
        <v>66.36053852804559</v>
      </c>
    </row>
    <row r="2535" ht="13" customHeight="1">
      <c r="A2535" s="8">
        <v>3</v>
      </c>
      <c r="B2535" t="s" s="9">
        <v>30</v>
      </c>
      <c r="C2535" t="s" s="9">
        <v>61</v>
      </c>
      <c r="D2535" t="s" s="9">
        <v>42</v>
      </c>
      <c r="E2535" t="s" s="9">
        <v>71</v>
      </c>
      <c r="F2535" s="10">
        <v>1086</v>
      </c>
      <c r="G2535" s="10">
        <v>5458063</v>
      </c>
      <c r="H2535" s="11" cm="1">
        <f t="array" ref="H2535">F2535/G2535*100000</f>
        <v>19.8971686475587</v>
      </c>
    </row>
    <row r="2536" ht="13" customHeight="1">
      <c r="A2536" s="8">
        <v>4</v>
      </c>
      <c r="B2536" t="s" s="9">
        <v>39</v>
      </c>
      <c r="C2536" t="s" s="9">
        <v>61</v>
      </c>
      <c r="D2536" t="s" s="9">
        <v>42</v>
      </c>
      <c r="E2536" t="s" s="9">
        <v>71</v>
      </c>
      <c r="F2536" s="10">
        <v>1314</v>
      </c>
      <c r="G2536" s="10">
        <v>5458063</v>
      </c>
      <c r="H2536" s="11" cm="1">
        <f t="array" ref="H2536">F2536/G2536*100000</f>
        <v>24.0744747724605</v>
      </c>
    </row>
    <row r="2537" ht="13" customHeight="1">
      <c r="A2537" s="8">
        <v>5</v>
      </c>
      <c r="B2537" t="s" s="9">
        <v>37</v>
      </c>
      <c r="C2537" t="s" s="9">
        <v>61</v>
      </c>
      <c r="D2537" t="s" s="9">
        <v>42</v>
      </c>
      <c r="E2537" t="s" s="9">
        <v>71</v>
      </c>
      <c r="F2537" s="10">
        <v>905</v>
      </c>
      <c r="G2537" s="10">
        <v>5458063</v>
      </c>
      <c r="H2537" s="11" cm="1">
        <f t="array" ref="H2537">F2537/G2537*100000</f>
        <v>16.5809738729656</v>
      </c>
    </row>
    <row r="2538" ht="13" customHeight="1">
      <c r="A2538" s="8">
        <v>6</v>
      </c>
      <c r="B2538" t="s" s="9">
        <v>35</v>
      </c>
      <c r="C2538" t="s" s="9">
        <v>61</v>
      </c>
      <c r="D2538" t="s" s="9">
        <v>42</v>
      </c>
      <c r="E2538" t="s" s="9">
        <v>71</v>
      </c>
      <c r="F2538" s="10">
        <v>543</v>
      </c>
      <c r="G2538" s="10">
        <v>5458063</v>
      </c>
      <c r="H2538" s="11" cm="1">
        <f t="array" ref="H2538">F2538/G2538*100000</f>
        <v>9.948584323779331</v>
      </c>
    </row>
    <row r="2539" ht="13" customHeight="1">
      <c r="A2539" s="8">
        <v>7</v>
      </c>
      <c r="B2539" t="s" s="9">
        <v>37</v>
      </c>
      <c r="C2539" t="s" s="9">
        <v>61</v>
      </c>
      <c r="D2539" t="s" s="9">
        <v>42</v>
      </c>
      <c r="E2539" t="s" s="9">
        <v>71</v>
      </c>
      <c r="F2539" s="10">
        <v>781</v>
      </c>
      <c r="G2539" s="10">
        <v>5458063</v>
      </c>
      <c r="H2539" s="11" cm="1">
        <f t="array" ref="H2539">F2539/G2539*100000</f>
        <v>14.3091056295979</v>
      </c>
    </row>
    <row r="2540" ht="13" customHeight="1">
      <c r="A2540" s="8">
        <v>8</v>
      </c>
      <c r="B2540" t="s" s="9">
        <v>39</v>
      </c>
      <c r="C2540" t="s" s="9">
        <v>61</v>
      </c>
      <c r="D2540" t="s" s="9">
        <v>42</v>
      </c>
      <c r="E2540" t="s" s="9">
        <v>71</v>
      </c>
      <c r="F2540" s="10">
        <v>739</v>
      </c>
      <c r="G2540" s="10">
        <v>5458063</v>
      </c>
      <c r="H2540" s="11" cm="1">
        <f t="array" ref="H2540">F2540/G2540*100000</f>
        <v>13.5396018697476</v>
      </c>
    </row>
    <row r="2541" ht="13" customHeight="1">
      <c r="A2541" s="8">
        <v>9</v>
      </c>
      <c r="B2541" t="s" s="9">
        <v>35</v>
      </c>
      <c r="C2541" t="s" s="9">
        <v>61</v>
      </c>
      <c r="D2541" t="s" s="9">
        <v>42</v>
      </c>
      <c r="E2541" t="s" s="9">
        <v>71</v>
      </c>
      <c r="F2541" s="10">
        <v>508</v>
      </c>
      <c r="G2541" s="10">
        <v>5458063</v>
      </c>
      <c r="H2541" s="11" cm="1">
        <f t="array" ref="H2541">F2541/G2541*100000</f>
        <v>9.30733119057072</v>
      </c>
    </row>
    <row r="2542" ht="13" customHeight="1">
      <c r="A2542" s="8">
        <v>10</v>
      </c>
      <c r="B2542" t="s" s="9">
        <v>30</v>
      </c>
      <c r="C2542" t="s" s="9">
        <v>61</v>
      </c>
      <c r="D2542" t="s" s="9">
        <v>42</v>
      </c>
      <c r="E2542" t="s" s="9">
        <v>71</v>
      </c>
      <c r="F2542" s="10">
        <v>527</v>
      </c>
      <c r="G2542" s="10">
        <v>5458063</v>
      </c>
      <c r="H2542" s="11" cm="1">
        <f t="array" ref="H2542">F2542/G2542*100000</f>
        <v>9.655440034312541</v>
      </c>
    </row>
    <row r="2543" ht="13" customHeight="1">
      <c r="A2543" s="8">
        <v>1</v>
      </c>
      <c r="B2543" t="s" s="9">
        <v>34</v>
      </c>
      <c r="C2543" t="s" s="9">
        <v>61</v>
      </c>
      <c r="D2543" t="s" s="9">
        <v>43</v>
      </c>
      <c r="E2543" t="s" s="9">
        <v>71</v>
      </c>
      <c r="F2543" s="10">
        <v>4008</v>
      </c>
      <c r="G2543" s="10">
        <v>3817144</v>
      </c>
      <c r="H2543" s="11" cm="1">
        <f t="array" ref="H2543">F2543/G2543*100000</f>
        <v>104.999968562884</v>
      </c>
    </row>
    <row r="2544" ht="13" customHeight="1">
      <c r="A2544" s="8">
        <v>2</v>
      </c>
      <c r="B2544" t="s" s="9">
        <v>30</v>
      </c>
      <c r="C2544" t="s" s="9">
        <v>61</v>
      </c>
      <c r="D2544" t="s" s="9">
        <v>43</v>
      </c>
      <c r="E2544" t="s" s="9">
        <v>71</v>
      </c>
      <c r="F2544" s="10">
        <v>3500</v>
      </c>
      <c r="G2544" s="10">
        <v>3817144</v>
      </c>
      <c r="H2544" s="11" cm="1">
        <f t="array" ref="H2544">F2544/G2544*100000</f>
        <v>91.69158931389541</v>
      </c>
    </row>
    <row r="2545" ht="13" customHeight="1">
      <c r="A2545" s="8">
        <v>3</v>
      </c>
      <c r="B2545" t="s" s="9">
        <v>35</v>
      </c>
      <c r="C2545" t="s" s="9">
        <v>61</v>
      </c>
      <c r="D2545" t="s" s="9">
        <v>43</v>
      </c>
      <c r="E2545" t="s" s="9">
        <v>71</v>
      </c>
      <c r="F2545" s="10">
        <v>1648</v>
      </c>
      <c r="G2545" s="10">
        <v>3817144</v>
      </c>
      <c r="H2545" s="11" cm="1">
        <f t="array" ref="H2545">F2545/G2545*100000</f>
        <v>43.1736397683713</v>
      </c>
    </row>
    <row r="2546" ht="13" customHeight="1">
      <c r="A2546" s="8">
        <v>4</v>
      </c>
      <c r="B2546" t="s" s="9">
        <v>37</v>
      </c>
      <c r="C2546" t="s" s="9">
        <v>61</v>
      </c>
      <c r="D2546" t="s" s="9">
        <v>43</v>
      </c>
      <c r="E2546" t="s" s="9">
        <v>71</v>
      </c>
      <c r="F2546" s="10">
        <v>1319</v>
      </c>
      <c r="G2546" s="10">
        <v>3817144</v>
      </c>
      <c r="H2546" s="11" cm="1">
        <f t="array" ref="H2546">F2546/G2546*100000</f>
        <v>34.5546303728652</v>
      </c>
    </row>
    <row r="2547" ht="13" customHeight="1">
      <c r="A2547" s="8">
        <v>5</v>
      </c>
      <c r="B2547" t="s" s="9">
        <v>30</v>
      </c>
      <c r="C2547" t="s" s="9">
        <v>61</v>
      </c>
      <c r="D2547" t="s" s="9">
        <v>43</v>
      </c>
      <c r="E2547" t="s" s="9">
        <v>71</v>
      </c>
      <c r="F2547" s="10">
        <v>865</v>
      </c>
      <c r="G2547" s="10">
        <v>3817144</v>
      </c>
      <c r="H2547" s="11" cm="1">
        <f t="array" ref="H2547">F2547/G2547*100000</f>
        <v>22.6609213590056</v>
      </c>
    </row>
    <row r="2548" ht="13" customHeight="1">
      <c r="A2548" s="8">
        <v>6</v>
      </c>
      <c r="B2548" t="s" s="9">
        <v>39</v>
      </c>
      <c r="C2548" t="s" s="9">
        <v>61</v>
      </c>
      <c r="D2548" t="s" s="9">
        <v>43</v>
      </c>
      <c r="E2548" t="s" s="9">
        <v>71</v>
      </c>
      <c r="F2548" s="10">
        <v>1075</v>
      </c>
      <c r="G2548" s="10">
        <v>3817144</v>
      </c>
      <c r="H2548" s="11" cm="1">
        <f t="array" ref="H2548">F2548/G2548*100000</f>
        <v>28.1624167178393</v>
      </c>
    </row>
    <row r="2549" ht="13" customHeight="1">
      <c r="A2549" s="8">
        <v>7</v>
      </c>
      <c r="B2549" t="s" s="9">
        <v>30</v>
      </c>
      <c r="C2549" t="s" s="9">
        <v>61</v>
      </c>
      <c r="D2549" t="s" s="9">
        <v>43</v>
      </c>
      <c r="E2549" t="s" s="9">
        <v>71</v>
      </c>
      <c r="F2549" s="10">
        <v>657</v>
      </c>
      <c r="G2549" s="10">
        <v>3817144</v>
      </c>
      <c r="H2549" s="11" cm="1">
        <f t="array" ref="H2549">F2549/G2549*100000</f>
        <v>17.2118211940655</v>
      </c>
    </row>
    <row r="2550" ht="13" customHeight="1">
      <c r="A2550" s="8">
        <v>8</v>
      </c>
      <c r="B2550" t="s" s="9">
        <v>37</v>
      </c>
      <c r="C2550" t="s" s="9">
        <v>61</v>
      </c>
      <c r="D2550" t="s" s="9">
        <v>43</v>
      </c>
      <c r="E2550" t="s" s="9">
        <v>71</v>
      </c>
      <c r="F2550" s="10">
        <v>685</v>
      </c>
      <c r="G2550" s="10">
        <v>3817144</v>
      </c>
      <c r="H2550" s="11" cm="1">
        <f t="array" ref="H2550">F2550/G2550*100000</f>
        <v>17.9453539085767</v>
      </c>
    </row>
    <row r="2551" ht="13" customHeight="1">
      <c r="A2551" s="8">
        <v>9</v>
      </c>
      <c r="B2551" t="s" s="9">
        <v>40</v>
      </c>
      <c r="C2551" t="s" s="9">
        <v>61</v>
      </c>
      <c r="D2551" t="s" s="9">
        <v>43</v>
      </c>
      <c r="E2551" t="s" s="9">
        <v>71</v>
      </c>
      <c r="F2551" s="10">
        <v>522</v>
      </c>
      <c r="G2551" s="10">
        <v>3817144</v>
      </c>
      <c r="H2551" s="11" cm="1">
        <f t="array" ref="H2551">F2551/G2551*100000</f>
        <v>13.6751456062438</v>
      </c>
    </row>
    <row r="2552" ht="13" customHeight="1">
      <c r="A2552" s="8">
        <v>10</v>
      </c>
      <c r="B2552" t="s" s="9">
        <v>41</v>
      </c>
      <c r="C2552" t="s" s="9">
        <v>61</v>
      </c>
      <c r="D2552" t="s" s="9">
        <v>43</v>
      </c>
      <c r="E2552" t="s" s="9">
        <v>71</v>
      </c>
      <c r="F2552" s="10">
        <v>468</v>
      </c>
      <c r="G2552" s="10">
        <v>3817144</v>
      </c>
      <c r="H2552" s="11" cm="1">
        <f t="array" ref="H2552">F2552/G2552*100000</f>
        <v>12.2604753711152</v>
      </c>
    </row>
    <row r="2553" ht="13" customHeight="1">
      <c r="A2553" s="8">
        <v>1</v>
      </c>
      <c r="B2553" t="s" s="9">
        <v>30</v>
      </c>
      <c r="C2553" t="s" s="9">
        <v>61</v>
      </c>
      <c r="D2553" t="s" s="9">
        <v>44</v>
      </c>
      <c r="E2553" t="s" s="9">
        <v>71</v>
      </c>
      <c r="F2553" s="10">
        <v>7160</v>
      </c>
      <c r="G2553" s="10">
        <v>13239670</v>
      </c>
      <c r="H2553" s="11" cm="1">
        <f t="array" ref="H2553">F2553/G2553*100000</f>
        <v>54.0798977618022</v>
      </c>
    </row>
    <row r="2554" ht="13" customHeight="1">
      <c r="A2554" s="8">
        <v>2</v>
      </c>
      <c r="B2554" t="s" s="9">
        <v>34</v>
      </c>
      <c r="C2554" t="s" s="9">
        <v>61</v>
      </c>
      <c r="D2554" t="s" s="9">
        <v>44</v>
      </c>
      <c r="E2554" t="s" s="9">
        <v>71</v>
      </c>
      <c r="F2554" s="10">
        <v>2711</v>
      </c>
      <c r="G2554" s="10">
        <v>13239670</v>
      </c>
      <c r="H2554" s="11" cm="1">
        <f t="array" ref="H2554">F2554/G2554*100000</f>
        <v>20.476341177688</v>
      </c>
    </row>
    <row r="2555" ht="13" customHeight="1">
      <c r="A2555" s="8">
        <v>3</v>
      </c>
      <c r="B2555" t="s" s="9">
        <v>30</v>
      </c>
      <c r="C2555" t="s" s="9">
        <v>61</v>
      </c>
      <c r="D2555" t="s" s="9">
        <v>44</v>
      </c>
      <c r="E2555" t="s" s="9">
        <v>71</v>
      </c>
      <c r="F2555" s="10">
        <v>1519</v>
      </c>
      <c r="G2555" s="10">
        <v>13239670</v>
      </c>
      <c r="H2555" s="11" cm="1">
        <f t="array" ref="H2555">F2555/G2555*100000</f>
        <v>11.4730956285164</v>
      </c>
    </row>
    <row r="2556" ht="13" customHeight="1">
      <c r="A2556" s="8">
        <v>4</v>
      </c>
      <c r="B2556" t="s" s="9">
        <v>30</v>
      </c>
      <c r="C2556" t="s" s="9">
        <v>61</v>
      </c>
      <c r="D2556" t="s" s="9">
        <v>44</v>
      </c>
      <c r="E2556" t="s" s="9">
        <v>71</v>
      </c>
      <c r="F2556" s="10">
        <v>740</v>
      </c>
      <c r="G2556" s="10">
        <v>13239670</v>
      </c>
      <c r="H2556" s="11" cm="1">
        <f t="array" ref="H2556">F2556/G2556*100000</f>
        <v>5.58926317649911</v>
      </c>
    </row>
    <row r="2557" ht="13" customHeight="1">
      <c r="A2557" s="8">
        <v>5</v>
      </c>
      <c r="B2557" t="s" s="9">
        <v>30</v>
      </c>
      <c r="C2557" t="s" s="9">
        <v>61</v>
      </c>
      <c r="D2557" t="s" s="9">
        <v>44</v>
      </c>
      <c r="E2557" t="s" s="9">
        <v>71</v>
      </c>
      <c r="F2557" s="10">
        <v>794</v>
      </c>
      <c r="G2557" s="10">
        <v>13239670</v>
      </c>
      <c r="H2557" s="11" cm="1">
        <f t="array" ref="H2557">F2557/G2557*100000</f>
        <v>5.99712832721661</v>
      </c>
    </row>
    <row r="2558" ht="13" customHeight="1">
      <c r="A2558" s="8">
        <v>6</v>
      </c>
      <c r="B2558" t="s" s="9">
        <v>30</v>
      </c>
      <c r="C2558" t="s" s="9">
        <v>61</v>
      </c>
      <c r="D2558" t="s" s="9">
        <v>44</v>
      </c>
      <c r="E2558" t="s" s="9">
        <v>71</v>
      </c>
      <c r="F2558" s="10">
        <v>696</v>
      </c>
      <c r="G2558" s="10">
        <v>13239670</v>
      </c>
      <c r="H2558" s="11" cm="1">
        <f t="array" ref="H2558">F2558/G2558*100000</f>
        <v>5.25692860924781</v>
      </c>
    </row>
    <row r="2559" ht="13" customHeight="1">
      <c r="A2559" s="8">
        <v>7</v>
      </c>
      <c r="B2559" t="s" s="9">
        <v>59</v>
      </c>
      <c r="C2559" t="s" s="9">
        <v>61</v>
      </c>
      <c r="D2559" t="s" s="9">
        <v>44</v>
      </c>
      <c r="E2559" t="s" s="9">
        <v>71</v>
      </c>
      <c r="F2559" s="10">
        <v>840</v>
      </c>
      <c r="G2559" s="10">
        <v>13239670</v>
      </c>
      <c r="H2559" s="11" cm="1">
        <f t="array" ref="H2559">F2559/G2559*100000</f>
        <v>6.34456901116115</v>
      </c>
    </row>
    <row r="2560" ht="13" customHeight="1">
      <c r="A2560" s="8">
        <v>8</v>
      </c>
      <c r="B2560" t="s" s="9">
        <v>36</v>
      </c>
      <c r="C2560" t="s" s="9">
        <v>61</v>
      </c>
      <c r="D2560" t="s" s="9">
        <v>44</v>
      </c>
      <c r="E2560" t="s" s="9">
        <v>71</v>
      </c>
      <c r="F2560" s="10">
        <v>606</v>
      </c>
      <c r="G2560" s="10">
        <v>13239670</v>
      </c>
      <c r="H2560" s="11" cm="1">
        <f t="array" ref="H2560">F2560/G2560*100000</f>
        <v>4.57715335805198</v>
      </c>
    </row>
    <row r="2561" ht="13" customHeight="1">
      <c r="A2561" s="8">
        <v>9</v>
      </c>
      <c r="B2561" t="s" s="9">
        <v>30</v>
      </c>
      <c r="C2561" t="s" s="9">
        <v>61</v>
      </c>
      <c r="D2561" t="s" s="9">
        <v>44</v>
      </c>
      <c r="E2561" t="s" s="9">
        <v>71</v>
      </c>
      <c r="F2561" s="10">
        <v>589</v>
      </c>
      <c r="G2561" s="10">
        <v>13239670</v>
      </c>
      <c r="H2561" s="11" cm="1">
        <f t="array" ref="H2561">F2561/G2561*100000</f>
        <v>4.44875136615943</v>
      </c>
    </row>
    <row r="2562" ht="13" customHeight="1">
      <c r="A2562" s="8">
        <v>10</v>
      </c>
      <c r="B2562" t="s" s="9">
        <v>39</v>
      </c>
      <c r="C2562" t="s" s="9">
        <v>61</v>
      </c>
      <c r="D2562" t="s" s="9">
        <v>44</v>
      </c>
      <c r="E2562" t="s" s="9">
        <v>71</v>
      </c>
      <c r="F2562" s="10">
        <v>649</v>
      </c>
      <c r="G2562" s="10">
        <v>13239670</v>
      </c>
      <c r="H2562" s="11" cm="1">
        <f t="array" ref="H2562">F2562/G2562*100000</f>
        <v>4.90193486695665</v>
      </c>
    </row>
    <row r="2563" ht="13" customHeight="1">
      <c r="A2563" s="8">
        <v>1</v>
      </c>
      <c r="B2563" t="s" s="9">
        <v>30</v>
      </c>
      <c r="C2563" t="s" s="9">
        <v>61</v>
      </c>
      <c r="D2563" t="s" s="9">
        <v>46</v>
      </c>
      <c r="E2563" t="s" s="9">
        <v>71</v>
      </c>
      <c r="F2563" s="10">
        <v>16184</v>
      </c>
      <c r="G2563" s="10">
        <v>17477569</v>
      </c>
      <c r="H2563" s="11" cm="1">
        <f t="array" ref="H2563">F2563/G2563*100000</f>
        <v>92.598690355621</v>
      </c>
    </row>
    <row r="2564" ht="13" customHeight="1">
      <c r="A2564" s="8">
        <v>2</v>
      </c>
      <c r="B2564" t="s" s="9">
        <v>30</v>
      </c>
      <c r="C2564" t="s" s="9">
        <v>61</v>
      </c>
      <c r="D2564" t="s" s="9">
        <v>46</v>
      </c>
      <c r="E2564" t="s" s="9">
        <v>71</v>
      </c>
      <c r="F2564" s="10">
        <v>6461</v>
      </c>
      <c r="G2564" s="10">
        <v>17477569</v>
      </c>
      <c r="H2564" s="11" cm="1">
        <f t="array" ref="H2564">F2564/G2564*100000</f>
        <v>36.9673837362622</v>
      </c>
    </row>
    <row r="2565" ht="13" customHeight="1">
      <c r="A2565" s="8">
        <v>3</v>
      </c>
      <c r="B2565" t="s" s="9">
        <v>35</v>
      </c>
      <c r="C2565" t="s" s="9">
        <v>61</v>
      </c>
      <c r="D2565" t="s" s="9">
        <v>46</v>
      </c>
      <c r="E2565" t="s" s="9">
        <v>71</v>
      </c>
      <c r="F2565" s="10">
        <v>6551</v>
      </c>
      <c r="G2565" s="10">
        <v>17477569</v>
      </c>
      <c r="H2565" s="11" cm="1">
        <f t="array" ref="H2565">F2565/G2565*100000</f>
        <v>37.4823294933065</v>
      </c>
    </row>
    <row r="2566" ht="13" customHeight="1">
      <c r="A2566" s="8">
        <v>4</v>
      </c>
      <c r="B2566" t="s" s="9">
        <v>34</v>
      </c>
      <c r="C2566" t="s" s="9">
        <v>61</v>
      </c>
      <c r="D2566" t="s" s="9">
        <v>46</v>
      </c>
      <c r="E2566" t="s" s="9">
        <v>71</v>
      </c>
      <c r="F2566" s="10">
        <v>6838</v>
      </c>
      <c r="G2566" s="10">
        <v>17477569</v>
      </c>
      <c r="H2566" s="11" cm="1">
        <f t="array" ref="H2566">F2566/G2566*100000</f>
        <v>39.1244342963258</v>
      </c>
    </row>
    <row r="2567" ht="13" customHeight="1">
      <c r="A2567" s="8">
        <v>5</v>
      </c>
      <c r="B2567" t="s" s="9">
        <v>30</v>
      </c>
      <c r="C2567" t="s" s="9">
        <v>61</v>
      </c>
      <c r="D2567" t="s" s="9">
        <v>46</v>
      </c>
      <c r="E2567" t="s" s="9">
        <v>71</v>
      </c>
      <c r="F2567" s="10">
        <v>4882</v>
      </c>
      <c r="G2567" s="10">
        <v>17477569</v>
      </c>
      <c r="H2567" s="11" cm="1">
        <f t="array" ref="H2567">F2567/G2567*100000</f>
        <v>27.9329465098951</v>
      </c>
    </row>
    <row r="2568" ht="13" customHeight="1">
      <c r="A2568" s="8">
        <v>6</v>
      </c>
      <c r="B2568" t="s" s="9">
        <v>39</v>
      </c>
      <c r="C2568" t="s" s="9">
        <v>61</v>
      </c>
      <c r="D2568" t="s" s="9">
        <v>46</v>
      </c>
      <c r="E2568" t="s" s="9">
        <v>71</v>
      </c>
      <c r="F2568" s="10">
        <v>4972</v>
      </c>
      <c r="G2568" s="10">
        <v>17477569</v>
      </c>
      <c r="H2568" s="11" cm="1">
        <f t="array" ref="H2568">F2568/G2568*100000</f>
        <v>28.4478922669394</v>
      </c>
    </row>
    <row r="2569" ht="13" customHeight="1">
      <c r="A2569" s="8">
        <v>7</v>
      </c>
      <c r="B2569" t="s" s="9">
        <v>41</v>
      </c>
      <c r="C2569" t="s" s="9">
        <v>61</v>
      </c>
      <c r="D2569" t="s" s="9">
        <v>46</v>
      </c>
      <c r="E2569" t="s" s="9">
        <v>71</v>
      </c>
      <c r="F2569" s="10">
        <v>4186</v>
      </c>
      <c r="G2569" s="10">
        <v>17477569</v>
      </c>
      <c r="H2569" s="11" cm="1">
        <f t="array" ref="H2569">F2569/G2569*100000</f>
        <v>23.9506993220854</v>
      </c>
    </row>
    <row r="2570" ht="13" customHeight="1">
      <c r="A2570" s="8">
        <v>8</v>
      </c>
      <c r="B2570" t="s" s="9">
        <v>37</v>
      </c>
      <c r="C2570" t="s" s="9">
        <v>61</v>
      </c>
      <c r="D2570" t="s" s="9">
        <v>46</v>
      </c>
      <c r="E2570" t="s" s="9">
        <v>71</v>
      </c>
      <c r="F2570" s="10">
        <v>2270</v>
      </c>
      <c r="G2570" s="10">
        <v>17477569</v>
      </c>
      <c r="H2570" s="11" cm="1">
        <f t="array" ref="H2570">F2570/G2570*100000</f>
        <v>12.9880763165632</v>
      </c>
    </row>
    <row r="2571" ht="13" customHeight="1">
      <c r="A2571" s="8">
        <v>9</v>
      </c>
      <c r="B2571" t="s" s="9">
        <v>45</v>
      </c>
      <c r="C2571" t="s" s="9">
        <v>61</v>
      </c>
      <c r="D2571" t="s" s="9">
        <v>46</v>
      </c>
      <c r="E2571" t="s" s="9">
        <v>71</v>
      </c>
      <c r="F2571" s="10">
        <v>1475</v>
      </c>
      <c r="G2571" s="10">
        <v>17477569</v>
      </c>
      <c r="H2571" s="11" cm="1">
        <f t="array" ref="H2571">F2571/G2571*100000</f>
        <v>8.439388796004749</v>
      </c>
    </row>
    <row r="2572" ht="13" customHeight="1">
      <c r="A2572" s="8">
        <v>10</v>
      </c>
      <c r="B2572" t="s" s="9">
        <v>40</v>
      </c>
      <c r="C2572" t="s" s="9">
        <v>61</v>
      </c>
      <c r="D2572" t="s" s="9">
        <v>46</v>
      </c>
      <c r="E2572" t="s" s="9">
        <v>71</v>
      </c>
      <c r="F2572" s="10">
        <v>1147</v>
      </c>
      <c r="G2572" s="10">
        <v>17477569</v>
      </c>
      <c r="H2572" s="11" cm="1">
        <f t="array" ref="H2572">F2572/G2572*100000</f>
        <v>6.5626975925542</v>
      </c>
    </row>
    <row r="2573" ht="13" customHeight="1">
      <c r="A2573" s="8">
        <v>1</v>
      </c>
      <c r="B2573" t="s" s="9">
        <v>30</v>
      </c>
      <c r="C2573" t="s" s="9">
        <v>61</v>
      </c>
      <c r="D2573" t="s" s="9">
        <v>47</v>
      </c>
      <c r="E2573" t="s" s="9">
        <v>71</v>
      </c>
      <c r="F2573" s="10">
        <v>3579</v>
      </c>
      <c r="G2573" s="10">
        <v>3342831</v>
      </c>
      <c r="H2573" s="11" cm="1">
        <f t="array" ref="H2573">F2573/G2573*100000</f>
        <v>107.064939866837</v>
      </c>
    </row>
    <row r="2574" ht="13" customHeight="1">
      <c r="A2574" s="8">
        <v>2</v>
      </c>
      <c r="B2574" t="s" s="9">
        <v>35</v>
      </c>
      <c r="C2574" t="s" s="9">
        <v>61</v>
      </c>
      <c r="D2574" t="s" s="9">
        <v>47</v>
      </c>
      <c r="E2574" t="s" s="9">
        <v>71</v>
      </c>
      <c r="F2574" s="10">
        <v>1529</v>
      </c>
      <c r="G2574" s="10">
        <v>3342831</v>
      </c>
      <c r="H2574" s="11" cm="1">
        <f t="array" ref="H2574">F2574/G2574*100000</f>
        <v>45.7396739470227</v>
      </c>
    </row>
    <row r="2575" ht="13" customHeight="1">
      <c r="A2575" s="8">
        <v>3</v>
      </c>
      <c r="B2575" t="s" s="9">
        <v>34</v>
      </c>
      <c r="C2575" t="s" s="9">
        <v>61</v>
      </c>
      <c r="D2575" t="s" s="9">
        <v>47</v>
      </c>
      <c r="E2575" t="s" s="9">
        <v>71</v>
      </c>
      <c r="F2575" s="10">
        <v>901</v>
      </c>
      <c r="G2575" s="10">
        <v>3342831</v>
      </c>
      <c r="H2575" s="11" cm="1">
        <f t="array" ref="H2575">F2575/G2575*100000</f>
        <v>26.9532022408551</v>
      </c>
    </row>
    <row r="2576" ht="13" customHeight="1">
      <c r="A2576" s="8">
        <v>4</v>
      </c>
      <c r="B2576" t="s" s="9">
        <v>39</v>
      </c>
      <c r="C2576" t="s" s="9">
        <v>61</v>
      </c>
      <c r="D2576" t="s" s="9">
        <v>47</v>
      </c>
      <c r="E2576" t="s" s="9">
        <v>71</v>
      </c>
      <c r="F2576" s="10">
        <v>665</v>
      </c>
      <c r="G2576" s="10">
        <v>3342831</v>
      </c>
      <c r="H2576" s="11" cm="1">
        <f t="array" ref="H2576">F2576/G2576*100000</f>
        <v>19.8933179691106</v>
      </c>
    </row>
    <row r="2577" ht="13" customHeight="1">
      <c r="A2577" s="8">
        <v>5</v>
      </c>
      <c r="B2577" t="s" s="9">
        <v>30</v>
      </c>
      <c r="C2577" t="s" s="9">
        <v>61</v>
      </c>
      <c r="D2577" t="s" s="9">
        <v>47</v>
      </c>
      <c r="E2577" t="s" s="9">
        <v>71</v>
      </c>
      <c r="F2577" s="10">
        <v>326</v>
      </c>
      <c r="G2577" s="10">
        <v>3342831</v>
      </c>
      <c r="H2577" s="11" cm="1">
        <f t="array" ref="H2577">F2577/G2577*100000</f>
        <v>9.752213019443699</v>
      </c>
    </row>
    <row r="2578" ht="13" customHeight="1">
      <c r="A2578" s="8">
        <v>6</v>
      </c>
      <c r="B2578" t="s" s="9">
        <v>45</v>
      </c>
      <c r="C2578" t="s" s="9">
        <v>61</v>
      </c>
      <c r="D2578" t="s" s="9">
        <v>47</v>
      </c>
      <c r="E2578" t="s" s="9">
        <v>71</v>
      </c>
      <c r="F2578" s="10">
        <v>338</v>
      </c>
      <c r="G2578" s="10">
        <v>3342831</v>
      </c>
      <c r="H2578" s="11" cm="1">
        <f t="array" ref="H2578">F2578/G2578*100000</f>
        <v>10.1111901858036</v>
      </c>
    </row>
    <row r="2579" ht="13" customHeight="1">
      <c r="A2579" s="8">
        <v>7</v>
      </c>
      <c r="B2579" t="s" s="9">
        <v>30</v>
      </c>
      <c r="C2579" t="s" s="9">
        <v>61</v>
      </c>
      <c r="D2579" t="s" s="9">
        <v>47</v>
      </c>
      <c r="E2579" t="s" s="9">
        <v>71</v>
      </c>
      <c r="F2579" s="10">
        <v>316</v>
      </c>
      <c r="G2579" s="10">
        <v>3342831</v>
      </c>
      <c r="H2579" s="11" cm="1">
        <f t="array" ref="H2579">F2579/G2579*100000</f>
        <v>9.453065380810459</v>
      </c>
    </row>
    <row r="2580" ht="13" customHeight="1">
      <c r="A2580" s="8">
        <v>8</v>
      </c>
      <c r="B2580" t="s" s="9">
        <v>40</v>
      </c>
      <c r="C2580" t="s" s="9">
        <v>61</v>
      </c>
      <c r="D2580" t="s" s="9">
        <v>47</v>
      </c>
      <c r="E2580" t="s" s="9">
        <v>71</v>
      </c>
      <c r="F2580" s="10">
        <v>281</v>
      </c>
      <c r="G2580" s="10">
        <v>3342831</v>
      </c>
      <c r="H2580" s="11" cm="1">
        <f t="array" ref="H2580">F2580/G2580*100000</f>
        <v>8.40604864559411</v>
      </c>
    </row>
    <row r="2581" ht="13" customHeight="1">
      <c r="A2581" s="8">
        <v>9</v>
      </c>
      <c r="B2581" t="s" s="9">
        <v>37</v>
      </c>
      <c r="C2581" t="s" s="9">
        <v>61</v>
      </c>
      <c r="D2581" t="s" s="9">
        <v>47</v>
      </c>
      <c r="E2581" t="s" s="9">
        <v>71</v>
      </c>
      <c r="F2581" s="10">
        <v>225</v>
      </c>
      <c r="G2581" s="10">
        <v>3342831</v>
      </c>
      <c r="H2581" s="11" cm="1">
        <f t="array" ref="H2581">F2581/G2581*100000</f>
        <v>6.73082186924795</v>
      </c>
    </row>
    <row r="2582" ht="13" customHeight="1">
      <c r="A2582" s="8">
        <v>10</v>
      </c>
      <c r="B2582" t="s" s="9">
        <v>30</v>
      </c>
      <c r="C2582" t="s" s="9">
        <v>61</v>
      </c>
      <c r="D2582" t="s" s="9">
        <v>47</v>
      </c>
      <c r="E2582" t="s" s="9">
        <v>71</v>
      </c>
      <c r="F2582" s="10">
        <v>120</v>
      </c>
      <c r="G2582" s="10">
        <v>3342831</v>
      </c>
      <c r="H2582" s="11" cm="1">
        <f t="array" ref="H2582">F2582/G2582*100000</f>
        <v>3.58977166359891</v>
      </c>
    </row>
    <row r="2583" ht="13" customHeight="1">
      <c r="A2583" s="8">
        <v>1</v>
      </c>
      <c r="B2583" t="s" s="9">
        <v>30</v>
      </c>
      <c r="C2583" t="s" s="9">
        <v>61</v>
      </c>
      <c r="D2583" t="s" s="9">
        <v>49</v>
      </c>
      <c r="E2583" t="s" s="9">
        <v>71</v>
      </c>
      <c r="F2583" s="10">
        <v>8597</v>
      </c>
      <c r="G2583" s="10">
        <v>6397690</v>
      </c>
      <c r="H2583" s="11" cm="1">
        <f t="array" ref="H2583">F2583/G2583*100000</f>
        <v>134.376626563650</v>
      </c>
    </row>
    <row r="2584" ht="13" customHeight="1">
      <c r="A2584" s="8">
        <v>2</v>
      </c>
      <c r="B2584" t="s" s="9">
        <v>34</v>
      </c>
      <c r="C2584" t="s" s="9">
        <v>61</v>
      </c>
      <c r="D2584" t="s" s="9">
        <v>49</v>
      </c>
      <c r="E2584" t="s" s="9">
        <v>71</v>
      </c>
      <c r="F2584" s="10">
        <v>4613</v>
      </c>
      <c r="G2584" s="10">
        <v>6397690</v>
      </c>
      <c r="H2584" s="11" cm="1">
        <f t="array" ref="H2584">F2584/G2584*100000</f>
        <v>72.1041500916737</v>
      </c>
    </row>
    <row r="2585" ht="13" customHeight="1">
      <c r="A2585" s="8">
        <v>3</v>
      </c>
      <c r="B2585" t="s" s="9">
        <v>35</v>
      </c>
      <c r="C2585" t="s" s="9">
        <v>61</v>
      </c>
      <c r="D2585" t="s" s="9">
        <v>49</v>
      </c>
      <c r="E2585" t="s" s="9">
        <v>71</v>
      </c>
      <c r="F2585" s="10">
        <v>2268</v>
      </c>
      <c r="G2585" s="10">
        <v>6397690</v>
      </c>
      <c r="H2585" s="11" cm="1">
        <f t="array" ref="H2585">F2585/G2585*100000</f>
        <v>35.4502953409746</v>
      </c>
    </row>
    <row r="2586" ht="13" customHeight="1">
      <c r="A2586" s="8">
        <v>4</v>
      </c>
      <c r="B2586" t="s" s="9">
        <v>30</v>
      </c>
      <c r="C2586" t="s" s="9">
        <v>61</v>
      </c>
      <c r="D2586" t="s" s="9">
        <v>49</v>
      </c>
      <c r="E2586" t="s" s="9">
        <v>71</v>
      </c>
      <c r="F2586" s="10">
        <v>1475</v>
      </c>
      <c r="G2586" s="10">
        <v>6397690</v>
      </c>
      <c r="H2586" s="11" cm="1">
        <f t="array" ref="H2586">F2586/G2586*100000</f>
        <v>23.0551964849813</v>
      </c>
    </row>
    <row r="2587" ht="13" customHeight="1">
      <c r="A2587" s="8">
        <v>5</v>
      </c>
      <c r="B2587" t="s" s="9">
        <v>39</v>
      </c>
      <c r="C2587" t="s" s="9">
        <v>61</v>
      </c>
      <c r="D2587" t="s" s="9">
        <v>49</v>
      </c>
      <c r="E2587" t="s" s="9">
        <v>71</v>
      </c>
      <c r="F2587" s="10">
        <v>1854</v>
      </c>
      <c r="G2587" s="10">
        <v>6397690</v>
      </c>
      <c r="H2587" s="11" cm="1">
        <f t="array" ref="H2587">F2587/G2587*100000</f>
        <v>28.9792096834951</v>
      </c>
    </row>
    <row r="2588" ht="13" customHeight="1">
      <c r="A2588" s="8">
        <v>6</v>
      </c>
      <c r="B2588" t="s" s="9">
        <v>40</v>
      </c>
      <c r="C2588" t="s" s="9">
        <v>61</v>
      </c>
      <c r="D2588" t="s" s="9">
        <v>49</v>
      </c>
      <c r="E2588" t="s" s="9">
        <v>71</v>
      </c>
      <c r="F2588" s="10">
        <v>1361</v>
      </c>
      <c r="G2588" s="10">
        <v>6397690</v>
      </c>
      <c r="H2588" s="11" cm="1">
        <f t="array" ref="H2588">F2588/G2588*100000</f>
        <v>21.2733033329217</v>
      </c>
    </row>
    <row r="2589" ht="13" customHeight="1">
      <c r="A2589" s="8">
        <v>7</v>
      </c>
      <c r="B2589" t="s" s="9">
        <v>37</v>
      </c>
      <c r="C2589" t="s" s="9">
        <v>61</v>
      </c>
      <c r="D2589" t="s" s="9">
        <v>49</v>
      </c>
      <c r="E2589" t="s" s="9">
        <v>71</v>
      </c>
      <c r="F2589" s="10">
        <v>1509</v>
      </c>
      <c r="G2589" s="10">
        <v>6397690</v>
      </c>
      <c r="H2589" s="11" cm="1">
        <f t="array" ref="H2589">F2589/G2589*100000</f>
        <v>23.5866383022622</v>
      </c>
    </row>
    <row r="2590" ht="13" customHeight="1">
      <c r="A2590" s="8">
        <v>8</v>
      </c>
      <c r="B2590" t="s" s="9">
        <v>30</v>
      </c>
      <c r="C2590" t="s" s="9">
        <v>61</v>
      </c>
      <c r="D2590" t="s" s="9">
        <v>49</v>
      </c>
      <c r="E2590" t="s" s="9">
        <v>71</v>
      </c>
      <c r="F2590" s="10">
        <v>1046</v>
      </c>
      <c r="G2590" s="10">
        <v>6397690</v>
      </c>
      <c r="H2590" s="11" cm="1">
        <f t="array" ref="H2590">F2590/G2590*100000</f>
        <v>16.3496512022308</v>
      </c>
    </row>
    <row r="2591" ht="13" customHeight="1">
      <c r="A2591" s="8">
        <v>9</v>
      </c>
      <c r="B2591" t="s" s="9">
        <v>41</v>
      </c>
      <c r="C2591" t="s" s="9">
        <v>61</v>
      </c>
      <c r="D2591" t="s" s="9">
        <v>49</v>
      </c>
      <c r="E2591" t="s" s="9">
        <v>71</v>
      </c>
      <c r="F2591" s="10">
        <v>1187</v>
      </c>
      <c r="G2591" s="10">
        <v>6397690</v>
      </c>
      <c r="H2591" s="11" cm="1">
        <f t="array" ref="H2591">F2591/G2591*100000</f>
        <v>18.5535716797782</v>
      </c>
    </row>
    <row r="2592" ht="13" customHeight="1">
      <c r="A2592" s="8">
        <v>10</v>
      </c>
      <c r="B2592" t="s" s="9">
        <v>41</v>
      </c>
      <c r="C2592" t="s" s="9">
        <v>61</v>
      </c>
      <c r="D2592" t="s" s="9">
        <v>49</v>
      </c>
      <c r="E2592" t="s" s="9">
        <v>71</v>
      </c>
      <c r="F2592" s="10">
        <v>740</v>
      </c>
      <c r="G2592" s="10">
        <v>6397690</v>
      </c>
      <c r="H2592" s="11" cm="1">
        <f t="array" ref="H2592">F2592/G2592*100000</f>
        <v>11.5666748467025</v>
      </c>
    </row>
    <row r="2593" ht="13.65" customHeight="1">
      <c r="A2593" s="8">
        <v>1</v>
      </c>
      <c r="B2593" t="s" s="9">
        <v>34</v>
      </c>
      <c r="C2593" t="s" s="9">
        <v>61</v>
      </c>
      <c r="D2593" t="s" s="9">
        <v>51</v>
      </c>
      <c r="E2593" t="s" s="9">
        <v>71</v>
      </c>
      <c r="F2593" s="10">
        <v>2057</v>
      </c>
      <c r="G2593" s="12"/>
      <c r="H2593" s="13"/>
    </row>
    <row r="2594" ht="13.65" customHeight="1">
      <c r="A2594" s="8">
        <v>2</v>
      </c>
      <c r="B2594" t="s" s="9">
        <v>30</v>
      </c>
      <c r="C2594" t="s" s="9">
        <v>61</v>
      </c>
      <c r="D2594" t="s" s="9">
        <v>51</v>
      </c>
      <c r="E2594" t="s" s="9">
        <v>71</v>
      </c>
      <c r="F2594" s="10">
        <v>1524</v>
      </c>
      <c r="G2594" s="14"/>
      <c r="H2594" s="15"/>
    </row>
    <row r="2595" ht="13.65" customHeight="1">
      <c r="A2595" s="8">
        <v>3</v>
      </c>
      <c r="B2595" t="s" s="9">
        <v>30</v>
      </c>
      <c r="C2595" t="s" s="9">
        <v>61</v>
      </c>
      <c r="D2595" t="s" s="9">
        <v>51</v>
      </c>
      <c r="E2595" t="s" s="9">
        <v>71</v>
      </c>
      <c r="F2595" s="10">
        <v>833</v>
      </c>
      <c r="G2595" s="14"/>
      <c r="H2595" s="15"/>
    </row>
    <row r="2596" ht="13.65" customHeight="1">
      <c r="A2596" s="8">
        <v>4</v>
      </c>
      <c r="B2596" t="s" s="9">
        <v>35</v>
      </c>
      <c r="C2596" t="s" s="9">
        <v>61</v>
      </c>
      <c r="D2596" t="s" s="9">
        <v>51</v>
      </c>
      <c r="E2596" t="s" s="9">
        <v>71</v>
      </c>
      <c r="F2596" s="10">
        <v>732</v>
      </c>
      <c r="G2596" s="14"/>
      <c r="H2596" s="15"/>
    </row>
    <row r="2597" ht="13.65" customHeight="1">
      <c r="A2597" s="8">
        <v>5</v>
      </c>
      <c r="B2597" t="s" s="9">
        <v>30</v>
      </c>
      <c r="C2597" t="s" s="9">
        <v>61</v>
      </c>
      <c r="D2597" t="s" s="9">
        <v>51</v>
      </c>
      <c r="E2597" t="s" s="9">
        <v>71</v>
      </c>
      <c r="F2597" s="10">
        <v>187</v>
      </c>
      <c r="G2597" s="14"/>
      <c r="H2597" s="15"/>
    </row>
    <row r="2598" ht="13.65" customHeight="1">
      <c r="A2598" s="8">
        <v>6</v>
      </c>
      <c r="B2598" t="s" s="9">
        <v>39</v>
      </c>
      <c r="C2598" t="s" s="9">
        <v>61</v>
      </c>
      <c r="D2598" t="s" s="9">
        <v>51</v>
      </c>
      <c r="E2598" t="s" s="9">
        <v>71</v>
      </c>
      <c r="F2598" s="10">
        <v>365</v>
      </c>
      <c r="G2598" s="14"/>
      <c r="H2598" s="15"/>
    </row>
    <row r="2599" ht="13.65" customHeight="1">
      <c r="A2599" s="8">
        <v>7</v>
      </c>
      <c r="B2599" t="s" s="9">
        <v>30</v>
      </c>
      <c r="C2599" t="s" s="9">
        <v>61</v>
      </c>
      <c r="D2599" t="s" s="9">
        <v>51</v>
      </c>
      <c r="E2599" t="s" s="9">
        <v>71</v>
      </c>
      <c r="F2599" s="10">
        <v>247</v>
      </c>
      <c r="G2599" s="14"/>
      <c r="H2599" s="15"/>
    </row>
    <row r="2600" ht="13.65" customHeight="1">
      <c r="A2600" s="8">
        <v>8</v>
      </c>
      <c r="B2600" t="s" s="9">
        <v>36</v>
      </c>
      <c r="C2600" t="s" s="9">
        <v>61</v>
      </c>
      <c r="D2600" t="s" s="9">
        <v>51</v>
      </c>
      <c r="E2600" t="s" s="9">
        <v>71</v>
      </c>
      <c r="F2600" s="10">
        <v>73</v>
      </c>
      <c r="G2600" s="14"/>
      <c r="H2600" s="15"/>
    </row>
    <row r="2601" ht="13.65" customHeight="1">
      <c r="A2601" s="8">
        <v>9</v>
      </c>
      <c r="B2601" t="s" s="9">
        <v>30</v>
      </c>
      <c r="C2601" t="s" s="9">
        <v>61</v>
      </c>
      <c r="D2601" t="s" s="9">
        <v>51</v>
      </c>
      <c r="E2601" t="s" s="9">
        <v>71</v>
      </c>
      <c r="F2601" s="10">
        <v>57</v>
      </c>
      <c r="G2601" s="14"/>
      <c r="H2601" s="15"/>
    </row>
    <row r="2602" ht="13.65" customHeight="1">
      <c r="A2602" s="8">
        <v>10</v>
      </c>
      <c r="B2602" t="s" s="9">
        <v>41</v>
      </c>
      <c r="C2602" t="s" s="9">
        <v>61</v>
      </c>
      <c r="D2602" t="s" s="9">
        <v>51</v>
      </c>
      <c r="E2602" t="s" s="9">
        <v>71</v>
      </c>
      <c r="F2602" s="10">
        <v>54</v>
      </c>
      <c r="G2602" s="14"/>
      <c r="H2602" s="15"/>
    </row>
    <row r="2603" ht="13.65" customHeight="1">
      <c r="A2603" s="8">
        <v>1</v>
      </c>
      <c r="B2603" t="s" s="9">
        <v>30</v>
      </c>
      <c r="C2603" t="s" s="9">
        <v>61</v>
      </c>
      <c r="D2603" t="s" s="9">
        <v>52</v>
      </c>
      <c r="E2603" t="s" s="9">
        <v>71</v>
      </c>
      <c r="F2603" s="10">
        <v>2401</v>
      </c>
      <c r="G2603" s="14"/>
      <c r="H2603" s="15"/>
    </row>
    <row r="2604" ht="13.65" customHeight="1">
      <c r="A2604" s="8">
        <v>2</v>
      </c>
      <c r="B2604" t="s" s="9">
        <v>35</v>
      </c>
      <c r="C2604" t="s" s="9">
        <v>61</v>
      </c>
      <c r="D2604" t="s" s="9">
        <v>52</v>
      </c>
      <c r="E2604" t="s" s="9">
        <v>71</v>
      </c>
      <c r="F2604" s="10">
        <v>1723</v>
      </c>
      <c r="G2604" s="14"/>
      <c r="H2604" s="15"/>
    </row>
    <row r="2605" ht="13.65" customHeight="1">
      <c r="A2605" s="8">
        <v>3</v>
      </c>
      <c r="B2605" t="s" s="9">
        <v>34</v>
      </c>
      <c r="C2605" t="s" s="9">
        <v>61</v>
      </c>
      <c r="D2605" t="s" s="9">
        <v>52</v>
      </c>
      <c r="E2605" t="s" s="9">
        <v>71</v>
      </c>
      <c r="F2605" s="10">
        <v>1992</v>
      </c>
      <c r="G2605" s="14"/>
      <c r="H2605" s="15"/>
    </row>
    <row r="2606" ht="13.65" customHeight="1">
      <c r="A2606" s="8">
        <v>4</v>
      </c>
      <c r="B2606" t="s" s="9">
        <v>30</v>
      </c>
      <c r="C2606" t="s" s="9">
        <v>61</v>
      </c>
      <c r="D2606" t="s" s="9">
        <v>52</v>
      </c>
      <c r="E2606" t="s" s="9">
        <v>71</v>
      </c>
      <c r="F2606" s="10">
        <v>1347</v>
      </c>
      <c r="G2606" s="14"/>
      <c r="H2606" s="15"/>
    </row>
    <row r="2607" ht="13.65" customHeight="1">
      <c r="A2607" s="8">
        <v>5</v>
      </c>
      <c r="B2607" t="s" s="9">
        <v>35</v>
      </c>
      <c r="C2607" t="s" s="9">
        <v>61</v>
      </c>
      <c r="D2607" t="s" s="9">
        <v>52</v>
      </c>
      <c r="E2607" t="s" s="9">
        <v>71</v>
      </c>
      <c r="F2607" s="10">
        <v>1047</v>
      </c>
      <c r="G2607" s="14"/>
      <c r="H2607" s="15"/>
    </row>
    <row r="2608" ht="13.65" customHeight="1">
      <c r="A2608" s="8">
        <v>6</v>
      </c>
      <c r="B2608" t="s" s="9">
        <v>36</v>
      </c>
      <c r="C2608" t="s" s="9">
        <v>61</v>
      </c>
      <c r="D2608" t="s" s="9">
        <v>52</v>
      </c>
      <c r="E2608" t="s" s="9">
        <v>71</v>
      </c>
      <c r="F2608" s="10">
        <v>1113</v>
      </c>
      <c r="G2608" s="14"/>
      <c r="H2608" s="15"/>
    </row>
    <row r="2609" ht="13.65" customHeight="1">
      <c r="A2609" s="8">
        <v>7</v>
      </c>
      <c r="B2609" t="s" s="9">
        <v>39</v>
      </c>
      <c r="C2609" t="s" s="9">
        <v>61</v>
      </c>
      <c r="D2609" t="s" s="9">
        <v>52</v>
      </c>
      <c r="E2609" t="s" s="9">
        <v>71</v>
      </c>
      <c r="F2609" s="10">
        <v>852</v>
      </c>
      <c r="G2609" s="14"/>
      <c r="H2609" s="15"/>
    </row>
    <row r="2610" ht="13.65" customHeight="1">
      <c r="A2610" s="8">
        <v>8</v>
      </c>
      <c r="B2610" t="s" s="9">
        <v>40</v>
      </c>
      <c r="C2610" t="s" s="9">
        <v>61</v>
      </c>
      <c r="D2610" t="s" s="9">
        <v>52</v>
      </c>
      <c r="E2610" t="s" s="9">
        <v>71</v>
      </c>
      <c r="F2610" s="10">
        <v>594</v>
      </c>
      <c r="G2610" s="14"/>
      <c r="H2610" s="15"/>
    </row>
    <row r="2611" ht="13.65" customHeight="1">
      <c r="A2611" s="8">
        <v>9</v>
      </c>
      <c r="B2611" t="s" s="9">
        <v>45</v>
      </c>
      <c r="C2611" t="s" s="9">
        <v>61</v>
      </c>
      <c r="D2611" t="s" s="9">
        <v>52</v>
      </c>
      <c r="E2611" t="s" s="9">
        <v>71</v>
      </c>
      <c r="F2611" s="10">
        <v>417</v>
      </c>
      <c r="G2611" s="14"/>
      <c r="H2611" s="15"/>
    </row>
    <row r="2612" ht="13.65" customHeight="1">
      <c r="A2612" s="8">
        <v>10</v>
      </c>
      <c r="B2612" t="s" s="9">
        <v>45</v>
      </c>
      <c r="C2612" t="s" s="9">
        <v>61</v>
      </c>
      <c r="D2612" t="s" s="9">
        <v>52</v>
      </c>
      <c r="E2612" t="s" s="9">
        <v>71</v>
      </c>
      <c r="F2612" s="10">
        <v>416</v>
      </c>
      <c r="G2612" s="16"/>
      <c r="H2612" s="17"/>
    </row>
    <row r="2613" ht="13" customHeight="1">
      <c r="A2613" s="8">
        <v>1</v>
      </c>
      <c r="B2613" t="s" s="9">
        <v>41</v>
      </c>
      <c r="C2613" t="s" s="9">
        <v>61</v>
      </c>
      <c r="D2613" t="s" s="9">
        <v>53</v>
      </c>
      <c r="E2613" t="s" s="9">
        <v>71</v>
      </c>
      <c r="F2613" s="10">
        <v>2982</v>
      </c>
      <c r="G2613" s="10">
        <v>5049226</v>
      </c>
      <c r="H2613" s="11" cm="1">
        <f t="array" ref="H2613">F2613/G2613*100000</f>
        <v>59.0585566976008</v>
      </c>
    </row>
    <row r="2614" ht="13" customHeight="1">
      <c r="A2614" s="8">
        <v>2</v>
      </c>
      <c r="B2614" t="s" s="9">
        <v>30</v>
      </c>
      <c r="C2614" t="s" s="9">
        <v>61</v>
      </c>
      <c r="D2614" t="s" s="9">
        <v>53</v>
      </c>
      <c r="E2614" t="s" s="9">
        <v>71</v>
      </c>
      <c r="F2614" s="10">
        <v>572</v>
      </c>
      <c r="G2614" s="10">
        <v>5049226</v>
      </c>
      <c r="H2614" s="11" cm="1">
        <f t="array" ref="H2614">F2614/G2614*100000</f>
        <v>11.3284689574204</v>
      </c>
    </row>
    <row r="2615" ht="13" customHeight="1">
      <c r="A2615" s="8">
        <v>3</v>
      </c>
      <c r="B2615" t="s" s="9">
        <v>30</v>
      </c>
      <c r="C2615" t="s" s="9">
        <v>61</v>
      </c>
      <c r="D2615" t="s" s="9">
        <v>53</v>
      </c>
      <c r="E2615" t="s" s="9">
        <v>71</v>
      </c>
      <c r="F2615" s="10">
        <v>405</v>
      </c>
      <c r="G2615" s="10">
        <v>5049226</v>
      </c>
      <c r="H2615" s="11" cm="1">
        <f t="array" ref="H2615">F2615/G2615*100000</f>
        <v>8.021031342229479</v>
      </c>
    </row>
    <row r="2616" ht="13" customHeight="1">
      <c r="A2616" s="8">
        <v>4</v>
      </c>
      <c r="B2616" t="s" s="9">
        <v>37</v>
      </c>
      <c r="C2616" t="s" s="9">
        <v>61</v>
      </c>
      <c r="D2616" t="s" s="9">
        <v>53</v>
      </c>
      <c r="E2616" t="s" s="9">
        <v>71</v>
      </c>
      <c r="F2616" s="10">
        <v>329</v>
      </c>
      <c r="G2616" s="10">
        <v>5049226</v>
      </c>
      <c r="H2616" s="11" cm="1">
        <f t="array" ref="H2616">F2616/G2616*100000</f>
        <v>6.51585015208272</v>
      </c>
    </row>
    <row r="2617" ht="13" customHeight="1">
      <c r="A2617" s="8">
        <v>5</v>
      </c>
      <c r="B2617" t="s" s="9">
        <v>30</v>
      </c>
      <c r="C2617" t="s" s="9">
        <v>61</v>
      </c>
      <c r="D2617" t="s" s="9">
        <v>53</v>
      </c>
      <c r="E2617" t="s" s="9">
        <v>71</v>
      </c>
      <c r="F2617" s="10">
        <v>247</v>
      </c>
      <c r="G2617" s="10">
        <v>5049226</v>
      </c>
      <c r="H2617" s="11" cm="1">
        <f t="array" ref="H2617">F2617/G2617*100000</f>
        <v>4.89183886797699</v>
      </c>
    </row>
    <row r="2618" ht="13" customHeight="1">
      <c r="A2618" s="8">
        <v>6</v>
      </c>
      <c r="B2618" t="s" s="9">
        <v>36</v>
      </c>
      <c r="C2618" t="s" s="9">
        <v>61</v>
      </c>
      <c r="D2618" t="s" s="9">
        <v>53</v>
      </c>
      <c r="E2618" t="s" s="9">
        <v>71</v>
      </c>
      <c r="F2618" s="10">
        <v>187</v>
      </c>
      <c r="G2618" s="10">
        <v>5049226</v>
      </c>
      <c r="H2618" s="11" cm="1">
        <f t="array" ref="H2618">F2618/G2618*100000</f>
        <v>3.70353792838744</v>
      </c>
    </row>
    <row r="2619" ht="13" customHeight="1">
      <c r="A2619" s="8">
        <v>7</v>
      </c>
      <c r="B2619" t="s" s="9">
        <v>45</v>
      </c>
      <c r="C2619" t="s" s="9">
        <v>61</v>
      </c>
      <c r="D2619" t="s" s="9">
        <v>53</v>
      </c>
      <c r="E2619" t="s" s="9">
        <v>71</v>
      </c>
      <c r="F2619" s="10">
        <v>121</v>
      </c>
      <c r="G2619" s="10">
        <v>5049226</v>
      </c>
      <c r="H2619" s="11" cm="1">
        <f t="array" ref="H2619">F2619/G2619*100000</f>
        <v>2.39640689483893</v>
      </c>
    </row>
    <row r="2620" ht="13" customHeight="1">
      <c r="A2620" s="8">
        <v>8</v>
      </c>
      <c r="B2620" t="s" s="9">
        <v>34</v>
      </c>
      <c r="C2620" t="s" s="9">
        <v>61</v>
      </c>
      <c r="D2620" t="s" s="9">
        <v>53</v>
      </c>
      <c r="E2620" t="s" s="9">
        <v>71</v>
      </c>
      <c r="F2620" s="10">
        <v>129</v>
      </c>
      <c r="G2620" s="10">
        <v>5049226</v>
      </c>
      <c r="H2620" s="11" cm="1">
        <f t="array" ref="H2620">F2620/G2620*100000</f>
        <v>2.55484702011754</v>
      </c>
    </row>
    <row r="2621" ht="13" customHeight="1">
      <c r="A2621" s="8">
        <v>9</v>
      </c>
      <c r="B2621" t="s" s="9">
        <v>34</v>
      </c>
      <c r="C2621" t="s" s="9">
        <v>61</v>
      </c>
      <c r="D2621" t="s" s="9">
        <v>53</v>
      </c>
      <c r="E2621" t="s" s="9">
        <v>71</v>
      </c>
      <c r="F2621" s="10">
        <v>101</v>
      </c>
      <c r="G2621" s="10">
        <v>5049226</v>
      </c>
      <c r="H2621" s="11" cm="1">
        <f t="array" ref="H2621">F2621/G2621*100000</f>
        <v>2.00030658164241</v>
      </c>
    </row>
    <row r="2622" ht="13" customHeight="1">
      <c r="A2622" s="8">
        <v>10</v>
      </c>
      <c r="B2622" t="s" s="9">
        <v>41</v>
      </c>
      <c r="C2622" t="s" s="9">
        <v>61</v>
      </c>
      <c r="D2622" t="s" s="9">
        <v>53</v>
      </c>
      <c r="E2622" t="s" s="9">
        <v>71</v>
      </c>
      <c r="F2622" s="10">
        <v>68</v>
      </c>
      <c r="G2622" s="10">
        <v>5049226</v>
      </c>
      <c r="H2622" s="11" cm="1">
        <f t="array" ref="H2622">F2622/G2622*100000</f>
        <v>1.34674106486816</v>
      </c>
    </row>
    <row r="2623" ht="13" customHeight="1">
      <c r="A2623" s="8">
        <v>1</v>
      </c>
      <c r="B2623" t="s" s="9">
        <v>30</v>
      </c>
      <c r="C2623" t="s" s="9">
        <v>61</v>
      </c>
      <c r="D2623" t="s" s="9">
        <v>54</v>
      </c>
      <c r="E2623" t="s" s="9">
        <v>71</v>
      </c>
      <c r="F2623" s="10">
        <v>3369</v>
      </c>
      <c r="G2623" s="10">
        <v>3901529</v>
      </c>
      <c r="H2623" s="11" cm="1">
        <f t="array" ref="H2623">F2623/G2623*100000</f>
        <v>86.3507614578797</v>
      </c>
    </row>
    <row r="2624" ht="13" customHeight="1">
      <c r="A2624" s="8">
        <v>2</v>
      </c>
      <c r="B2624" t="s" s="9">
        <v>35</v>
      </c>
      <c r="C2624" t="s" s="9">
        <v>61</v>
      </c>
      <c r="D2624" t="s" s="9">
        <v>54</v>
      </c>
      <c r="E2624" t="s" s="9">
        <v>71</v>
      </c>
      <c r="F2624" s="10">
        <v>1481</v>
      </c>
      <c r="G2624" s="10">
        <v>3901529</v>
      </c>
      <c r="H2624" s="11" cm="1">
        <f t="array" ref="H2624">F2624/G2624*100000</f>
        <v>37.9594769127693</v>
      </c>
    </row>
    <row r="2625" ht="13" customHeight="1">
      <c r="A2625" s="8">
        <v>3</v>
      </c>
      <c r="B2625" t="s" s="9">
        <v>34</v>
      </c>
      <c r="C2625" t="s" s="9">
        <v>61</v>
      </c>
      <c r="D2625" t="s" s="9">
        <v>54</v>
      </c>
      <c r="E2625" t="s" s="9">
        <v>71</v>
      </c>
      <c r="F2625" s="10">
        <v>1607</v>
      </c>
      <c r="G2625" s="10">
        <v>3901529</v>
      </c>
      <c r="H2625" s="11" cm="1">
        <f t="array" ref="H2625">F2625/G2625*100000</f>
        <v>41.1889800127078</v>
      </c>
    </row>
    <row r="2626" ht="13" customHeight="1">
      <c r="A2626" s="8">
        <v>4</v>
      </c>
      <c r="B2626" t="s" s="9">
        <v>30</v>
      </c>
      <c r="C2626" t="s" s="9">
        <v>61</v>
      </c>
      <c r="D2626" t="s" s="9">
        <v>54</v>
      </c>
      <c r="E2626" t="s" s="9">
        <v>71</v>
      </c>
      <c r="F2626" s="10">
        <v>1241</v>
      </c>
      <c r="G2626" s="10">
        <v>3901529</v>
      </c>
      <c r="H2626" s="11" cm="1">
        <f t="array" ref="H2626">F2626/G2626*100000</f>
        <v>31.808042436696</v>
      </c>
    </row>
    <row r="2627" ht="13" customHeight="1">
      <c r="A2627" s="8">
        <v>5</v>
      </c>
      <c r="B2627" t="s" s="9">
        <v>30</v>
      </c>
      <c r="C2627" t="s" s="9">
        <v>61</v>
      </c>
      <c r="D2627" t="s" s="9">
        <v>54</v>
      </c>
      <c r="E2627" t="s" s="9">
        <v>71</v>
      </c>
      <c r="F2627" s="10">
        <v>968</v>
      </c>
      <c r="G2627" s="10">
        <v>3901529</v>
      </c>
      <c r="H2627" s="11" cm="1">
        <f t="array" ref="H2627">F2627/G2627*100000</f>
        <v>24.8107857201625</v>
      </c>
    </row>
    <row r="2628" ht="13" customHeight="1">
      <c r="A2628" s="8">
        <v>6</v>
      </c>
      <c r="B2628" t="s" s="9">
        <v>30</v>
      </c>
      <c r="C2628" t="s" s="9">
        <v>61</v>
      </c>
      <c r="D2628" t="s" s="9">
        <v>54</v>
      </c>
      <c r="E2628" t="s" s="9">
        <v>71</v>
      </c>
      <c r="F2628" s="10">
        <v>565</v>
      </c>
      <c r="G2628" s="10">
        <v>3901529</v>
      </c>
      <c r="H2628" s="11" cm="1">
        <f t="array" ref="H2628">F2628/G2628*100000</f>
        <v>14.481501995756</v>
      </c>
    </row>
    <row r="2629" ht="13" customHeight="1">
      <c r="A2629" s="8">
        <v>7</v>
      </c>
      <c r="B2629" t="s" s="9">
        <v>37</v>
      </c>
      <c r="C2629" t="s" s="9">
        <v>61</v>
      </c>
      <c r="D2629" t="s" s="9">
        <v>54</v>
      </c>
      <c r="E2629" t="s" s="9">
        <v>71</v>
      </c>
      <c r="F2629" s="10">
        <v>622</v>
      </c>
      <c r="G2629" s="10">
        <v>3901529</v>
      </c>
      <c r="H2629" s="11" cm="1">
        <f t="array" ref="H2629">F2629/G2629*100000</f>
        <v>15.9424676838234</v>
      </c>
    </row>
    <row r="2630" ht="13" customHeight="1">
      <c r="A2630" s="8">
        <v>8</v>
      </c>
      <c r="B2630" t="s" s="9">
        <v>30</v>
      </c>
      <c r="C2630" t="s" s="9">
        <v>61</v>
      </c>
      <c r="D2630" t="s" s="9">
        <v>54</v>
      </c>
      <c r="E2630" t="s" s="9">
        <v>71</v>
      </c>
      <c r="F2630" s="10">
        <v>482</v>
      </c>
      <c r="G2630" s="10">
        <v>3901529</v>
      </c>
      <c r="H2630" s="11" cm="1">
        <f t="array" ref="H2630">F2630/G2630*100000</f>
        <v>12.354130906114</v>
      </c>
    </row>
    <row r="2631" ht="13" customHeight="1">
      <c r="A2631" s="8">
        <v>9</v>
      </c>
      <c r="B2631" t="s" s="9">
        <v>39</v>
      </c>
      <c r="C2631" t="s" s="9">
        <v>61</v>
      </c>
      <c r="D2631" t="s" s="9">
        <v>54</v>
      </c>
      <c r="E2631" t="s" s="9">
        <v>71</v>
      </c>
      <c r="F2631" s="10">
        <v>569</v>
      </c>
      <c r="G2631" s="10">
        <v>3901529</v>
      </c>
      <c r="H2631" s="11" cm="1">
        <f t="array" ref="H2631">F2631/G2631*100000</f>
        <v>14.5840259036906</v>
      </c>
    </row>
    <row r="2632" ht="13" customHeight="1">
      <c r="A2632" s="8">
        <v>10</v>
      </c>
      <c r="B2632" t="s" s="9">
        <v>30</v>
      </c>
      <c r="C2632" t="s" s="9">
        <v>61</v>
      </c>
      <c r="D2632" t="s" s="9">
        <v>54</v>
      </c>
      <c r="E2632" t="s" s="9">
        <v>71</v>
      </c>
      <c r="F2632" s="10">
        <v>264</v>
      </c>
      <c r="G2632" s="10">
        <v>3901529</v>
      </c>
      <c r="H2632" s="11" cm="1">
        <f t="array" ref="H2632">F2632/G2632*100000</f>
        <v>6.76657792368069</v>
      </c>
    </row>
    <row r="2633" ht="13" customHeight="1">
      <c r="A2633" s="8">
        <v>1</v>
      </c>
      <c r="B2633" t="s" s="9">
        <v>30</v>
      </c>
      <c r="C2633" t="s" s="9">
        <v>61</v>
      </c>
      <c r="D2633" t="s" s="9">
        <v>55</v>
      </c>
      <c r="E2633" t="s" s="9">
        <v>71</v>
      </c>
      <c r="F2633" s="10">
        <v>2801</v>
      </c>
      <c r="G2633" s="10">
        <v>5273604</v>
      </c>
      <c r="H2633" s="11" cm="1">
        <f t="array" ref="H2633">F2633/G2633*100000</f>
        <v>53.1135822864212</v>
      </c>
    </row>
    <row r="2634" ht="13" customHeight="1">
      <c r="A2634" s="8">
        <v>2</v>
      </c>
      <c r="B2634" t="s" s="9">
        <v>35</v>
      </c>
      <c r="C2634" t="s" s="9">
        <v>61</v>
      </c>
      <c r="D2634" t="s" s="9">
        <v>55</v>
      </c>
      <c r="E2634" t="s" s="9">
        <v>71</v>
      </c>
      <c r="F2634" s="10">
        <v>1510</v>
      </c>
      <c r="G2634" s="10">
        <v>5273604</v>
      </c>
      <c r="H2634" s="11" cm="1">
        <f t="array" ref="H2634">F2634/G2634*100000</f>
        <v>28.6331700294523</v>
      </c>
    </row>
    <row r="2635" ht="13" customHeight="1">
      <c r="A2635" s="8">
        <v>3</v>
      </c>
      <c r="B2635" t="s" s="9">
        <v>34</v>
      </c>
      <c r="C2635" t="s" s="9">
        <v>61</v>
      </c>
      <c r="D2635" t="s" s="9">
        <v>55</v>
      </c>
      <c r="E2635" t="s" s="9">
        <v>71</v>
      </c>
      <c r="F2635" s="10">
        <v>1691</v>
      </c>
      <c r="G2635" s="10">
        <v>5273604</v>
      </c>
      <c r="H2635" s="11" cm="1">
        <f t="array" ref="H2635">F2635/G2635*100000</f>
        <v>32.065357960135</v>
      </c>
    </row>
    <row r="2636" ht="13" customHeight="1">
      <c r="A2636" s="8">
        <v>4</v>
      </c>
      <c r="B2636" t="s" s="9">
        <v>30</v>
      </c>
      <c r="C2636" t="s" s="9">
        <v>61</v>
      </c>
      <c r="D2636" t="s" s="9">
        <v>55</v>
      </c>
      <c r="E2636" t="s" s="9">
        <v>71</v>
      </c>
      <c r="F2636" s="10">
        <v>1254</v>
      </c>
      <c r="G2636" s="10">
        <v>5273604</v>
      </c>
      <c r="H2636" s="11" cm="1">
        <f t="array" ref="H2636">F2636/G2636*100000</f>
        <v>23.778804779426</v>
      </c>
    </row>
    <row r="2637" ht="13" customHeight="1">
      <c r="A2637" s="8">
        <v>5</v>
      </c>
      <c r="B2637" t="s" s="9">
        <v>30</v>
      </c>
      <c r="C2637" t="s" s="9">
        <v>61</v>
      </c>
      <c r="D2637" t="s" s="9">
        <v>55</v>
      </c>
      <c r="E2637" t="s" s="9">
        <v>71</v>
      </c>
      <c r="F2637" s="10">
        <v>825</v>
      </c>
      <c r="G2637" s="10">
        <v>5273604</v>
      </c>
      <c r="H2637" s="11" cm="1">
        <f t="array" ref="H2637">F2637/G2637*100000</f>
        <v>15.6439505127803</v>
      </c>
    </row>
    <row r="2638" ht="13" customHeight="1">
      <c r="A2638" s="8">
        <v>6</v>
      </c>
      <c r="B2638" t="s" s="9">
        <v>30</v>
      </c>
      <c r="C2638" t="s" s="9">
        <v>61</v>
      </c>
      <c r="D2638" t="s" s="9">
        <v>55</v>
      </c>
      <c r="E2638" t="s" s="9">
        <v>71</v>
      </c>
      <c r="F2638" s="10">
        <v>602</v>
      </c>
      <c r="G2638" s="10">
        <v>5273604</v>
      </c>
      <c r="H2638" s="11" cm="1">
        <f t="array" ref="H2638">F2638/G2638*100000</f>
        <v>11.4153432832651</v>
      </c>
    </row>
    <row r="2639" ht="13" customHeight="1">
      <c r="A2639" s="8">
        <v>7</v>
      </c>
      <c r="B2639" t="s" s="9">
        <v>45</v>
      </c>
      <c r="C2639" t="s" s="9">
        <v>61</v>
      </c>
      <c r="D2639" t="s" s="9">
        <v>55</v>
      </c>
      <c r="E2639" t="s" s="9">
        <v>71</v>
      </c>
      <c r="F2639" s="10">
        <v>520</v>
      </c>
      <c r="G2639" s="10">
        <v>5273604</v>
      </c>
      <c r="H2639" s="11" cm="1">
        <f t="array" ref="H2639">F2639/G2639*100000</f>
        <v>9.860429414116039</v>
      </c>
    </row>
    <row r="2640" ht="13" customHeight="1">
      <c r="A2640" s="8">
        <v>8</v>
      </c>
      <c r="B2640" t="s" s="9">
        <v>30</v>
      </c>
      <c r="C2640" t="s" s="9">
        <v>61</v>
      </c>
      <c r="D2640" t="s" s="9">
        <v>55</v>
      </c>
      <c r="E2640" t="s" s="9">
        <v>71</v>
      </c>
      <c r="F2640" s="10">
        <v>504</v>
      </c>
      <c r="G2640" s="10">
        <v>5273604</v>
      </c>
      <c r="H2640" s="11" cm="1">
        <f t="array" ref="H2640">F2640/G2640*100000</f>
        <v>9.557031585989391</v>
      </c>
    </row>
    <row r="2641" ht="13" customHeight="1">
      <c r="A2641" s="8">
        <v>9</v>
      </c>
      <c r="B2641" t="s" s="9">
        <v>45</v>
      </c>
      <c r="C2641" t="s" s="9">
        <v>61</v>
      </c>
      <c r="D2641" t="s" s="9">
        <v>55</v>
      </c>
      <c r="E2641" t="s" s="9">
        <v>71</v>
      </c>
      <c r="F2641" s="10">
        <v>412</v>
      </c>
      <c r="G2641" s="10">
        <v>5273604</v>
      </c>
      <c r="H2641" s="11" cm="1">
        <f t="array" ref="H2641">F2641/G2641*100000</f>
        <v>7.81249407426117</v>
      </c>
    </row>
    <row r="2642" ht="13" customHeight="1">
      <c r="A2642" s="8">
        <v>10</v>
      </c>
      <c r="B2642" t="s" s="9">
        <v>39</v>
      </c>
      <c r="C2642" t="s" s="9">
        <v>61</v>
      </c>
      <c r="D2642" t="s" s="9">
        <v>55</v>
      </c>
      <c r="E2642" t="s" s="9">
        <v>71</v>
      </c>
      <c r="F2642" s="10">
        <v>522</v>
      </c>
      <c r="G2642" s="10">
        <v>5273604</v>
      </c>
      <c r="H2642" s="11" cm="1">
        <f t="array" ref="H2642">F2642/G2642*100000</f>
        <v>9.89835414263187</v>
      </c>
    </row>
    <row r="2643" ht="13" customHeight="1">
      <c r="A2643" s="8">
        <v>1</v>
      </c>
      <c r="B2643" t="s" s="9">
        <v>30</v>
      </c>
      <c r="C2643" t="s" s="9">
        <v>61</v>
      </c>
      <c r="D2643" t="s" s="9">
        <v>56</v>
      </c>
      <c r="E2643" t="s" s="9">
        <v>71</v>
      </c>
      <c r="F2643" s="10">
        <v>7126</v>
      </c>
      <c r="G2643" s="10">
        <v>5691183</v>
      </c>
      <c r="H2643" s="11" cm="1">
        <f t="array" ref="H2643">F2643/G2643*100000</f>
        <v>125.211225855855</v>
      </c>
    </row>
    <row r="2644" ht="13" customHeight="1">
      <c r="A2644" s="8">
        <v>2</v>
      </c>
      <c r="B2644" t="s" s="9">
        <v>35</v>
      </c>
      <c r="C2644" t="s" s="9">
        <v>61</v>
      </c>
      <c r="D2644" t="s" s="9">
        <v>56</v>
      </c>
      <c r="E2644" t="s" s="9">
        <v>71</v>
      </c>
      <c r="F2644" s="10">
        <v>4500</v>
      </c>
      <c r="G2644" s="10">
        <v>5691183</v>
      </c>
      <c r="H2644" s="11" cm="1">
        <f t="array" ref="H2644">F2644/G2644*100000</f>
        <v>79.0696767262624</v>
      </c>
    </row>
    <row r="2645" ht="13" customHeight="1">
      <c r="A2645" s="8">
        <v>3</v>
      </c>
      <c r="B2645" t="s" s="9">
        <v>34</v>
      </c>
      <c r="C2645" t="s" s="9">
        <v>61</v>
      </c>
      <c r="D2645" t="s" s="9">
        <v>56</v>
      </c>
      <c r="E2645" t="s" s="9">
        <v>71</v>
      </c>
      <c r="F2645" s="10">
        <v>3745</v>
      </c>
      <c r="G2645" s="10">
        <v>5691183</v>
      </c>
      <c r="H2645" s="11" cm="1">
        <f t="array" ref="H2645">F2645/G2645*100000</f>
        <v>65.8035420755228</v>
      </c>
    </row>
    <row r="2646" ht="13" customHeight="1">
      <c r="A2646" s="8">
        <v>4</v>
      </c>
      <c r="B2646" t="s" s="9">
        <v>30</v>
      </c>
      <c r="C2646" t="s" s="9">
        <v>61</v>
      </c>
      <c r="D2646" t="s" s="9">
        <v>56</v>
      </c>
      <c r="E2646" t="s" s="9">
        <v>71</v>
      </c>
      <c r="F2646" s="10">
        <v>1387</v>
      </c>
      <c r="G2646" s="10">
        <v>5691183</v>
      </c>
      <c r="H2646" s="11" cm="1">
        <f t="array" ref="H2646">F2646/G2646*100000</f>
        <v>24.3710314709613</v>
      </c>
    </row>
    <row r="2647" ht="13" customHeight="1">
      <c r="A2647" s="8">
        <v>5</v>
      </c>
      <c r="B2647" t="s" s="9">
        <v>30</v>
      </c>
      <c r="C2647" t="s" s="9">
        <v>61</v>
      </c>
      <c r="D2647" t="s" s="9">
        <v>56</v>
      </c>
      <c r="E2647" t="s" s="9">
        <v>71</v>
      </c>
      <c r="F2647" s="10">
        <v>1385</v>
      </c>
      <c r="G2647" s="10">
        <v>5691183</v>
      </c>
      <c r="H2647" s="11" cm="1">
        <f t="array" ref="H2647">F2647/G2647*100000</f>
        <v>24.3358893924163</v>
      </c>
    </row>
    <row r="2648" ht="13" customHeight="1">
      <c r="A2648" s="8">
        <v>6</v>
      </c>
      <c r="B2648" t="s" s="9">
        <v>37</v>
      </c>
      <c r="C2648" t="s" s="9">
        <v>61</v>
      </c>
      <c r="D2648" t="s" s="9">
        <v>56</v>
      </c>
      <c r="E2648" t="s" s="9">
        <v>71</v>
      </c>
      <c r="F2648" s="10">
        <v>1159</v>
      </c>
      <c r="G2648" s="10">
        <v>5691183</v>
      </c>
      <c r="H2648" s="11" cm="1">
        <f t="array" ref="H2648">F2648/G2648*100000</f>
        <v>20.3648345168307</v>
      </c>
    </row>
    <row r="2649" ht="13" customHeight="1">
      <c r="A2649" s="8">
        <v>7</v>
      </c>
      <c r="B2649" t="s" s="9">
        <v>39</v>
      </c>
      <c r="C2649" t="s" s="9">
        <v>61</v>
      </c>
      <c r="D2649" t="s" s="9">
        <v>56</v>
      </c>
      <c r="E2649" t="s" s="9">
        <v>71</v>
      </c>
      <c r="F2649" s="10">
        <v>1018</v>
      </c>
      <c r="G2649" s="10">
        <v>5691183</v>
      </c>
      <c r="H2649" s="11" cm="1">
        <f t="array" ref="H2649">F2649/G2649*100000</f>
        <v>17.8873179794078</v>
      </c>
    </row>
    <row r="2650" ht="13" customHeight="1">
      <c r="A2650" s="8">
        <v>8</v>
      </c>
      <c r="B2650" t="s" s="9">
        <v>45</v>
      </c>
      <c r="C2650" t="s" s="9">
        <v>61</v>
      </c>
      <c r="D2650" t="s" s="9">
        <v>56</v>
      </c>
      <c r="E2650" t="s" s="9">
        <v>71</v>
      </c>
      <c r="F2650" s="10">
        <v>708</v>
      </c>
      <c r="G2650" s="10">
        <v>5691183</v>
      </c>
      <c r="H2650" s="11" cm="1">
        <f t="array" ref="H2650">F2650/G2650*100000</f>
        <v>12.4402958049319</v>
      </c>
    </row>
    <row r="2651" ht="13" customHeight="1">
      <c r="A2651" s="8">
        <v>9</v>
      </c>
      <c r="B2651" t="s" s="9">
        <v>30</v>
      </c>
      <c r="C2651" t="s" s="9">
        <v>61</v>
      </c>
      <c r="D2651" t="s" s="9">
        <v>56</v>
      </c>
      <c r="E2651" t="s" s="9">
        <v>71</v>
      </c>
      <c r="F2651" s="10">
        <v>739</v>
      </c>
      <c r="G2651" s="10">
        <v>5691183</v>
      </c>
      <c r="H2651" s="11" cm="1">
        <f t="array" ref="H2651">F2651/G2651*100000</f>
        <v>12.9849980223795</v>
      </c>
    </row>
    <row r="2652" ht="13" customHeight="1">
      <c r="A2652" s="8">
        <v>10</v>
      </c>
      <c r="B2652" t="s" s="9">
        <v>30</v>
      </c>
      <c r="C2652" t="s" s="9">
        <v>61</v>
      </c>
      <c r="D2652" t="s" s="9">
        <v>56</v>
      </c>
      <c r="E2652" t="s" s="9">
        <v>71</v>
      </c>
      <c r="F2652" s="10">
        <v>732</v>
      </c>
      <c r="G2652" s="10">
        <v>5691183</v>
      </c>
      <c r="H2652" s="11" cm="1">
        <f t="array" ref="H2652">F2652/G2652*100000</f>
        <v>12.862000747472</v>
      </c>
    </row>
    <row r="2653" ht="13" customHeight="1">
      <c r="A2653" s="8">
        <v>1</v>
      </c>
      <c r="B2653" t="s" s="9">
        <v>30</v>
      </c>
      <c r="C2653" t="s" s="9">
        <v>61</v>
      </c>
      <c r="D2653" t="s" s="9">
        <v>57</v>
      </c>
      <c r="E2653" t="s" s="9">
        <v>71</v>
      </c>
      <c r="F2653" s="10">
        <v>3648</v>
      </c>
      <c r="G2653" s="10">
        <v>5214931</v>
      </c>
      <c r="H2653" s="11" cm="1">
        <f t="array" ref="H2653">F2653/G2653*100000</f>
        <v>69.9529869139208</v>
      </c>
    </row>
    <row r="2654" ht="13" customHeight="1">
      <c r="A2654" s="8">
        <v>2</v>
      </c>
      <c r="B2654" t="s" s="9">
        <v>35</v>
      </c>
      <c r="C2654" t="s" s="9">
        <v>61</v>
      </c>
      <c r="D2654" t="s" s="9">
        <v>57</v>
      </c>
      <c r="E2654" t="s" s="9">
        <v>71</v>
      </c>
      <c r="F2654" s="10">
        <v>2367</v>
      </c>
      <c r="G2654" s="10">
        <v>5214931</v>
      </c>
      <c r="H2654" s="11" cm="1">
        <f t="array" ref="H2654">F2654/G2654*100000</f>
        <v>45.3889035156937</v>
      </c>
    </row>
    <row r="2655" ht="13" customHeight="1">
      <c r="A2655" s="8">
        <v>3</v>
      </c>
      <c r="B2655" t="s" s="9">
        <v>34</v>
      </c>
      <c r="C2655" t="s" s="9">
        <v>61</v>
      </c>
      <c r="D2655" t="s" s="9">
        <v>57</v>
      </c>
      <c r="E2655" t="s" s="9">
        <v>71</v>
      </c>
      <c r="F2655" s="10">
        <v>1987</v>
      </c>
      <c r="G2655" s="10">
        <v>5214931</v>
      </c>
      <c r="H2655" s="11" cm="1">
        <f t="array" ref="H2655">F2655/G2655*100000</f>
        <v>38.1021340454936</v>
      </c>
    </row>
    <row r="2656" ht="13" customHeight="1">
      <c r="A2656" s="8">
        <v>4</v>
      </c>
      <c r="B2656" t="s" s="9">
        <v>30</v>
      </c>
      <c r="C2656" t="s" s="9">
        <v>61</v>
      </c>
      <c r="D2656" t="s" s="9">
        <v>57</v>
      </c>
      <c r="E2656" t="s" s="9">
        <v>71</v>
      </c>
      <c r="F2656" s="10">
        <v>1034</v>
      </c>
      <c r="G2656" s="10">
        <v>5214931</v>
      </c>
      <c r="H2656" s="11" cm="1">
        <f t="array" ref="H2656">F2656/G2656*100000</f>
        <v>19.8276832425971</v>
      </c>
    </row>
    <row r="2657" ht="13" customHeight="1">
      <c r="A2657" s="8">
        <v>5</v>
      </c>
      <c r="B2657" t="s" s="9">
        <v>30</v>
      </c>
      <c r="C2657" t="s" s="9">
        <v>61</v>
      </c>
      <c r="D2657" t="s" s="9">
        <v>57</v>
      </c>
      <c r="E2657" t="s" s="9">
        <v>71</v>
      </c>
      <c r="F2657" s="10">
        <v>811</v>
      </c>
      <c r="G2657" s="10">
        <v>5214931</v>
      </c>
      <c r="H2657" s="11" cm="1">
        <f t="array" ref="H2657">F2657/G2657*100000</f>
        <v>15.5515001061376</v>
      </c>
    </row>
    <row r="2658" ht="13" customHeight="1">
      <c r="A2658" s="8">
        <v>6</v>
      </c>
      <c r="B2658" t="s" s="9">
        <v>37</v>
      </c>
      <c r="C2658" t="s" s="9">
        <v>61</v>
      </c>
      <c r="D2658" t="s" s="9">
        <v>57</v>
      </c>
      <c r="E2658" t="s" s="9">
        <v>71</v>
      </c>
      <c r="F2658" s="10">
        <v>765</v>
      </c>
      <c r="G2658" s="10">
        <v>5214931</v>
      </c>
      <c r="H2658" s="11" cm="1">
        <f t="array" ref="H2658">F2658/G2658*100000</f>
        <v>14.6694174860607</v>
      </c>
    </row>
    <row r="2659" ht="13" customHeight="1">
      <c r="A2659" s="8">
        <v>7</v>
      </c>
      <c r="B2659" t="s" s="9">
        <v>30</v>
      </c>
      <c r="C2659" t="s" s="9">
        <v>61</v>
      </c>
      <c r="D2659" t="s" s="9">
        <v>57</v>
      </c>
      <c r="E2659" t="s" s="9">
        <v>71</v>
      </c>
      <c r="F2659" s="10">
        <v>609</v>
      </c>
      <c r="G2659" s="10">
        <v>5214931</v>
      </c>
      <c r="H2659" s="11" cm="1">
        <f t="array" ref="H2659">F2659/G2659*100000</f>
        <v>11.6780068614522</v>
      </c>
    </row>
    <row r="2660" ht="13" customHeight="1">
      <c r="A2660" s="8">
        <v>8</v>
      </c>
      <c r="B2660" t="s" s="9">
        <v>30</v>
      </c>
      <c r="C2660" t="s" s="9">
        <v>61</v>
      </c>
      <c r="D2660" t="s" s="9">
        <v>57</v>
      </c>
      <c r="E2660" t="s" s="9">
        <v>71</v>
      </c>
      <c r="F2660" s="10">
        <v>567</v>
      </c>
      <c r="G2660" s="10">
        <v>5214931</v>
      </c>
      <c r="H2660" s="11" cm="1">
        <f t="array" ref="H2660">F2660/G2660*100000</f>
        <v>10.8726270779038</v>
      </c>
    </row>
    <row r="2661" ht="13" customHeight="1">
      <c r="A2661" s="8">
        <v>9</v>
      </c>
      <c r="B2661" t="s" s="9">
        <v>45</v>
      </c>
      <c r="C2661" t="s" s="9">
        <v>61</v>
      </c>
      <c r="D2661" t="s" s="9">
        <v>57</v>
      </c>
      <c r="E2661" t="s" s="9">
        <v>71</v>
      </c>
      <c r="F2661" s="10">
        <v>412</v>
      </c>
      <c r="G2661" s="10">
        <v>5214931</v>
      </c>
      <c r="H2661" s="11" cm="1">
        <f t="array" ref="H2661">F2661/G2661*100000</f>
        <v>7.90039216242746</v>
      </c>
    </row>
    <row r="2662" ht="13" customHeight="1">
      <c r="A2662" s="8">
        <v>10</v>
      </c>
      <c r="B2662" t="s" s="9">
        <v>39</v>
      </c>
      <c r="C2662" t="s" s="9">
        <v>61</v>
      </c>
      <c r="D2662" t="s" s="9">
        <v>57</v>
      </c>
      <c r="E2662" t="s" s="9">
        <v>71</v>
      </c>
      <c r="F2662" s="10">
        <v>552</v>
      </c>
      <c r="G2662" s="10">
        <v>5214931</v>
      </c>
      <c r="H2662" s="11" cm="1">
        <f t="array" ref="H2662">F2662/G2662*100000</f>
        <v>10.5849914409222</v>
      </c>
    </row>
    <row r="2663" ht="13" customHeight="1">
      <c r="A2663" s="8">
        <v>1</v>
      </c>
      <c r="B2663" t="s" s="9">
        <v>30</v>
      </c>
      <c r="C2663" t="s" s="9">
        <v>61</v>
      </c>
      <c r="D2663" t="s" s="9">
        <v>20</v>
      </c>
      <c r="E2663" t="s" s="9">
        <v>71</v>
      </c>
      <c r="F2663" s="10">
        <v>2058</v>
      </c>
      <c r="G2663" s="10">
        <v>2889689</v>
      </c>
      <c r="H2663" s="11" cm="1">
        <f t="array" ref="H2663">F2663/G2663*100000</f>
        <v>71.2187366875813</v>
      </c>
    </row>
    <row r="2664" ht="13" customHeight="1">
      <c r="A2664" s="8">
        <v>2</v>
      </c>
      <c r="B2664" t="s" s="9">
        <v>35</v>
      </c>
      <c r="C2664" t="s" s="9">
        <v>61</v>
      </c>
      <c r="D2664" t="s" s="9">
        <v>20</v>
      </c>
      <c r="E2664" t="s" s="9">
        <v>71</v>
      </c>
      <c r="F2664" s="10">
        <v>1247</v>
      </c>
      <c r="G2664" s="10">
        <v>2889689</v>
      </c>
      <c r="H2664" s="11" cm="1">
        <f t="array" ref="H2664">F2664/G2664*100000</f>
        <v>43.1534327742536</v>
      </c>
    </row>
    <row r="2665" ht="13" customHeight="1">
      <c r="A2665" s="8">
        <v>3</v>
      </c>
      <c r="B2665" t="s" s="9">
        <v>34</v>
      </c>
      <c r="C2665" t="s" s="9">
        <v>61</v>
      </c>
      <c r="D2665" t="s" s="9">
        <v>20</v>
      </c>
      <c r="E2665" t="s" s="9">
        <v>71</v>
      </c>
      <c r="F2665" s="10">
        <v>1249</v>
      </c>
      <c r="G2665" s="10">
        <v>2889689</v>
      </c>
      <c r="H2665" s="11" cm="1">
        <f t="array" ref="H2665">F2665/G2665*100000</f>
        <v>43.222644374533</v>
      </c>
    </row>
    <row r="2666" ht="13" customHeight="1">
      <c r="A2666" s="8">
        <v>4</v>
      </c>
      <c r="B2666" t="s" s="9">
        <v>30</v>
      </c>
      <c r="C2666" t="s" s="9">
        <v>61</v>
      </c>
      <c r="D2666" t="s" s="9">
        <v>20</v>
      </c>
      <c r="E2666" t="s" s="9">
        <v>71</v>
      </c>
      <c r="F2666" s="10">
        <v>819</v>
      </c>
      <c r="G2666" s="10">
        <v>2889689</v>
      </c>
      <c r="H2666" s="11" cm="1">
        <f t="array" ref="H2666">F2666/G2666*100000</f>
        <v>28.3421503144456</v>
      </c>
    </row>
    <row r="2667" ht="13" customHeight="1">
      <c r="A2667" s="8">
        <v>5</v>
      </c>
      <c r="B2667" t="s" s="9">
        <v>30</v>
      </c>
      <c r="C2667" t="s" s="9">
        <v>61</v>
      </c>
      <c r="D2667" t="s" s="9">
        <v>20</v>
      </c>
      <c r="E2667" t="s" s="9">
        <v>71</v>
      </c>
      <c r="F2667" s="10">
        <v>610</v>
      </c>
      <c r="G2667" s="10">
        <v>2889689</v>
      </c>
      <c r="H2667" s="11" cm="1">
        <f t="array" ref="H2667">F2667/G2667*100000</f>
        <v>21.1095380852403</v>
      </c>
    </row>
    <row r="2668" ht="13" customHeight="1">
      <c r="A2668" s="8">
        <v>6</v>
      </c>
      <c r="B2668" t="s" s="9">
        <v>45</v>
      </c>
      <c r="C2668" t="s" s="9">
        <v>61</v>
      </c>
      <c r="D2668" t="s" s="9">
        <v>20</v>
      </c>
      <c r="E2668" t="s" s="9">
        <v>71</v>
      </c>
      <c r="F2668" s="10">
        <v>503</v>
      </c>
      <c r="G2668" s="10">
        <v>2889689</v>
      </c>
      <c r="H2668" s="11" cm="1">
        <f t="array" ref="H2668">F2668/G2668*100000</f>
        <v>17.4067174702883</v>
      </c>
    </row>
    <row r="2669" ht="13" customHeight="1">
      <c r="A2669" s="8">
        <v>7</v>
      </c>
      <c r="B2669" t="s" s="9">
        <v>37</v>
      </c>
      <c r="C2669" t="s" s="9">
        <v>61</v>
      </c>
      <c r="D2669" t="s" s="9">
        <v>20</v>
      </c>
      <c r="E2669" t="s" s="9">
        <v>71</v>
      </c>
      <c r="F2669" s="10">
        <v>453</v>
      </c>
      <c r="G2669" s="10">
        <v>2889689</v>
      </c>
      <c r="H2669" s="11" cm="1">
        <f t="array" ref="H2669">F2669/G2669*100000</f>
        <v>15.6764274633014</v>
      </c>
    </row>
    <row r="2670" ht="13" customHeight="1">
      <c r="A2670" s="8">
        <v>8</v>
      </c>
      <c r="B2670" t="s" s="9">
        <v>30</v>
      </c>
      <c r="C2670" t="s" s="9">
        <v>61</v>
      </c>
      <c r="D2670" t="s" s="9">
        <v>20</v>
      </c>
      <c r="E2670" t="s" s="9">
        <v>71</v>
      </c>
      <c r="F2670" s="10">
        <v>344</v>
      </c>
      <c r="G2670" s="10">
        <v>2889689</v>
      </c>
      <c r="H2670" s="11" cm="1">
        <f t="array" ref="H2670">F2670/G2670*100000</f>
        <v>11.9043952480699</v>
      </c>
    </row>
    <row r="2671" ht="13" customHeight="1">
      <c r="A2671" s="8">
        <v>9</v>
      </c>
      <c r="B2671" t="s" s="9">
        <v>30</v>
      </c>
      <c r="C2671" t="s" s="9">
        <v>61</v>
      </c>
      <c r="D2671" t="s" s="9">
        <v>20</v>
      </c>
      <c r="E2671" t="s" s="9">
        <v>71</v>
      </c>
      <c r="F2671" s="10">
        <v>329</v>
      </c>
      <c r="G2671" s="10">
        <v>2889689</v>
      </c>
      <c r="H2671" s="11" cm="1">
        <f t="array" ref="H2671">F2671/G2671*100000</f>
        <v>11.3853082459739</v>
      </c>
    </row>
    <row r="2672" ht="13" customHeight="1">
      <c r="A2672" s="8">
        <v>10</v>
      </c>
      <c r="B2672" t="s" s="9">
        <v>45</v>
      </c>
      <c r="C2672" t="s" s="9">
        <v>61</v>
      </c>
      <c r="D2672" t="s" s="9">
        <v>20</v>
      </c>
      <c r="E2672" t="s" s="9">
        <v>71</v>
      </c>
      <c r="F2672" s="10">
        <v>269</v>
      </c>
      <c r="G2672" s="10">
        <v>2889689</v>
      </c>
      <c r="H2672" s="11" cm="1">
        <f t="array" ref="H2672">F2672/G2672*100000</f>
        <v>9.308960237589581</v>
      </c>
    </row>
    <row r="2673" ht="13" customHeight="1">
      <c r="A2673" s="8">
        <v>1</v>
      </c>
      <c r="B2673" t="s" s="9">
        <v>30</v>
      </c>
      <c r="C2673" t="s" s="9">
        <v>61</v>
      </c>
      <c r="D2673" t="s" s="9">
        <v>21</v>
      </c>
      <c r="E2673" t="s" s="9">
        <v>71</v>
      </c>
      <c r="F2673" s="10">
        <v>1012</v>
      </c>
      <c r="G2673" s="10">
        <v>4635519</v>
      </c>
      <c r="H2673" s="11" cm="1">
        <f t="array" ref="H2673">F2673/G2673*100000</f>
        <v>21.831428152921</v>
      </c>
    </row>
    <row r="2674" ht="13" customHeight="1">
      <c r="A2674" s="8">
        <v>2</v>
      </c>
      <c r="B2674" t="s" s="9">
        <v>35</v>
      </c>
      <c r="C2674" t="s" s="9">
        <v>61</v>
      </c>
      <c r="D2674" t="s" s="9">
        <v>21</v>
      </c>
      <c r="E2674" t="s" s="9">
        <v>71</v>
      </c>
      <c r="F2674" s="10">
        <v>451</v>
      </c>
      <c r="G2674" s="10">
        <v>4635519</v>
      </c>
      <c r="H2674" s="11" cm="1">
        <f t="array" ref="H2674">F2674/G2674*100000</f>
        <v>9.729223415975641</v>
      </c>
    </row>
    <row r="2675" ht="13" customHeight="1">
      <c r="A2675" s="8">
        <v>3</v>
      </c>
      <c r="B2675" t="s" s="9">
        <v>34</v>
      </c>
      <c r="C2675" t="s" s="9">
        <v>61</v>
      </c>
      <c r="D2675" t="s" s="9">
        <v>21</v>
      </c>
      <c r="E2675" t="s" s="9">
        <v>71</v>
      </c>
      <c r="F2675" s="10">
        <v>511</v>
      </c>
      <c r="G2675" s="10">
        <v>4635519</v>
      </c>
      <c r="H2675" s="11" cm="1">
        <f t="array" ref="H2675">F2675/G2675*100000</f>
        <v>11.0235768637773</v>
      </c>
    </row>
    <row r="2676" ht="13" customHeight="1">
      <c r="A2676" s="8">
        <v>4</v>
      </c>
      <c r="B2676" t="s" s="9">
        <v>30</v>
      </c>
      <c r="C2676" t="s" s="9">
        <v>61</v>
      </c>
      <c r="D2676" t="s" s="9">
        <v>21</v>
      </c>
      <c r="E2676" t="s" s="9">
        <v>71</v>
      </c>
      <c r="F2676" s="10">
        <v>349</v>
      </c>
      <c r="G2676" s="10">
        <v>4635519</v>
      </c>
      <c r="H2676" s="11" cm="1">
        <f t="array" ref="H2676">F2676/G2676*100000</f>
        <v>7.52882255471286</v>
      </c>
    </row>
    <row r="2677" ht="13" customHeight="1">
      <c r="A2677" s="8">
        <v>5</v>
      </c>
      <c r="B2677" t="s" s="9">
        <v>30</v>
      </c>
      <c r="C2677" t="s" s="9">
        <v>61</v>
      </c>
      <c r="D2677" t="s" s="9">
        <v>21</v>
      </c>
      <c r="E2677" t="s" s="9">
        <v>71</v>
      </c>
      <c r="F2677" s="10">
        <v>247</v>
      </c>
      <c r="G2677" s="10">
        <v>4635519</v>
      </c>
      <c r="H2677" s="11" cm="1">
        <f t="array" ref="H2677">F2677/G2677*100000</f>
        <v>5.32842169345008</v>
      </c>
    </row>
    <row r="2678" ht="13" customHeight="1">
      <c r="A2678" s="8">
        <v>6</v>
      </c>
      <c r="B2678" t="s" s="9">
        <v>45</v>
      </c>
      <c r="C2678" t="s" s="9">
        <v>61</v>
      </c>
      <c r="D2678" t="s" s="9">
        <v>21</v>
      </c>
      <c r="E2678" t="s" s="9">
        <v>71</v>
      </c>
      <c r="F2678" s="10">
        <v>189</v>
      </c>
      <c r="G2678" s="10">
        <v>4635519</v>
      </c>
      <c r="H2678" s="11" cm="1">
        <f t="array" ref="H2678">F2678/G2678*100000</f>
        <v>4.07721336057516</v>
      </c>
    </row>
    <row r="2679" ht="13" customHeight="1">
      <c r="A2679" s="8">
        <v>7</v>
      </c>
      <c r="B2679" t="s" s="9">
        <v>30</v>
      </c>
      <c r="C2679" t="s" s="9">
        <v>61</v>
      </c>
      <c r="D2679" t="s" s="9">
        <v>21</v>
      </c>
      <c r="E2679" t="s" s="9">
        <v>71</v>
      </c>
      <c r="F2679" s="10">
        <v>165</v>
      </c>
      <c r="G2679" s="10">
        <v>4635519</v>
      </c>
      <c r="H2679" s="11" cm="1">
        <f t="array" ref="H2679">F2679/G2679*100000</f>
        <v>3.5594719814545</v>
      </c>
    </row>
    <row r="2680" ht="13" customHeight="1">
      <c r="A2680" s="8">
        <v>8</v>
      </c>
      <c r="B2680" t="s" s="9">
        <v>30</v>
      </c>
      <c r="C2680" t="s" s="9">
        <v>61</v>
      </c>
      <c r="D2680" t="s" s="9">
        <v>21</v>
      </c>
      <c r="E2680" t="s" s="9">
        <v>71</v>
      </c>
      <c r="F2680" s="10">
        <v>158</v>
      </c>
      <c r="G2680" s="10">
        <v>4635519</v>
      </c>
      <c r="H2680" s="11" cm="1">
        <f t="array" ref="H2680">F2680/G2680*100000</f>
        <v>3.40846407921098</v>
      </c>
    </row>
    <row r="2681" ht="13" customHeight="1">
      <c r="A2681" s="8">
        <v>9</v>
      </c>
      <c r="B2681" t="s" s="9">
        <v>37</v>
      </c>
      <c r="C2681" t="s" s="9">
        <v>61</v>
      </c>
      <c r="D2681" t="s" s="9">
        <v>21</v>
      </c>
      <c r="E2681" t="s" s="9">
        <v>71</v>
      </c>
      <c r="F2681" s="10">
        <v>162</v>
      </c>
      <c r="G2681" s="10">
        <v>4635519</v>
      </c>
      <c r="H2681" s="11" cm="1">
        <f t="array" ref="H2681">F2681/G2681*100000</f>
        <v>3.49475430906442</v>
      </c>
    </row>
    <row r="2682" ht="13" customHeight="1">
      <c r="A2682" s="8">
        <v>10</v>
      </c>
      <c r="B2682" t="s" s="9">
        <v>45</v>
      </c>
      <c r="C2682" t="s" s="9">
        <v>61</v>
      </c>
      <c r="D2682" t="s" s="9">
        <v>21</v>
      </c>
      <c r="E2682" t="s" s="9">
        <v>71</v>
      </c>
      <c r="F2682" s="10">
        <v>120</v>
      </c>
      <c r="G2682" s="10">
        <v>4635519</v>
      </c>
      <c r="H2682" s="11" cm="1">
        <f t="array" ref="H2682">F2682/G2682*100000</f>
        <v>2.58870689560328</v>
      </c>
    </row>
    <row r="2683" ht="13.65" customHeight="1">
      <c r="A2683" s="8">
        <v>1</v>
      </c>
      <c r="B2683" t="s" s="9">
        <v>30</v>
      </c>
      <c r="C2683" t="s" s="9">
        <v>61</v>
      </c>
      <c r="D2683" t="s" s="9">
        <v>58</v>
      </c>
      <c r="E2683" t="s" s="9">
        <v>71</v>
      </c>
      <c r="F2683" s="10">
        <v>1628</v>
      </c>
      <c r="G2683" s="12"/>
      <c r="H2683" s="13"/>
    </row>
    <row r="2684" ht="13.65" customHeight="1">
      <c r="A2684" s="8">
        <v>2</v>
      </c>
      <c r="B2684" t="s" s="9">
        <v>35</v>
      </c>
      <c r="C2684" t="s" s="9">
        <v>61</v>
      </c>
      <c r="D2684" t="s" s="9">
        <v>58</v>
      </c>
      <c r="E2684" t="s" s="9">
        <v>71</v>
      </c>
      <c r="F2684" s="10">
        <v>399</v>
      </c>
      <c r="G2684" s="14"/>
      <c r="H2684" s="15"/>
    </row>
    <row r="2685" ht="13.65" customHeight="1">
      <c r="A2685" s="8">
        <v>3</v>
      </c>
      <c r="B2685" t="s" s="9">
        <v>34</v>
      </c>
      <c r="C2685" t="s" s="9">
        <v>61</v>
      </c>
      <c r="D2685" t="s" s="9">
        <v>58</v>
      </c>
      <c r="E2685" t="s" s="9">
        <v>71</v>
      </c>
      <c r="F2685" s="10">
        <v>284</v>
      </c>
      <c r="G2685" s="14"/>
      <c r="H2685" s="15"/>
    </row>
    <row r="2686" ht="13.65" customHeight="1">
      <c r="A2686" s="8">
        <v>4</v>
      </c>
      <c r="B2686" t="s" s="9">
        <v>35</v>
      </c>
      <c r="C2686" t="s" s="9">
        <v>61</v>
      </c>
      <c r="D2686" t="s" s="9">
        <v>58</v>
      </c>
      <c r="E2686" t="s" s="9">
        <v>71</v>
      </c>
      <c r="F2686" s="10">
        <v>144</v>
      </c>
      <c r="G2686" s="14"/>
      <c r="H2686" s="15"/>
    </row>
    <row r="2687" ht="13.65" customHeight="1">
      <c r="A2687" s="8">
        <v>5</v>
      </c>
      <c r="B2687" t="s" s="9">
        <v>39</v>
      </c>
      <c r="C2687" t="s" s="9">
        <v>61</v>
      </c>
      <c r="D2687" t="s" s="9">
        <v>58</v>
      </c>
      <c r="E2687" t="s" s="9">
        <v>71</v>
      </c>
      <c r="F2687" s="10">
        <v>185</v>
      </c>
      <c r="G2687" s="14"/>
      <c r="H2687" s="15"/>
    </row>
    <row r="2688" ht="13.65" customHeight="1">
      <c r="A2688" s="8">
        <v>6</v>
      </c>
      <c r="B2688" t="s" s="9">
        <v>30</v>
      </c>
      <c r="C2688" t="s" s="9">
        <v>61</v>
      </c>
      <c r="D2688" t="s" s="9">
        <v>58</v>
      </c>
      <c r="E2688" t="s" s="9">
        <v>71</v>
      </c>
      <c r="F2688" s="10">
        <v>165</v>
      </c>
      <c r="G2688" s="14"/>
      <c r="H2688" s="15"/>
    </row>
    <row r="2689" ht="13.65" customHeight="1">
      <c r="A2689" s="8">
        <v>7</v>
      </c>
      <c r="B2689" t="s" s="9">
        <v>37</v>
      </c>
      <c r="C2689" t="s" s="9">
        <v>61</v>
      </c>
      <c r="D2689" t="s" s="9">
        <v>58</v>
      </c>
      <c r="E2689" t="s" s="9">
        <v>71</v>
      </c>
      <c r="F2689" s="10">
        <v>137</v>
      </c>
      <c r="G2689" s="14"/>
      <c r="H2689" s="15"/>
    </row>
    <row r="2690" ht="13.65" customHeight="1">
      <c r="A2690" s="8">
        <v>8</v>
      </c>
      <c r="B2690" t="s" s="9">
        <v>36</v>
      </c>
      <c r="C2690" t="s" s="9">
        <v>61</v>
      </c>
      <c r="D2690" t="s" s="9">
        <v>58</v>
      </c>
      <c r="E2690" t="s" s="9">
        <v>71</v>
      </c>
      <c r="F2690" s="10">
        <v>164</v>
      </c>
      <c r="G2690" s="14"/>
      <c r="H2690" s="15"/>
    </row>
    <row r="2691" ht="13.65" customHeight="1">
      <c r="A2691" s="8">
        <v>9</v>
      </c>
      <c r="B2691" t="s" s="9">
        <v>37</v>
      </c>
      <c r="C2691" t="s" s="9">
        <v>61</v>
      </c>
      <c r="D2691" t="s" s="9">
        <v>58</v>
      </c>
      <c r="E2691" t="s" s="9">
        <v>71</v>
      </c>
      <c r="F2691" s="10">
        <v>148</v>
      </c>
      <c r="G2691" s="14"/>
      <c r="H2691" s="15"/>
    </row>
    <row r="2692" ht="13.65" customHeight="1">
      <c r="A2692" s="8">
        <v>10</v>
      </c>
      <c r="B2692" t="s" s="9">
        <v>36</v>
      </c>
      <c r="C2692" t="s" s="9">
        <v>61</v>
      </c>
      <c r="D2692" t="s" s="9">
        <v>58</v>
      </c>
      <c r="E2692" t="s" s="9">
        <v>71</v>
      </c>
      <c r="F2692" s="10">
        <v>48</v>
      </c>
      <c r="G2692" s="16"/>
      <c r="H2692" s="17"/>
    </row>
    <row r="2693" ht="13" customHeight="1">
      <c r="A2693" s="8">
        <v>1</v>
      </c>
      <c r="B2693" t="s" s="9">
        <v>34</v>
      </c>
      <c r="C2693" t="s" s="9">
        <v>62</v>
      </c>
      <c r="D2693" t="s" s="9">
        <v>32</v>
      </c>
      <c r="E2693" t="s" s="9">
        <v>71</v>
      </c>
      <c r="F2693" s="10">
        <v>138375</v>
      </c>
      <c r="G2693" s="10">
        <v>14521657</v>
      </c>
      <c r="H2693" s="11" cm="1">
        <f t="array" ref="H2693">F2693/G2693*100000</f>
        <v>952.887125759822</v>
      </c>
    </row>
    <row r="2694" ht="13" customHeight="1">
      <c r="A2694" s="8">
        <v>2</v>
      </c>
      <c r="B2694" t="s" s="9">
        <v>30</v>
      </c>
      <c r="C2694" t="s" s="9">
        <v>62</v>
      </c>
      <c r="D2694" t="s" s="9">
        <v>32</v>
      </c>
      <c r="E2694" t="s" s="9">
        <v>71</v>
      </c>
      <c r="F2694" s="10">
        <v>118830</v>
      </c>
      <c r="G2694" s="10">
        <v>14521657</v>
      </c>
      <c r="H2694" s="11" cm="1">
        <f t="array" ref="H2694">F2694/G2694*100000</f>
        <v>818.295047183665</v>
      </c>
    </row>
    <row r="2695" ht="13" customHeight="1">
      <c r="A2695" s="8">
        <v>3</v>
      </c>
      <c r="B2695" t="s" s="9">
        <v>35</v>
      </c>
      <c r="C2695" t="s" s="9">
        <v>62</v>
      </c>
      <c r="D2695" t="s" s="9">
        <v>32</v>
      </c>
      <c r="E2695" t="s" s="9">
        <v>71</v>
      </c>
      <c r="F2695" s="10">
        <v>68430</v>
      </c>
      <c r="G2695" s="10">
        <v>14521657</v>
      </c>
      <c r="H2695" s="11" cm="1">
        <f t="array" ref="H2695">F2695/G2695*100000</f>
        <v>471.227216012608</v>
      </c>
    </row>
    <row r="2696" ht="13" customHeight="1">
      <c r="A2696" s="8">
        <v>4</v>
      </c>
      <c r="B2696" t="s" s="9">
        <v>37</v>
      </c>
      <c r="C2696" t="s" s="9">
        <v>62</v>
      </c>
      <c r="D2696" t="s" s="9">
        <v>32</v>
      </c>
      <c r="E2696" t="s" s="9">
        <v>71</v>
      </c>
      <c r="F2696" s="10">
        <v>37605</v>
      </c>
      <c r="G2696" s="10">
        <v>14521657</v>
      </c>
      <c r="H2696" s="11" cm="1">
        <f t="array" ref="H2696">F2696/G2696*100000</f>
        <v>258.958051412452</v>
      </c>
    </row>
    <row r="2697" ht="13" customHeight="1">
      <c r="A2697" s="8">
        <v>5</v>
      </c>
      <c r="B2697" t="s" s="9">
        <v>30</v>
      </c>
      <c r="C2697" t="s" s="9">
        <v>62</v>
      </c>
      <c r="D2697" t="s" s="9">
        <v>32</v>
      </c>
      <c r="E2697" t="s" s="9">
        <v>71</v>
      </c>
      <c r="F2697" s="10">
        <v>18105</v>
      </c>
      <c r="G2697" s="10">
        <v>14521657</v>
      </c>
      <c r="H2697" s="11" cm="1">
        <f t="array" ref="H2697">F2697/G2697*100000</f>
        <v>124.675854828412</v>
      </c>
    </row>
    <row r="2698" ht="13" customHeight="1">
      <c r="A2698" s="8">
        <v>6</v>
      </c>
      <c r="B2698" t="s" s="9">
        <v>35</v>
      </c>
      <c r="C2698" t="s" s="9">
        <v>62</v>
      </c>
      <c r="D2698" t="s" s="9">
        <v>32</v>
      </c>
      <c r="E2698" t="s" s="9">
        <v>71</v>
      </c>
      <c r="F2698" s="10">
        <v>16890</v>
      </c>
      <c r="G2698" s="10">
        <v>14521657</v>
      </c>
      <c r="H2698" s="11" cm="1">
        <f t="array" ref="H2698">F2698/G2698*100000</f>
        <v>116.309041041253</v>
      </c>
    </row>
    <row r="2699" ht="13" customHeight="1">
      <c r="A2699" s="8">
        <v>7</v>
      </c>
      <c r="B2699" t="s" s="9">
        <v>30</v>
      </c>
      <c r="C2699" t="s" s="9">
        <v>62</v>
      </c>
      <c r="D2699" t="s" s="9">
        <v>32</v>
      </c>
      <c r="E2699" t="s" s="9">
        <v>71</v>
      </c>
      <c r="F2699" s="10">
        <v>11835</v>
      </c>
      <c r="G2699" s="10">
        <v>14521657</v>
      </c>
      <c r="H2699" s="11" cm="1">
        <f t="array" ref="H2699">F2699/G2699*100000</f>
        <v>81.49896392677501</v>
      </c>
    </row>
    <row r="2700" ht="13" customHeight="1">
      <c r="A2700" s="8">
        <v>8</v>
      </c>
      <c r="B2700" t="s" s="9">
        <v>37</v>
      </c>
      <c r="C2700" t="s" s="9">
        <v>62</v>
      </c>
      <c r="D2700" t="s" s="9">
        <v>32</v>
      </c>
      <c r="E2700" t="s" s="9">
        <v>71</v>
      </c>
      <c r="F2700" s="10">
        <v>11010</v>
      </c>
      <c r="G2700" s="10">
        <v>14521657</v>
      </c>
      <c r="H2700" s="11" cm="1">
        <f t="array" ref="H2700">F2700/G2700*100000</f>
        <v>75.8177940712964</v>
      </c>
    </row>
    <row r="2701" ht="13" customHeight="1">
      <c r="A2701" s="8">
        <v>9</v>
      </c>
      <c r="B2701" t="s" s="9">
        <v>36</v>
      </c>
      <c r="C2701" t="s" s="9">
        <v>62</v>
      </c>
      <c r="D2701" t="s" s="9">
        <v>32</v>
      </c>
      <c r="E2701" t="s" s="9">
        <v>71</v>
      </c>
      <c r="F2701" s="10">
        <v>10380</v>
      </c>
      <c r="G2701" s="10">
        <v>14521657</v>
      </c>
      <c r="H2701" s="11" cm="1">
        <f t="array" ref="H2701">F2701/G2701*100000</f>
        <v>71.4794461816582</v>
      </c>
    </row>
    <row r="2702" ht="13" customHeight="1">
      <c r="A2702" s="8">
        <v>10</v>
      </c>
      <c r="B2702" t="s" s="9">
        <v>30</v>
      </c>
      <c r="C2702" t="s" s="9">
        <v>62</v>
      </c>
      <c r="D2702" t="s" s="9">
        <v>32</v>
      </c>
      <c r="E2702" t="s" s="9">
        <v>71</v>
      </c>
      <c r="F2702" s="10">
        <v>8745</v>
      </c>
      <c r="G2702" s="10">
        <v>14521657</v>
      </c>
      <c r="H2702" s="11" cm="1">
        <f t="array" ref="H2702">F2702/G2702*100000</f>
        <v>60.2204004680733</v>
      </c>
    </row>
    <row r="2703" ht="13" customHeight="1">
      <c r="A2703" s="8">
        <v>1</v>
      </c>
      <c r="B2703" t="s" s="9">
        <v>30</v>
      </c>
      <c r="C2703" t="s" s="9">
        <v>62</v>
      </c>
      <c r="D2703" t="s" s="9">
        <v>38</v>
      </c>
      <c r="E2703" t="s" s="9">
        <v>71</v>
      </c>
      <c r="F2703" s="10">
        <v>120705</v>
      </c>
      <c r="G2703" s="10">
        <v>1874281</v>
      </c>
      <c r="H2703" s="11" cm="1">
        <f t="array" ref="H2703">F2703/G2703*100000</f>
        <v>6440.069552004210</v>
      </c>
    </row>
    <row r="2704" ht="13" customHeight="1">
      <c r="A2704" s="8">
        <v>2</v>
      </c>
      <c r="B2704" t="s" s="9">
        <v>34</v>
      </c>
      <c r="C2704" t="s" s="9">
        <v>62</v>
      </c>
      <c r="D2704" t="s" s="9">
        <v>38</v>
      </c>
      <c r="E2704" t="s" s="9">
        <v>71</v>
      </c>
      <c r="F2704" s="10">
        <v>62235</v>
      </c>
      <c r="G2704" s="10">
        <v>1874281</v>
      </c>
      <c r="H2704" s="11" cm="1">
        <f t="array" ref="H2704">F2704/G2704*100000</f>
        <v>3320.473290824590</v>
      </c>
    </row>
    <row r="2705" ht="13" customHeight="1">
      <c r="A2705" s="8">
        <v>3</v>
      </c>
      <c r="B2705" t="s" s="9">
        <v>30</v>
      </c>
      <c r="C2705" t="s" s="9">
        <v>62</v>
      </c>
      <c r="D2705" t="s" s="9">
        <v>38</v>
      </c>
      <c r="E2705" t="s" s="9">
        <v>71</v>
      </c>
      <c r="F2705" s="10">
        <v>15480</v>
      </c>
      <c r="G2705" s="10">
        <v>1874281</v>
      </c>
      <c r="H2705" s="11" cm="1">
        <f t="array" ref="H2705">F2705/G2705*100000</f>
        <v>825.916711528314</v>
      </c>
    </row>
    <row r="2706" ht="13" customHeight="1">
      <c r="A2706" s="8">
        <v>4</v>
      </c>
      <c r="B2706" t="s" s="9">
        <v>35</v>
      </c>
      <c r="C2706" t="s" s="9">
        <v>62</v>
      </c>
      <c r="D2706" t="s" s="9">
        <v>38</v>
      </c>
      <c r="E2706" t="s" s="9">
        <v>71</v>
      </c>
      <c r="F2706" s="10">
        <v>10470</v>
      </c>
      <c r="G2706" s="10">
        <v>1874281</v>
      </c>
      <c r="H2706" s="11" cm="1">
        <f t="array" ref="H2706">F2706/G2706*100000</f>
        <v>558.614209929034</v>
      </c>
    </row>
    <row r="2707" ht="13" customHeight="1">
      <c r="A2707" s="8">
        <v>5</v>
      </c>
      <c r="B2707" t="s" s="9">
        <v>37</v>
      </c>
      <c r="C2707" t="s" s="9">
        <v>62</v>
      </c>
      <c r="D2707" t="s" s="9">
        <v>38</v>
      </c>
      <c r="E2707" t="s" s="9">
        <v>71</v>
      </c>
      <c r="F2707" s="10">
        <v>14280</v>
      </c>
      <c r="G2707" s="10">
        <v>1874281</v>
      </c>
      <c r="H2707" s="11" cm="1">
        <f t="array" ref="H2707">F2707/G2707*100000</f>
        <v>761.892160247049</v>
      </c>
    </row>
    <row r="2708" ht="13" customHeight="1">
      <c r="A2708" s="8">
        <v>6</v>
      </c>
      <c r="B2708" t="s" s="9">
        <v>35</v>
      </c>
      <c r="C2708" t="s" s="9">
        <v>62</v>
      </c>
      <c r="D2708" t="s" s="9">
        <v>38</v>
      </c>
      <c r="E2708" t="s" s="9">
        <v>71</v>
      </c>
      <c r="F2708" s="10">
        <v>10020</v>
      </c>
      <c r="G2708" s="10">
        <v>1874281</v>
      </c>
      <c r="H2708" s="11" cm="1">
        <f t="array" ref="H2708">F2708/G2708*100000</f>
        <v>534.605003198560</v>
      </c>
    </row>
    <row r="2709" ht="13" customHeight="1">
      <c r="A2709" s="8">
        <v>7</v>
      </c>
      <c r="B2709" t="s" s="9">
        <v>39</v>
      </c>
      <c r="C2709" t="s" s="9">
        <v>62</v>
      </c>
      <c r="D2709" t="s" s="9">
        <v>38</v>
      </c>
      <c r="E2709" t="s" s="9">
        <v>71</v>
      </c>
      <c r="F2709" s="10">
        <v>13965</v>
      </c>
      <c r="G2709" s="10">
        <v>1874281</v>
      </c>
      <c r="H2709" s="11" cm="1">
        <f t="array" ref="H2709">F2709/G2709*100000</f>
        <v>745.085715535717</v>
      </c>
    </row>
    <row r="2710" ht="13" customHeight="1">
      <c r="A2710" s="8">
        <v>8</v>
      </c>
      <c r="B2710" t="s" s="9">
        <v>37</v>
      </c>
      <c r="C2710" t="s" s="9">
        <v>62</v>
      </c>
      <c r="D2710" t="s" s="9">
        <v>38</v>
      </c>
      <c r="E2710" t="s" s="9">
        <v>71</v>
      </c>
      <c r="F2710" s="10">
        <v>11715</v>
      </c>
      <c r="G2710" s="10">
        <v>1874281</v>
      </c>
      <c r="H2710" s="11" cm="1">
        <f t="array" ref="H2710">F2710/G2710*100000</f>
        <v>625.039681883346</v>
      </c>
    </row>
    <row r="2711" ht="13" customHeight="1">
      <c r="A2711" s="8">
        <v>9</v>
      </c>
      <c r="B2711" t="s" s="9">
        <v>30</v>
      </c>
      <c r="C2711" t="s" s="9">
        <v>62</v>
      </c>
      <c r="D2711" t="s" s="9">
        <v>38</v>
      </c>
      <c r="E2711" t="s" s="9">
        <v>71</v>
      </c>
      <c r="F2711" s="10">
        <v>9735</v>
      </c>
      <c r="G2711" s="10">
        <v>1874281</v>
      </c>
      <c r="H2711" s="11" cm="1">
        <f t="array" ref="H2711">F2711/G2711*100000</f>
        <v>519.399172269260</v>
      </c>
    </row>
    <row r="2712" ht="13" customHeight="1">
      <c r="A2712" s="8">
        <v>10</v>
      </c>
      <c r="B2712" t="s" s="9">
        <v>41</v>
      </c>
      <c r="C2712" t="s" s="9">
        <v>62</v>
      </c>
      <c r="D2712" t="s" s="9">
        <v>38</v>
      </c>
      <c r="E2712" t="s" s="9">
        <v>71</v>
      </c>
      <c r="F2712" s="10">
        <v>9975</v>
      </c>
      <c r="G2712" s="10">
        <v>1874281</v>
      </c>
      <c r="H2712" s="11" cm="1">
        <f t="array" ref="H2712">F2712/G2712*100000</f>
        <v>532.204082525512</v>
      </c>
    </row>
    <row r="2713" ht="13" customHeight="1">
      <c r="A2713" s="8">
        <v>1</v>
      </c>
      <c r="B2713" t="s" s="9">
        <v>48</v>
      </c>
      <c r="C2713" t="s" s="9">
        <v>62</v>
      </c>
      <c r="D2713" t="s" s="9">
        <v>42</v>
      </c>
      <c r="E2713" t="s" s="9">
        <v>71</v>
      </c>
      <c r="F2713" s="10">
        <v>0</v>
      </c>
      <c r="G2713" s="10">
        <v>5458063</v>
      </c>
      <c r="H2713" t="s" s="9">
        <v>50</v>
      </c>
    </row>
    <row r="2714" ht="13" customHeight="1">
      <c r="A2714" s="8">
        <v>2</v>
      </c>
      <c r="B2714" t="s" s="9">
        <v>48</v>
      </c>
      <c r="C2714" t="s" s="9">
        <v>62</v>
      </c>
      <c r="D2714" t="s" s="9">
        <v>42</v>
      </c>
      <c r="E2714" t="s" s="9">
        <v>71</v>
      </c>
      <c r="F2714" s="10">
        <v>0</v>
      </c>
      <c r="G2714" s="10">
        <v>5458063</v>
      </c>
      <c r="H2714" t="s" s="9">
        <v>50</v>
      </c>
    </row>
    <row r="2715" ht="13" customHeight="1">
      <c r="A2715" s="8">
        <v>3</v>
      </c>
      <c r="B2715" t="s" s="9">
        <v>48</v>
      </c>
      <c r="C2715" t="s" s="9">
        <v>62</v>
      </c>
      <c r="D2715" t="s" s="9">
        <v>42</v>
      </c>
      <c r="E2715" t="s" s="9">
        <v>71</v>
      </c>
      <c r="F2715" s="10">
        <v>0</v>
      </c>
      <c r="G2715" s="10">
        <v>5458063</v>
      </c>
      <c r="H2715" t="s" s="9">
        <v>50</v>
      </c>
    </row>
    <row r="2716" ht="13" customHeight="1">
      <c r="A2716" s="8">
        <v>4</v>
      </c>
      <c r="B2716" t="s" s="9">
        <v>48</v>
      </c>
      <c r="C2716" t="s" s="9">
        <v>62</v>
      </c>
      <c r="D2716" t="s" s="9">
        <v>42</v>
      </c>
      <c r="E2716" t="s" s="9">
        <v>71</v>
      </c>
      <c r="F2716" s="10">
        <v>0</v>
      </c>
      <c r="G2716" s="10">
        <v>5458063</v>
      </c>
      <c r="H2716" t="s" s="9">
        <v>50</v>
      </c>
    </row>
    <row r="2717" ht="13" customHeight="1">
      <c r="A2717" s="8">
        <v>5</v>
      </c>
      <c r="B2717" t="s" s="9">
        <v>48</v>
      </c>
      <c r="C2717" t="s" s="9">
        <v>62</v>
      </c>
      <c r="D2717" t="s" s="9">
        <v>42</v>
      </c>
      <c r="E2717" t="s" s="9">
        <v>71</v>
      </c>
      <c r="F2717" s="10">
        <v>0</v>
      </c>
      <c r="G2717" s="10">
        <v>5458063</v>
      </c>
      <c r="H2717" t="s" s="9">
        <v>50</v>
      </c>
    </row>
    <row r="2718" ht="13" customHeight="1">
      <c r="A2718" s="8">
        <v>6</v>
      </c>
      <c r="B2718" t="s" s="9">
        <v>48</v>
      </c>
      <c r="C2718" t="s" s="9">
        <v>62</v>
      </c>
      <c r="D2718" t="s" s="9">
        <v>42</v>
      </c>
      <c r="E2718" t="s" s="9">
        <v>71</v>
      </c>
      <c r="F2718" s="10">
        <v>0</v>
      </c>
      <c r="G2718" s="10">
        <v>5458063</v>
      </c>
      <c r="H2718" t="s" s="9">
        <v>50</v>
      </c>
    </row>
    <row r="2719" ht="13" customHeight="1">
      <c r="A2719" s="8">
        <v>7</v>
      </c>
      <c r="B2719" t="s" s="9">
        <v>48</v>
      </c>
      <c r="C2719" t="s" s="9">
        <v>62</v>
      </c>
      <c r="D2719" t="s" s="9">
        <v>42</v>
      </c>
      <c r="E2719" t="s" s="9">
        <v>71</v>
      </c>
      <c r="F2719" s="10">
        <v>0</v>
      </c>
      <c r="G2719" s="10">
        <v>5458063</v>
      </c>
      <c r="H2719" t="s" s="9">
        <v>50</v>
      </c>
    </row>
    <row r="2720" ht="13" customHeight="1">
      <c r="A2720" s="8">
        <v>8</v>
      </c>
      <c r="B2720" t="s" s="9">
        <v>48</v>
      </c>
      <c r="C2720" t="s" s="9">
        <v>62</v>
      </c>
      <c r="D2720" t="s" s="9">
        <v>42</v>
      </c>
      <c r="E2720" t="s" s="9">
        <v>71</v>
      </c>
      <c r="F2720" s="10">
        <v>0</v>
      </c>
      <c r="G2720" s="10">
        <v>5458063</v>
      </c>
      <c r="H2720" t="s" s="9">
        <v>50</v>
      </c>
    </row>
    <row r="2721" ht="13" customHeight="1">
      <c r="A2721" s="8">
        <v>9</v>
      </c>
      <c r="B2721" t="s" s="9">
        <v>48</v>
      </c>
      <c r="C2721" t="s" s="9">
        <v>62</v>
      </c>
      <c r="D2721" t="s" s="9">
        <v>42</v>
      </c>
      <c r="E2721" t="s" s="9">
        <v>71</v>
      </c>
      <c r="F2721" s="10">
        <v>0</v>
      </c>
      <c r="G2721" s="10">
        <v>5458063</v>
      </c>
      <c r="H2721" t="s" s="9">
        <v>50</v>
      </c>
    </row>
    <row r="2722" ht="13" customHeight="1">
      <c r="A2722" s="8">
        <v>10</v>
      </c>
      <c r="B2722" t="s" s="9">
        <v>48</v>
      </c>
      <c r="C2722" t="s" s="9">
        <v>62</v>
      </c>
      <c r="D2722" t="s" s="9">
        <v>42</v>
      </c>
      <c r="E2722" t="s" s="9">
        <v>71</v>
      </c>
      <c r="F2722" s="10">
        <v>0</v>
      </c>
      <c r="G2722" s="10">
        <v>5458063</v>
      </c>
      <c r="H2722" t="s" s="9">
        <v>50</v>
      </c>
    </row>
    <row r="2723" ht="13" customHeight="1">
      <c r="A2723" s="8">
        <v>1</v>
      </c>
      <c r="B2723" t="s" s="9">
        <v>30</v>
      </c>
      <c r="C2723" t="s" s="9">
        <v>62</v>
      </c>
      <c r="D2723" t="s" s="9">
        <v>43</v>
      </c>
      <c r="E2723" t="s" s="9">
        <v>71</v>
      </c>
      <c r="F2723" s="10">
        <v>57690</v>
      </c>
      <c r="G2723" s="10">
        <v>3817144</v>
      </c>
      <c r="H2723" s="11" cm="1">
        <f t="array" ref="H2723">F2723/G2723*100000</f>
        <v>1511.339367862460</v>
      </c>
    </row>
    <row r="2724" ht="13" customHeight="1">
      <c r="A2724" s="8">
        <v>2</v>
      </c>
      <c r="B2724" t="s" s="9">
        <v>34</v>
      </c>
      <c r="C2724" t="s" s="9">
        <v>62</v>
      </c>
      <c r="D2724" t="s" s="9">
        <v>43</v>
      </c>
      <c r="E2724" t="s" s="9">
        <v>71</v>
      </c>
      <c r="F2724" s="10">
        <v>30405</v>
      </c>
      <c r="G2724" s="10">
        <v>3817144</v>
      </c>
      <c r="H2724" s="11" cm="1">
        <f t="array" ref="H2724">F2724/G2724*100000</f>
        <v>796.537935168283</v>
      </c>
    </row>
    <row r="2725" ht="13" customHeight="1">
      <c r="A2725" s="8">
        <v>3</v>
      </c>
      <c r="B2725" t="s" s="9">
        <v>30</v>
      </c>
      <c r="C2725" t="s" s="9">
        <v>62</v>
      </c>
      <c r="D2725" t="s" s="9">
        <v>43</v>
      </c>
      <c r="E2725" t="s" s="9">
        <v>71</v>
      </c>
      <c r="F2725" s="10">
        <v>17655</v>
      </c>
      <c r="G2725" s="10">
        <v>3817144</v>
      </c>
      <c r="H2725" s="11" cm="1">
        <f t="array" ref="H2725">F2725/G2725*100000</f>
        <v>462.518574096235</v>
      </c>
    </row>
    <row r="2726" ht="13" customHeight="1">
      <c r="A2726" s="8">
        <v>4</v>
      </c>
      <c r="B2726" t="s" s="9">
        <v>30</v>
      </c>
      <c r="C2726" t="s" s="9">
        <v>62</v>
      </c>
      <c r="D2726" t="s" s="9">
        <v>43</v>
      </c>
      <c r="E2726" t="s" s="9">
        <v>71</v>
      </c>
      <c r="F2726" s="10">
        <v>12780</v>
      </c>
      <c r="G2726" s="10">
        <v>3817144</v>
      </c>
      <c r="H2726" s="11" cm="1">
        <f t="array" ref="H2726">F2726/G2726*100000</f>
        <v>334.805288980452</v>
      </c>
    </row>
    <row r="2727" ht="13" customHeight="1">
      <c r="A2727" s="8">
        <v>5</v>
      </c>
      <c r="B2727" t="s" s="9">
        <v>35</v>
      </c>
      <c r="C2727" t="s" s="9">
        <v>62</v>
      </c>
      <c r="D2727" t="s" s="9">
        <v>43</v>
      </c>
      <c r="E2727" t="s" s="9">
        <v>71</v>
      </c>
      <c r="F2727" s="10">
        <v>6810</v>
      </c>
      <c r="G2727" s="10">
        <v>3817144</v>
      </c>
      <c r="H2727" s="11" cm="1">
        <f t="array" ref="H2727">F2727/G2727*100000</f>
        <v>178.405635207894</v>
      </c>
    </row>
    <row r="2728" ht="13" customHeight="1">
      <c r="A2728" s="8">
        <v>6</v>
      </c>
      <c r="B2728" t="s" s="9">
        <v>36</v>
      </c>
      <c r="C2728" t="s" s="9">
        <v>62</v>
      </c>
      <c r="D2728" t="s" s="9">
        <v>43</v>
      </c>
      <c r="E2728" t="s" s="9">
        <v>71</v>
      </c>
      <c r="F2728" s="10">
        <v>7845</v>
      </c>
      <c r="G2728" s="10">
        <v>3817144</v>
      </c>
      <c r="H2728" s="11" cm="1">
        <f t="array" ref="H2728">F2728/G2728*100000</f>
        <v>205.520148047860</v>
      </c>
    </row>
    <row r="2729" ht="13" customHeight="1">
      <c r="A2729" s="8">
        <v>7</v>
      </c>
      <c r="B2729" t="s" s="9">
        <v>39</v>
      </c>
      <c r="C2729" t="s" s="9">
        <v>62</v>
      </c>
      <c r="D2729" t="s" s="9">
        <v>43</v>
      </c>
      <c r="E2729" t="s" s="9">
        <v>71</v>
      </c>
      <c r="F2729" s="10">
        <v>9105</v>
      </c>
      <c r="G2729" s="10">
        <v>3817144</v>
      </c>
      <c r="H2729" s="11" cm="1">
        <f t="array" ref="H2729">F2729/G2729*100000</f>
        <v>238.529120200862</v>
      </c>
    </row>
    <row r="2730" ht="13" customHeight="1">
      <c r="A2730" s="8">
        <v>8</v>
      </c>
      <c r="B2730" t="s" s="9">
        <v>30</v>
      </c>
      <c r="C2730" t="s" s="9">
        <v>62</v>
      </c>
      <c r="D2730" t="s" s="9">
        <v>43</v>
      </c>
      <c r="E2730" t="s" s="9">
        <v>71</v>
      </c>
      <c r="F2730" s="10">
        <v>8970</v>
      </c>
      <c r="G2730" s="10">
        <v>3817144</v>
      </c>
      <c r="H2730" s="11" cm="1">
        <f t="array" ref="H2730">F2730/G2730*100000</f>
        <v>234.992444613041</v>
      </c>
    </row>
    <row r="2731" ht="13" customHeight="1">
      <c r="A2731" s="8">
        <v>9</v>
      </c>
      <c r="B2731" t="s" s="9">
        <v>30</v>
      </c>
      <c r="C2731" t="s" s="9">
        <v>62</v>
      </c>
      <c r="D2731" t="s" s="9">
        <v>43</v>
      </c>
      <c r="E2731" t="s" s="9">
        <v>71</v>
      </c>
      <c r="F2731" s="10">
        <v>6810</v>
      </c>
      <c r="G2731" s="10">
        <v>3817144</v>
      </c>
      <c r="H2731" s="11" cm="1">
        <f t="array" ref="H2731">F2731/G2731*100000</f>
        <v>178.405635207894</v>
      </c>
    </row>
    <row r="2732" ht="13" customHeight="1">
      <c r="A2732" s="8">
        <v>10</v>
      </c>
      <c r="B2732" t="s" s="9">
        <v>37</v>
      </c>
      <c r="C2732" t="s" s="9">
        <v>62</v>
      </c>
      <c r="D2732" t="s" s="9">
        <v>43</v>
      </c>
      <c r="E2732" t="s" s="9">
        <v>71</v>
      </c>
      <c r="F2732" s="10">
        <v>8025</v>
      </c>
      <c r="G2732" s="10">
        <v>3817144</v>
      </c>
      <c r="H2732" s="11" cm="1">
        <f t="array" ref="H2732">F2732/G2732*100000</f>
        <v>210.235715498289</v>
      </c>
    </row>
    <row r="2733" ht="13" customHeight="1">
      <c r="A2733" s="8">
        <v>1</v>
      </c>
      <c r="B2733" t="s" s="9">
        <v>30</v>
      </c>
      <c r="C2733" t="s" s="9">
        <v>62</v>
      </c>
      <c r="D2733" t="s" s="9">
        <v>44</v>
      </c>
      <c r="E2733" t="s" s="9">
        <v>71</v>
      </c>
      <c r="F2733" s="10">
        <v>160080</v>
      </c>
      <c r="G2733" s="10">
        <v>13239670</v>
      </c>
      <c r="H2733" s="11" cm="1">
        <f t="array" ref="H2733">F2733/G2733*100000</f>
        <v>1209.093580127</v>
      </c>
    </row>
    <row r="2734" ht="13" customHeight="1">
      <c r="A2734" s="8">
        <v>2</v>
      </c>
      <c r="B2734" t="s" s="9">
        <v>34</v>
      </c>
      <c r="C2734" t="s" s="9">
        <v>62</v>
      </c>
      <c r="D2734" t="s" s="9">
        <v>44</v>
      </c>
      <c r="E2734" t="s" s="9">
        <v>71</v>
      </c>
      <c r="F2734" s="10">
        <v>89910</v>
      </c>
      <c r="G2734" s="10">
        <v>13239670</v>
      </c>
      <c r="H2734" s="11" cm="1">
        <f t="array" ref="H2734">F2734/G2734*100000</f>
        <v>679.095475944642</v>
      </c>
    </row>
    <row r="2735" ht="13" customHeight="1">
      <c r="A2735" s="8">
        <v>3</v>
      </c>
      <c r="B2735" t="s" s="9">
        <v>35</v>
      </c>
      <c r="C2735" t="s" s="9">
        <v>62</v>
      </c>
      <c r="D2735" t="s" s="9">
        <v>44</v>
      </c>
      <c r="E2735" t="s" s="9">
        <v>71</v>
      </c>
      <c r="F2735" s="10">
        <v>51510</v>
      </c>
      <c r="G2735" s="10">
        <v>13239670</v>
      </c>
      <c r="H2735" s="11" cm="1">
        <f t="array" ref="H2735">F2735/G2735*100000</f>
        <v>389.058035434418</v>
      </c>
    </row>
    <row r="2736" ht="13" customHeight="1">
      <c r="A2736" s="8">
        <v>4</v>
      </c>
      <c r="B2736" t="s" s="9">
        <v>37</v>
      </c>
      <c r="C2736" t="s" s="9">
        <v>62</v>
      </c>
      <c r="D2736" t="s" s="9">
        <v>44</v>
      </c>
      <c r="E2736" t="s" s="9">
        <v>71</v>
      </c>
      <c r="F2736" s="10">
        <v>37065</v>
      </c>
      <c r="G2736" s="10">
        <v>13239670</v>
      </c>
      <c r="H2736" s="11" cm="1">
        <f t="array" ref="H2736">F2736/G2736*100000</f>
        <v>279.954107617486</v>
      </c>
    </row>
    <row r="2737" ht="13" customHeight="1">
      <c r="A2737" s="8">
        <v>5</v>
      </c>
      <c r="B2737" t="s" s="9">
        <v>30</v>
      </c>
      <c r="C2737" t="s" s="9">
        <v>62</v>
      </c>
      <c r="D2737" t="s" s="9">
        <v>44</v>
      </c>
      <c r="E2737" t="s" s="9">
        <v>71</v>
      </c>
      <c r="F2737" s="10">
        <v>17130</v>
      </c>
      <c r="G2737" s="10">
        <v>13239670</v>
      </c>
      <c r="H2737" s="11" cm="1">
        <f t="array" ref="H2737">F2737/G2737*100000</f>
        <v>129.383889477608</v>
      </c>
    </row>
    <row r="2738" ht="13" customHeight="1">
      <c r="A2738" s="8">
        <v>6</v>
      </c>
      <c r="B2738" t="s" s="9">
        <v>36</v>
      </c>
      <c r="C2738" t="s" s="9">
        <v>62</v>
      </c>
      <c r="D2738" t="s" s="9">
        <v>44</v>
      </c>
      <c r="E2738" t="s" s="9">
        <v>71</v>
      </c>
      <c r="F2738" s="10">
        <v>14565</v>
      </c>
      <c r="G2738" s="10">
        <v>13239670</v>
      </c>
      <c r="H2738" s="11" cm="1">
        <f t="array" ref="H2738">F2738/G2738*100000</f>
        <v>110.010294818526</v>
      </c>
    </row>
    <row r="2739" ht="13" customHeight="1">
      <c r="A2739" s="8">
        <v>7</v>
      </c>
      <c r="B2739" t="s" s="9">
        <v>30</v>
      </c>
      <c r="C2739" t="s" s="9">
        <v>62</v>
      </c>
      <c r="D2739" t="s" s="9">
        <v>44</v>
      </c>
      <c r="E2739" t="s" s="9">
        <v>71</v>
      </c>
      <c r="F2739" s="10">
        <v>13155</v>
      </c>
      <c r="G2739" s="10">
        <v>13239670</v>
      </c>
      <c r="H2739" s="11" cm="1">
        <f t="array" ref="H2739">F2739/G2739*100000</f>
        <v>99.3604825497916</v>
      </c>
    </row>
    <row r="2740" ht="13" customHeight="1">
      <c r="A2740" s="8">
        <v>8</v>
      </c>
      <c r="B2740" t="s" s="9">
        <v>39</v>
      </c>
      <c r="C2740" t="s" s="9">
        <v>62</v>
      </c>
      <c r="D2740" t="s" s="9">
        <v>44</v>
      </c>
      <c r="E2740" t="s" s="9">
        <v>71</v>
      </c>
      <c r="F2740" s="10">
        <v>17115</v>
      </c>
      <c r="G2740" s="10">
        <v>13239670</v>
      </c>
      <c r="H2740" s="11" cm="1">
        <f t="array" ref="H2740">F2740/G2740*100000</f>
        <v>129.270593602409</v>
      </c>
    </row>
    <row r="2741" ht="13" customHeight="1">
      <c r="A2741" s="8">
        <v>9</v>
      </c>
      <c r="B2741" t="s" s="9">
        <v>30</v>
      </c>
      <c r="C2741" t="s" s="9">
        <v>62</v>
      </c>
      <c r="D2741" t="s" s="9">
        <v>44</v>
      </c>
      <c r="E2741" t="s" s="9">
        <v>71</v>
      </c>
      <c r="F2741" s="10">
        <v>12540</v>
      </c>
      <c r="G2741" s="10">
        <v>13239670</v>
      </c>
      <c r="H2741" s="11" cm="1">
        <f t="array" ref="H2741">F2741/G2741*100000</f>
        <v>94.71535166662009</v>
      </c>
    </row>
    <row r="2742" ht="13" customHeight="1">
      <c r="A2742" s="8">
        <v>10</v>
      </c>
      <c r="B2742" t="s" s="9">
        <v>41</v>
      </c>
      <c r="C2742" t="s" s="9">
        <v>62</v>
      </c>
      <c r="D2742" t="s" s="9">
        <v>44</v>
      </c>
      <c r="E2742" t="s" s="9">
        <v>71</v>
      </c>
      <c r="F2742" s="10">
        <v>11730</v>
      </c>
      <c r="G2742" s="10">
        <v>13239670</v>
      </c>
      <c r="H2742" s="11" cm="1">
        <f t="array" ref="H2742">F2742/G2742*100000</f>
        <v>88.59737440585749</v>
      </c>
    </row>
    <row r="2743" ht="13" customHeight="1">
      <c r="A2743" s="8">
        <v>1</v>
      </c>
      <c r="B2743" t="s" s="9">
        <v>30</v>
      </c>
      <c r="C2743" t="s" s="9">
        <v>62</v>
      </c>
      <c r="D2743" t="s" s="9">
        <v>46</v>
      </c>
      <c r="E2743" t="s" s="9">
        <v>71</v>
      </c>
      <c r="F2743" s="10">
        <v>163935</v>
      </c>
      <c r="G2743" s="10">
        <v>17477569</v>
      </c>
      <c r="H2743" s="11" cm="1">
        <f t="array" ref="H2743">F2743/G2743*100000</f>
        <v>937.9736964562979</v>
      </c>
    </row>
    <row r="2744" ht="13" customHeight="1">
      <c r="A2744" s="8">
        <v>2</v>
      </c>
      <c r="B2744" t="s" s="9">
        <v>30</v>
      </c>
      <c r="C2744" t="s" s="9">
        <v>62</v>
      </c>
      <c r="D2744" t="s" s="9">
        <v>46</v>
      </c>
      <c r="E2744" t="s" s="9">
        <v>71</v>
      </c>
      <c r="F2744" s="10">
        <v>81990</v>
      </c>
      <c r="G2744" s="10">
        <v>17477569</v>
      </c>
      <c r="H2744" s="11" cm="1">
        <f t="array" ref="H2744">F2744/G2744*100000</f>
        <v>469.115584667410</v>
      </c>
    </row>
    <row r="2745" ht="13" customHeight="1">
      <c r="A2745" s="8">
        <v>3</v>
      </c>
      <c r="B2745" t="s" s="9">
        <v>35</v>
      </c>
      <c r="C2745" t="s" s="9">
        <v>62</v>
      </c>
      <c r="D2745" t="s" s="9">
        <v>46</v>
      </c>
      <c r="E2745" t="s" s="9">
        <v>71</v>
      </c>
      <c r="F2745" s="10">
        <v>66090</v>
      </c>
      <c r="G2745" s="10">
        <v>17477569</v>
      </c>
      <c r="H2745" s="11" cm="1">
        <f t="array" ref="H2745">F2745/G2745*100000</f>
        <v>378.141834256240</v>
      </c>
    </row>
    <row r="2746" ht="13" customHeight="1">
      <c r="A2746" s="8">
        <v>4</v>
      </c>
      <c r="B2746" t="s" s="9">
        <v>34</v>
      </c>
      <c r="C2746" t="s" s="9">
        <v>62</v>
      </c>
      <c r="D2746" t="s" s="9">
        <v>46</v>
      </c>
      <c r="E2746" t="s" s="9">
        <v>71</v>
      </c>
      <c r="F2746" s="10">
        <v>72465</v>
      </c>
      <c r="G2746" s="10">
        <v>17477569</v>
      </c>
      <c r="H2746" s="11" cm="1">
        <f t="array" ref="H2746">F2746/G2746*100000</f>
        <v>414.617158713549</v>
      </c>
    </row>
    <row r="2747" ht="13" customHeight="1">
      <c r="A2747" s="8">
        <v>5</v>
      </c>
      <c r="B2747" t="s" s="9">
        <v>30</v>
      </c>
      <c r="C2747" t="s" s="9">
        <v>62</v>
      </c>
      <c r="D2747" t="s" s="9">
        <v>46</v>
      </c>
      <c r="E2747" t="s" s="9">
        <v>71</v>
      </c>
      <c r="F2747" s="10">
        <v>58140</v>
      </c>
      <c r="G2747" s="10">
        <v>17477569</v>
      </c>
      <c r="H2747" s="11" cm="1">
        <f t="array" ref="H2747">F2747/G2747*100000</f>
        <v>332.654959050655</v>
      </c>
    </row>
    <row r="2748" ht="13" customHeight="1">
      <c r="A2748" s="8">
        <v>6</v>
      </c>
      <c r="B2748" t="s" s="9">
        <v>39</v>
      </c>
      <c r="C2748" t="s" s="9">
        <v>62</v>
      </c>
      <c r="D2748" t="s" s="9">
        <v>46</v>
      </c>
      <c r="E2748" t="s" s="9">
        <v>71</v>
      </c>
      <c r="F2748" s="10">
        <v>59145</v>
      </c>
      <c r="G2748" s="10">
        <v>17477569</v>
      </c>
      <c r="H2748" s="11" cm="1">
        <f t="array" ref="H2748">F2748/G2748*100000</f>
        <v>338.405186670984</v>
      </c>
    </row>
    <row r="2749" ht="13" customHeight="1">
      <c r="A2749" s="8">
        <v>7</v>
      </c>
      <c r="B2749" t="s" s="9">
        <v>41</v>
      </c>
      <c r="C2749" t="s" s="9">
        <v>62</v>
      </c>
      <c r="D2749" t="s" s="9">
        <v>46</v>
      </c>
      <c r="E2749" t="s" s="9">
        <v>71</v>
      </c>
      <c r="F2749" s="10">
        <v>48540</v>
      </c>
      <c r="G2749" s="10">
        <v>17477569</v>
      </c>
      <c r="H2749" s="11" cm="1">
        <f t="array" ref="H2749">F2749/G2749*100000</f>
        <v>277.727411632590</v>
      </c>
    </row>
    <row r="2750" ht="13" customHeight="1">
      <c r="A2750" s="8">
        <v>8</v>
      </c>
      <c r="B2750" t="s" s="9">
        <v>37</v>
      </c>
      <c r="C2750" t="s" s="9">
        <v>62</v>
      </c>
      <c r="D2750" t="s" s="9">
        <v>46</v>
      </c>
      <c r="E2750" t="s" s="9">
        <v>71</v>
      </c>
      <c r="F2750" s="10">
        <v>22695</v>
      </c>
      <c r="G2750" s="10">
        <v>17477569</v>
      </c>
      <c r="H2750" s="11" cm="1">
        <f t="array" ref="H2750">F2750/G2750*100000</f>
        <v>129.852155068019</v>
      </c>
    </row>
    <row r="2751" ht="13" customHeight="1">
      <c r="A2751" s="8">
        <v>9</v>
      </c>
      <c r="B2751" t="s" s="9">
        <v>45</v>
      </c>
      <c r="C2751" t="s" s="9">
        <v>62</v>
      </c>
      <c r="D2751" t="s" s="9">
        <v>46</v>
      </c>
      <c r="E2751" t="s" s="9">
        <v>71</v>
      </c>
      <c r="F2751" s="10">
        <v>16860</v>
      </c>
      <c r="G2751" s="10">
        <v>17477569</v>
      </c>
      <c r="H2751" s="11" cm="1">
        <f t="array" ref="H2751">F2751/G2751*100000</f>
        <v>96.4665051529764</v>
      </c>
    </row>
    <row r="2752" ht="13" customHeight="1">
      <c r="A2752" s="8">
        <v>10</v>
      </c>
      <c r="B2752" t="s" s="9">
        <v>35</v>
      </c>
      <c r="C2752" t="s" s="9">
        <v>62</v>
      </c>
      <c r="D2752" t="s" s="9">
        <v>46</v>
      </c>
      <c r="E2752" t="s" s="9">
        <v>71</v>
      </c>
      <c r="F2752" s="10">
        <v>11100</v>
      </c>
      <c r="G2752" s="10">
        <v>17477569</v>
      </c>
      <c r="H2752" s="11" cm="1">
        <f t="array" ref="H2752">F2752/G2752*100000</f>
        <v>63.5099767021375</v>
      </c>
    </row>
    <row r="2753" ht="13" customHeight="1">
      <c r="A2753" s="8">
        <v>1</v>
      </c>
      <c r="B2753" t="s" s="9">
        <v>30</v>
      </c>
      <c r="C2753" t="s" s="9">
        <v>62</v>
      </c>
      <c r="D2753" t="s" s="9">
        <v>47</v>
      </c>
      <c r="E2753" t="s" s="9">
        <v>71</v>
      </c>
      <c r="F2753" s="10">
        <v>60452</v>
      </c>
      <c r="G2753" s="10">
        <v>3342831</v>
      </c>
      <c r="H2753" s="11" cm="1">
        <f t="array" ref="H2753">F2753/G2753*100000</f>
        <v>1808.407305065680</v>
      </c>
    </row>
    <row r="2754" ht="13" customHeight="1">
      <c r="A2754" s="8">
        <v>2</v>
      </c>
      <c r="B2754" t="s" s="9">
        <v>35</v>
      </c>
      <c r="C2754" t="s" s="9">
        <v>62</v>
      </c>
      <c r="D2754" t="s" s="9">
        <v>47</v>
      </c>
      <c r="E2754" t="s" s="9">
        <v>71</v>
      </c>
      <c r="F2754" s="10">
        <v>34136</v>
      </c>
      <c r="G2754" s="10">
        <v>3342831</v>
      </c>
      <c r="H2754" s="11" cm="1">
        <f t="array" ref="H2754">F2754/G2754*100000</f>
        <v>1021.170379238440</v>
      </c>
    </row>
    <row r="2755" ht="13" customHeight="1">
      <c r="A2755" s="8">
        <v>3</v>
      </c>
      <c r="B2755" t="s" s="9">
        <v>34</v>
      </c>
      <c r="C2755" t="s" s="9">
        <v>62</v>
      </c>
      <c r="D2755" t="s" s="9">
        <v>47</v>
      </c>
      <c r="E2755" t="s" s="9">
        <v>71</v>
      </c>
      <c r="F2755" s="10">
        <v>14042</v>
      </c>
      <c r="G2755" s="10">
        <v>3342831</v>
      </c>
      <c r="H2755" s="11" cm="1">
        <f t="array" ref="H2755">F2755/G2755*100000</f>
        <v>420.063114168799</v>
      </c>
    </row>
    <row r="2756" ht="13" customHeight="1">
      <c r="A2756" s="8">
        <v>4</v>
      </c>
      <c r="B2756" t="s" s="9">
        <v>39</v>
      </c>
      <c r="C2756" t="s" s="9">
        <v>62</v>
      </c>
      <c r="D2756" t="s" s="9">
        <v>47</v>
      </c>
      <c r="E2756" t="s" s="9">
        <v>71</v>
      </c>
      <c r="F2756" s="10">
        <v>12614</v>
      </c>
      <c r="G2756" s="10">
        <v>3342831</v>
      </c>
      <c r="H2756" s="11" cm="1">
        <f t="array" ref="H2756">F2756/G2756*100000</f>
        <v>377.344831371972</v>
      </c>
    </row>
    <row r="2757" ht="13" customHeight="1">
      <c r="A2757" s="8">
        <v>5</v>
      </c>
      <c r="B2757" t="s" s="9">
        <v>30</v>
      </c>
      <c r="C2757" t="s" s="9">
        <v>62</v>
      </c>
      <c r="D2757" t="s" s="9">
        <v>47</v>
      </c>
      <c r="E2757" t="s" s="9">
        <v>71</v>
      </c>
      <c r="F2757" s="10">
        <v>7055</v>
      </c>
      <c r="G2757" s="10">
        <v>3342831</v>
      </c>
      <c r="H2757" s="11" cm="1">
        <f t="array" ref="H2757">F2757/G2757*100000</f>
        <v>211.048659055752</v>
      </c>
    </row>
    <row r="2758" ht="13" customHeight="1">
      <c r="A2758" s="8">
        <v>6</v>
      </c>
      <c r="B2758" t="s" s="9">
        <v>35</v>
      </c>
      <c r="C2758" t="s" s="9">
        <v>62</v>
      </c>
      <c r="D2758" t="s" s="9">
        <v>47</v>
      </c>
      <c r="E2758" t="s" s="9">
        <v>71</v>
      </c>
      <c r="F2758" s="10">
        <v>4080</v>
      </c>
      <c r="G2758" s="10">
        <v>3342831</v>
      </c>
      <c r="H2758" s="11" cm="1">
        <f t="array" ref="H2758">F2758/G2758*100000</f>
        <v>122.052236562363</v>
      </c>
    </row>
    <row r="2759" ht="13" customHeight="1">
      <c r="A2759" s="8">
        <v>7</v>
      </c>
      <c r="B2759" t="s" s="9">
        <v>45</v>
      </c>
      <c r="C2759" t="s" s="9">
        <v>62</v>
      </c>
      <c r="D2759" t="s" s="9">
        <v>47</v>
      </c>
      <c r="E2759" t="s" s="9">
        <v>71</v>
      </c>
      <c r="F2759" s="10">
        <v>5661</v>
      </c>
      <c r="G2759" s="10">
        <v>3342831</v>
      </c>
      <c r="H2759" s="11" cm="1">
        <f t="array" ref="H2759">F2759/G2759*100000</f>
        <v>169.347478230278</v>
      </c>
    </row>
    <row r="2760" ht="13" customHeight="1">
      <c r="A2760" s="8">
        <v>8</v>
      </c>
      <c r="B2760" t="s" s="9">
        <v>30</v>
      </c>
      <c r="C2760" t="s" s="9">
        <v>62</v>
      </c>
      <c r="D2760" t="s" s="9">
        <v>47</v>
      </c>
      <c r="E2760" t="s" s="9">
        <v>71</v>
      </c>
      <c r="F2760" s="10">
        <v>4964</v>
      </c>
      <c r="G2760" s="10">
        <v>3342831</v>
      </c>
      <c r="H2760" s="11" cm="1">
        <f t="array" ref="H2760">F2760/G2760*100000</f>
        <v>148.496887817541</v>
      </c>
    </row>
    <row r="2761" ht="13" customHeight="1">
      <c r="A2761" s="8">
        <v>9</v>
      </c>
      <c r="B2761" t="s" s="9">
        <v>36</v>
      </c>
      <c r="C2761" t="s" s="9">
        <v>62</v>
      </c>
      <c r="D2761" t="s" s="9">
        <v>47</v>
      </c>
      <c r="E2761" t="s" s="9">
        <v>71</v>
      </c>
      <c r="F2761" s="10">
        <v>4131</v>
      </c>
      <c r="G2761" s="10">
        <v>3342831</v>
      </c>
      <c r="H2761" s="11" cm="1">
        <f t="array" ref="H2761">F2761/G2761*100000</f>
        <v>123.577889519392</v>
      </c>
    </row>
    <row r="2762" ht="13" customHeight="1">
      <c r="A2762" s="8">
        <v>10</v>
      </c>
      <c r="B2762" t="s" s="9">
        <v>30</v>
      </c>
      <c r="C2762" t="s" s="9">
        <v>62</v>
      </c>
      <c r="D2762" t="s" s="9">
        <v>47</v>
      </c>
      <c r="E2762" t="s" s="9">
        <v>71</v>
      </c>
      <c r="F2762" s="10">
        <v>3587</v>
      </c>
      <c r="G2762" s="10">
        <v>3342831</v>
      </c>
      <c r="H2762" s="11" cm="1">
        <f t="array" ref="H2762">F2762/G2762*100000</f>
        <v>107.304257977744</v>
      </c>
    </row>
    <row r="2763" ht="13" customHeight="1">
      <c r="A2763" s="8">
        <v>1</v>
      </c>
      <c r="B2763" t="s" s="9">
        <v>30</v>
      </c>
      <c r="C2763" t="s" s="9">
        <v>62</v>
      </c>
      <c r="D2763" t="s" s="9">
        <v>49</v>
      </c>
      <c r="E2763" t="s" s="9">
        <v>71</v>
      </c>
      <c r="F2763" s="10">
        <v>75960</v>
      </c>
      <c r="G2763" s="10">
        <v>6397690</v>
      </c>
      <c r="H2763" s="11" cm="1">
        <f t="array" ref="H2763">F2763/G2763*100000</f>
        <v>1187.303542372330</v>
      </c>
    </row>
    <row r="2764" ht="13" customHeight="1">
      <c r="A2764" s="8">
        <v>2</v>
      </c>
      <c r="B2764" t="s" s="9">
        <v>34</v>
      </c>
      <c r="C2764" t="s" s="9">
        <v>62</v>
      </c>
      <c r="D2764" t="s" s="9">
        <v>49</v>
      </c>
      <c r="E2764" t="s" s="9">
        <v>71</v>
      </c>
      <c r="F2764" s="10">
        <v>68835</v>
      </c>
      <c r="G2764" s="10">
        <v>6397690</v>
      </c>
      <c r="H2764" s="11" cm="1">
        <f t="array" ref="H2764">F2764/G2764*100000</f>
        <v>1075.9352203686</v>
      </c>
    </row>
    <row r="2765" ht="13" customHeight="1">
      <c r="A2765" s="8">
        <v>3</v>
      </c>
      <c r="B2765" t="s" s="9">
        <v>35</v>
      </c>
      <c r="C2765" t="s" s="9">
        <v>62</v>
      </c>
      <c r="D2765" t="s" s="9">
        <v>49</v>
      </c>
      <c r="E2765" t="s" s="9">
        <v>71</v>
      </c>
      <c r="F2765" s="10">
        <v>31725</v>
      </c>
      <c r="G2765" s="10">
        <v>6397690</v>
      </c>
      <c r="H2765" s="11" cm="1">
        <f t="array" ref="H2765">F2765/G2765*100000</f>
        <v>495.882107448157</v>
      </c>
    </row>
    <row r="2766" ht="13" customHeight="1">
      <c r="A2766" s="8">
        <v>4</v>
      </c>
      <c r="B2766" t="s" s="9">
        <v>30</v>
      </c>
      <c r="C2766" t="s" s="9">
        <v>62</v>
      </c>
      <c r="D2766" t="s" s="9">
        <v>49</v>
      </c>
      <c r="E2766" t="s" s="9">
        <v>71</v>
      </c>
      <c r="F2766" s="10">
        <v>18840</v>
      </c>
      <c r="G2766" s="10">
        <v>6397690</v>
      </c>
      <c r="H2766" s="11" cm="1">
        <f t="array" ref="H2766">F2766/G2766*100000</f>
        <v>294.481289340371</v>
      </c>
    </row>
    <row r="2767" ht="13" customHeight="1">
      <c r="A2767" s="8">
        <v>5</v>
      </c>
      <c r="B2767" t="s" s="9">
        <v>39</v>
      </c>
      <c r="C2767" t="s" s="9">
        <v>62</v>
      </c>
      <c r="D2767" t="s" s="9">
        <v>49</v>
      </c>
      <c r="E2767" t="s" s="9">
        <v>71</v>
      </c>
      <c r="F2767" s="10">
        <v>19950</v>
      </c>
      <c r="G2767" s="10">
        <v>6397690</v>
      </c>
      <c r="H2767" s="11" cm="1">
        <f t="array" ref="H2767">F2767/G2767*100000</f>
        <v>311.831301610425</v>
      </c>
    </row>
    <row r="2768" ht="13" customHeight="1">
      <c r="A2768" s="8">
        <v>6</v>
      </c>
      <c r="B2768" t="s" s="9">
        <v>30</v>
      </c>
      <c r="C2768" t="s" s="9">
        <v>62</v>
      </c>
      <c r="D2768" t="s" s="9">
        <v>49</v>
      </c>
      <c r="E2768" t="s" s="9">
        <v>71</v>
      </c>
      <c r="F2768" s="10">
        <v>12270</v>
      </c>
      <c r="G2768" s="10">
        <v>6397690</v>
      </c>
      <c r="H2768" s="11" cm="1">
        <f t="array" ref="H2768">F2768/G2768*100000</f>
        <v>191.787973471675</v>
      </c>
    </row>
    <row r="2769" ht="13" customHeight="1">
      <c r="A2769" s="8">
        <v>7</v>
      </c>
      <c r="B2769" t="s" s="9">
        <v>37</v>
      </c>
      <c r="C2769" t="s" s="9">
        <v>62</v>
      </c>
      <c r="D2769" t="s" s="9">
        <v>49</v>
      </c>
      <c r="E2769" t="s" s="9">
        <v>71</v>
      </c>
      <c r="F2769" s="10">
        <v>14355</v>
      </c>
      <c r="G2769" s="10">
        <v>6397690</v>
      </c>
      <c r="H2769" s="11" cm="1">
        <f t="array" ref="H2769">F2769/G2769*100000</f>
        <v>224.377861384343</v>
      </c>
    </row>
    <row r="2770" ht="13" customHeight="1">
      <c r="A2770" s="8">
        <v>8</v>
      </c>
      <c r="B2770" t="s" s="9">
        <v>41</v>
      </c>
      <c r="C2770" t="s" s="9">
        <v>62</v>
      </c>
      <c r="D2770" t="s" s="9">
        <v>49</v>
      </c>
      <c r="E2770" t="s" s="9">
        <v>71</v>
      </c>
      <c r="F2770" s="10">
        <v>14400</v>
      </c>
      <c r="G2770" s="10">
        <v>6397690</v>
      </c>
      <c r="H2770" s="11" cm="1">
        <f t="array" ref="H2770">F2770/G2770*100000</f>
        <v>225.081240260156</v>
      </c>
    </row>
    <row r="2771" ht="13" customHeight="1">
      <c r="A2771" s="8">
        <v>9</v>
      </c>
      <c r="B2771" t="s" s="9">
        <v>36</v>
      </c>
      <c r="C2771" t="s" s="9">
        <v>62</v>
      </c>
      <c r="D2771" t="s" s="9">
        <v>49</v>
      </c>
      <c r="E2771" t="s" s="9">
        <v>71</v>
      </c>
      <c r="F2771" s="10">
        <v>9495</v>
      </c>
      <c r="G2771" s="10">
        <v>6397690</v>
      </c>
      <c r="H2771" s="11" cm="1">
        <f t="array" ref="H2771">F2771/G2771*100000</f>
        <v>148.412942796541</v>
      </c>
    </row>
    <row r="2772" ht="13" customHeight="1">
      <c r="A2772" s="8">
        <v>10</v>
      </c>
      <c r="B2772" t="s" s="9">
        <v>36</v>
      </c>
      <c r="C2772" t="s" s="9">
        <v>62</v>
      </c>
      <c r="D2772" t="s" s="9">
        <v>49</v>
      </c>
      <c r="E2772" t="s" s="9">
        <v>71</v>
      </c>
      <c r="F2772" s="10">
        <v>8805</v>
      </c>
      <c r="G2772" s="10">
        <v>6397690</v>
      </c>
      <c r="H2772" s="11" cm="1">
        <f t="array" ref="H2772">F2772/G2772*100000</f>
        <v>137.627800034075</v>
      </c>
    </row>
    <row r="2773" ht="13.65" customHeight="1">
      <c r="A2773" s="8">
        <v>1</v>
      </c>
      <c r="B2773" t="s" s="9">
        <v>30</v>
      </c>
      <c r="C2773" t="s" s="9">
        <v>62</v>
      </c>
      <c r="D2773" t="s" s="9">
        <v>51</v>
      </c>
      <c r="E2773" t="s" s="9">
        <v>71</v>
      </c>
      <c r="F2773" s="10">
        <v>32610</v>
      </c>
      <c r="G2773" s="12"/>
      <c r="H2773" s="13"/>
    </row>
    <row r="2774" ht="13.65" customHeight="1">
      <c r="A2774" s="8">
        <v>2</v>
      </c>
      <c r="B2774" t="s" s="9">
        <v>34</v>
      </c>
      <c r="C2774" t="s" s="9">
        <v>62</v>
      </c>
      <c r="D2774" t="s" s="9">
        <v>51</v>
      </c>
      <c r="E2774" t="s" s="9">
        <v>71</v>
      </c>
      <c r="F2774" s="10">
        <v>26370</v>
      </c>
      <c r="G2774" s="14"/>
      <c r="H2774" s="15"/>
    </row>
    <row r="2775" ht="13.65" customHeight="1">
      <c r="A2775" s="8">
        <v>3</v>
      </c>
      <c r="B2775" t="s" s="9">
        <v>35</v>
      </c>
      <c r="C2775" t="s" s="9">
        <v>62</v>
      </c>
      <c r="D2775" t="s" s="9">
        <v>51</v>
      </c>
      <c r="E2775" t="s" s="9">
        <v>71</v>
      </c>
      <c r="F2775" s="10">
        <v>14805</v>
      </c>
      <c r="G2775" s="14"/>
      <c r="H2775" s="15"/>
    </row>
    <row r="2776" ht="13.65" customHeight="1">
      <c r="A2776" s="8">
        <v>4</v>
      </c>
      <c r="B2776" t="s" s="9">
        <v>30</v>
      </c>
      <c r="C2776" t="s" s="9">
        <v>62</v>
      </c>
      <c r="D2776" t="s" s="9">
        <v>51</v>
      </c>
      <c r="E2776" t="s" s="9">
        <v>71</v>
      </c>
      <c r="F2776" s="10">
        <v>13890</v>
      </c>
      <c r="G2776" s="14"/>
      <c r="H2776" s="15"/>
    </row>
    <row r="2777" ht="13.65" customHeight="1">
      <c r="A2777" s="8">
        <v>5</v>
      </c>
      <c r="B2777" t="s" s="9">
        <v>39</v>
      </c>
      <c r="C2777" t="s" s="9">
        <v>62</v>
      </c>
      <c r="D2777" t="s" s="9">
        <v>51</v>
      </c>
      <c r="E2777" t="s" s="9">
        <v>71</v>
      </c>
      <c r="F2777" s="10">
        <v>9375</v>
      </c>
      <c r="G2777" s="14"/>
      <c r="H2777" s="15"/>
    </row>
    <row r="2778" ht="13.65" customHeight="1">
      <c r="A2778" s="8">
        <v>6</v>
      </c>
      <c r="B2778" t="s" s="9">
        <v>30</v>
      </c>
      <c r="C2778" t="s" s="9">
        <v>62</v>
      </c>
      <c r="D2778" t="s" s="9">
        <v>51</v>
      </c>
      <c r="E2778" t="s" s="9">
        <v>71</v>
      </c>
      <c r="F2778" s="10">
        <v>4545</v>
      </c>
      <c r="G2778" s="14"/>
      <c r="H2778" s="15"/>
    </row>
    <row r="2779" ht="13.65" customHeight="1">
      <c r="A2779" s="8">
        <v>7</v>
      </c>
      <c r="B2779" t="s" s="9">
        <v>37</v>
      </c>
      <c r="C2779" t="s" s="9">
        <v>62</v>
      </c>
      <c r="D2779" t="s" s="9">
        <v>51</v>
      </c>
      <c r="E2779" t="s" s="9">
        <v>71</v>
      </c>
      <c r="F2779" s="10">
        <v>6750</v>
      </c>
      <c r="G2779" s="14"/>
      <c r="H2779" s="15"/>
    </row>
    <row r="2780" ht="13.65" customHeight="1">
      <c r="A2780" s="8">
        <v>8</v>
      </c>
      <c r="B2780" t="s" s="9">
        <v>35</v>
      </c>
      <c r="C2780" t="s" s="9">
        <v>62</v>
      </c>
      <c r="D2780" t="s" s="9">
        <v>51</v>
      </c>
      <c r="E2780" t="s" s="9">
        <v>71</v>
      </c>
      <c r="F2780" s="10">
        <v>4050</v>
      </c>
      <c r="G2780" s="14"/>
      <c r="H2780" s="15"/>
    </row>
    <row r="2781" ht="13.65" customHeight="1">
      <c r="A2781" s="8">
        <v>9</v>
      </c>
      <c r="B2781" t="s" s="9">
        <v>41</v>
      </c>
      <c r="C2781" t="s" s="9">
        <v>62</v>
      </c>
      <c r="D2781" t="s" s="9">
        <v>51</v>
      </c>
      <c r="E2781" t="s" s="9">
        <v>71</v>
      </c>
      <c r="F2781" s="10">
        <v>6660</v>
      </c>
      <c r="G2781" s="14"/>
      <c r="H2781" s="15"/>
    </row>
    <row r="2782" ht="13.65" customHeight="1">
      <c r="A2782" s="8">
        <v>10</v>
      </c>
      <c r="B2782" t="s" s="9">
        <v>36</v>
      </c>
      <c r="C2782" t="s" s="9">
        <v>62</v>
      </c>
      <c r="D2782" t="s" s="9">
        <v>51</v>
      </c>
      <c r="E2782" t="s" s="9">
        <v>71</v>
      </c>
      <c r="F2782" s="10">
        <v>5325</v>
      </c>
      <c r="G2782" s="14"/>
      <c r="H2782" s="15"/>
    </row>
    <row r="2783" ht="13.65" customHeight="1">
      <c r="A2783" s="8">
        <v>1</v>
      </c>
      <c r="B2783" t="s" s="9">
        <v>35</v>
      </c>
      <c r="C2783" t="s" s="9">
        <v>62</v>
      </c>
      <c r="D2783" t="s" s="9">
        <v>52</v>
      </c>
      <c r="E2783" t="s" s="9">
        <v>71</v>
      </c>
      <c r="F2783" s="10">
        <v>92955</v>
      </c>
      <c r="G2783" s="14"/>
      <c r="H2783" s="15"/>
    </row>
    <row r="2784" ht="13.65" customHeight="1">
      <c r="A2784" s="8">
        <v>2</v>
      </c>
      <c r="B2784" t="s" s="9">
        <v>30</v>
      </c>
      <c r="C2784" t="s" s="9">
        <v>62</v>
      </c>
      <c r="D2784" t="s" s="9">
        <v>52</v>
      </c>
      <c r="E2784" t="s" s="9">
        <v>71</v>
      </c>
      <c r="F2784" s="10">
        <v>55020</v>
      </c>
      <c r="G2784" s="14"/>
      <c r="H2784" s="15"/>
    </row>
    <row r="2785" ht="13.65" customHeight="1">
      <c r="A2785" s="8">
        <v>3</v>
      </c>
      <c r="B2785" t="s" s="9">
        <v>34</v>
      </c>
      <c r="C2785" t="s" s="9">
        <v>62</v>
      </c>
      <c r="D2785" t="s" s="9">
        <v>52</v>
      </c>
      <c r="E2785" t="s" s="9">
        <v>71</v>
      </c>
      <c r="F2785" s="10">
        <v>53820</v>
      </c>
      <c r="G2785" s="14"/>
      <c r="H2785" s="15"/>
    </row>
    <row r="2786" ht="13.65" customHeight="1">
      <c r="A2786" s="8">
        <v>4</v>
      </c>
      <c r="B2786" t="s" s="9">
        <v>30</v>
      </c>
      <c r="C2786" t="s" s="9">
        <v>62</v>
      </c>
      <c r="D2786" t="s" s="9">
        <v>52</v>
      </c>
      <c r="E2786" t="s" s="9">
        <v>71</v>
      </c>
      <c r="F2786" s="10">
        <v>17655</v>
      </c>
      <c r="G2786" s="14"/>
      <c r="H2786" s="15"/>
    </row>
    <row r="2787" ht="13.65" customHeight="1">
      <c r="A2787" s="8">
        <v>5</v>
      </c>
      <c r="B2787" t="s" s="9">
        <v>36</v>
      </c>
      <c r="C2787" t="s" s="9">
        <v>62</v>
      </c>
      <c r="D2787" t="s" s="9">
        <v>52</v>
      </c>
      <c r="E2787" t="s" s="9">
        <v>71</v>
      </c>
      <c r="F2787" s="10">
        <v>16830</v>
      </c>
      <c r="G2787" s="14"/>
      <c r="H2787" s="15"/>
    </row>
    <row r="2788" ht="13.65" customHeight="1">
      <c r="A2788" s="8">
        <v>6</v>
      </c>
      <c r="B2788" t="s" s="9">
        <v>35</v>
      </c>
      <c r="C2788" t="s" s="9">
        <v>62</v>
      </c>
      <c r="D2788" t="s" s="9">
        <v>52</v>
      </c>
      <c r="E2788" t="s" s="9">
        <v>71</v>
      </c>
      <c r="F2788" s="10">
        <v>12960</v>
      </c>
      <c r="G2788" s="14"/>
      <c r="H2788" s="15"/>
    </row>
    <row r="2789" ht="13.65" customHeight="1">
      <c r="A2789" s="8">
        <v>7</v>
      </c>
      <c r="B2789" t="s" s="9">
        <v>39</v>
      </c>
      <c r="C2789" t="s" s="9">
        <v>62</v>
      </c>
      <c r="D2789" t="s" s="9">
        <v>52</v>
      </c>
      <c r="E2789" t="s" s="9">
        <v>71</v>
      </c>
      <c r="F2789" s="10">
        <v>15915</v>
      </c>
      <c r="G2789" s="14"/>
      <c r="H2789" s="15"/>
    </row>
    <row r="2790" ht="13.65" customHeight="1">
      <c r="A2790" s="8">
        <v>8</v>
      </c>
      <c r="B2790" t="s" s="9">
        <v>37</v>
      </c>
      <c r="C2790" t="s" s="9">
        <v>62</v>
      </c>
      <c r="D2790" t="s" s="9">
        <v>52</v>
      </c>
      <c r="E2790" t="s" s="9">
        <v>71</v>
      </c>
      <c r="F2790" s="10">
        <v>9375</v>
      </c>
      <c r="G2790" s="14"/>
      <c r="H2790" s="15"/>
    </row>
    <row r="2791" ht="13.65" customHeight="1">
      <c r="A2791" s="8">
        <v>9</v>
      </c>
      <c r="B2791" t="s" s="9">
        <v>30</v>
      </c>
      <c r="C2791" t="s" s="9">
        <v>62</v>
      </c>
      <c r="D2791" t="s" s="9">
        <v>52</v>
      </c>
      <c r="E2791" t="s" s="9">
        <v>71</v>
      </c>
      <c r="F2791" s="10">
        <v>7680</v>
      </c>
      <c r="G2791" s="14"/>
      <c r="H2791" s="15"/>
    </row>
    <row r="2792" ht="13.65" customHeight="1">
      <c r="A2792" s="8">
        <v>10</v>
      </c>
      <c r="B2792" t="s" s="9">
        <v>45</v>
      </c>
      <c r="C2792" t="s" s="9">
        <v>62</v>
      </c>
      <c r="D2792" t="s" s="9">
        <v>52</v>
      </c>
      <c r="E2792" t="s" s="9">
        <v>71</v>
      </c>
      <c r="F2792" s="10">
        <v>6150</v>
      </c>
      <c r="G2792" s="16"/>
      <c r="H2792" s="17"/>
    </row>
    <row r="2793" ht="13" customHeight="1">
      <c r="A2793" s="8">
        <v>1</v>
      </c>
      <c r="B2793" t="s" s="9">
        <v>30</v>
      </c>
      <c r="C2793" t="s" s="9">
        <v>62</v>
      </c>
      <c r="D2793" t="s" s="9">
        <v>53</v>
      </c>
      <c r="E2793" t="s" s="9">
        <v>71</v>
      </c>
      <c r="F2793" s="10">
        <v>5985</v>
      </c>
      <c r="G2793" s="10">
        <v>5049226</v>
      </c>
      <c r="H2793" s="11" cm="1">
        <f t="array" ref="H2793">F2793/G2793*100000</f>
        <v>118.533018724058</v>
      </c>
    </row>
    <row r="2794" ht="13" customHeight="1">
      <c r="A2794" s="8">
        <v>2</v>
      </c>
      <c r="B2794" t="s" s="9">
        <v>34</v>
      </c>
      <c r="C2794" t="s" s="9">
        <v>62</v>
      </c>
      <c r="D2794" t="s" s="9">
        <v>53</v>
      </c>
      <c r="E2794" t="s" s="9">
        <v>71</v>
      </c>
      <c r="F2794" s="10">
        <v>4320</v>
      </c>
      <c r="G2794" s="10">
        <v>5049226</v>
      </c>
      <c r="H2794" s="11" cm="1">
        <f t="array" ref="H2794">F2794/G2794*100000</f>
        <v>85.5576676504478</v>
      </c>
    </row>
    <row r="2795" ht="13" customHeight="1">
      <c r="A2795" s="8">
        <v>3</v>
      </c>
      <c r="B2795" t="s" s="9">
        <v>30</v>
      </c>
      <c r="C2795" t="s" s="9">
        <v>62</v>
      </c>
      <c r="D2795" t="s" s="9">
        <v>53</v>
      </c>
      <c r="E2795" t="s" s="9">
        <v>71</v>
      </c>
      <c r="F2795" s="10">
        <v>2535</v>
      </c>
      <c r="G2795" s="10">
        <v>5049226</v>
      </c>
      <c r="H2795" s="11" cm="1">
        <f t="array" ref="H2795">F2795/G2795*100000</f>
        <v>50.2057146976586</v>
      </c>
    </row>
    <row r="2796" ht="13" customHeight="1">
      <c r="A2796" s="8">
        <v>4</v>
      </c>
      <c r="B2796" t="s" s="9">
        <v>36</v>
      </c>
      <c r="C2796" t="s" s="9">
        <v>62</v>
      </c>
      <c r="D2796" t="s" s="9">
        <v>53</v>
      </c>
      <c r="E2796" t="s" s="9">
        <v>71</v>
      </c>
      <c r="F2796" s="10">
        <v>1605</v>
      </c>
      <c r="G2796" s="10">
        <v>5049226</v>
      </c>
      <c r="H2796" s="11" cm="1">
        <f t="array" ref="H2796">F2796/G2796*100000</f>
        <v>31.7870501340205</v>
      </c>
    </row>
    <row r="2797" ht="13" customHeight="1">
      <c r="A2797" s="8">
        <v>5</v>
      </c>
      <c r="B2797" t="s" s="9">
        <v>30</v>
      </c>
      <c r="C2797" t="s" s="9">
        <v>62</v>
      </c>
      <c r="D2797" t="s" s="9">
        <v>53</v>
      </c>
      <c r="E2797" t="s" s="9">
        <v>71</v>
      </c>
      <c r="F2797" s="10">
        <v>900</v>
      </c>
      <c r="G2797" s="10">
        <v>5049226</v>
      </c>
      <c r="H2797" s="11" cm="1">
        <f t="array" ref="H2797">F2797/G2797*100000</f>
        <v>17.8245140938433</v>
      </c>
    </row>
    <row r="2798" ht="13" customHeight="1">
      <c r="A2798" s="8">
        <v>6</v>
      </c>
      <c r="B2798" t="s" s="9">
        <v>59</v>
      </c>
      <c r="C2798" t="s" s="9">
        <v>62</v>
      </c>
      <c r="D2798" t="s" s="9">
        <v>53</v>
      </c>
      <c r="E2798" t="s" s="9">
        <v>71</v>
      </c>
      <c r="F2798" s="10">
        <v>1035</v>
      </c>
      <c r="G2798" s="10">
        <v>5049226</v>
      </c>
      <c r="H2798" s="11" cm="1">
        <f t="array" ref="H2798">F2798/G2798*100000</f>
        <v>20.4981912079198</v>
      </c>
    </row>
    <row r="2799" ht="13" customHeight="1">
      <c r="A2799" s="8">
        <v>7</v>
      </c>
      <c r="B2799" t="s" s="9">
        <v>35</v>
      </c>
      <c r="C2799" t="s" s="9">
        <v>62</v>
      </c>
      <c r="D2799" t="s" s="9">
        <v>53</v>
      </c>
      <c r="E2799" t="s" s="9">
        <v>71</v>
      </c>
      <c r="F2799" s="10">
        <v>660</v>
      </c>
      <c r="G2799" s="10">
        <v>5049226</v>
      </c>
      <c r="H2799" s="11" cm="1">
        <f t="array" ref="H2799">F2799/G2799*100000</f>
        <v>13.0713103354851</v>
      </c>
    </row>
    <row r="2800" ht="13" customHeight="1">
      <c r="A2800" s="8">
        <v>8</v>
      </c>
      <c r="B2800" t="s" s="9">
        <v>37</v>
      </c>
      <c r="C2800" t="s" s="9">
        <v>62</v>
      </c>
      <c r="D2800" t="s" s="9">
        <v>53</v>
      </c>
      <c r="E2800" t="s" s="9">
        <v>71</v>
      </c>
      <c r="F2800" s="10">
        <v>645</v>
      </c>
      <c r="G2800" s="10">
        <v>5049226</v>
      </c>
      <c r="H2800" s="11" cm="1">
        <f t="array" ref="H2800">F2800/G2800*100000</f>
        <v>12.7742351005877</v>
      </c>
    </row>
    <row r="2801" ht="13" customHeight="1">
      <c r="A2801" s="8">
        <v>9</v>
      </c>
      <c r="B2801" t="s" s="9">
        <v>59</v>
      </c>
      <c r="C2801" t="s" s="9">
        <v>62</v>
      </c>
      <c r="D2801" t="s" s="9">
        <v>53</v>
      </c>
      <c r="E2801" t="s" s="9">
        <v>71</v>
      </c>
      <c r="F2801" s="10">
        <v>555</v>
      </c>
      <c r="G2801" s="10">
        <v>5049226</v>
      </c>
      <c r="H2801" s="11" cm="1">
        <f t="array" ref="H2801">F2801/G2801*100000</f>
        <v>10.9917836912034</v>
      </c>
    </row>
    <row r="2802" ht="13" customHeight="1">
      <c r="A2802" s="8">
        <v>9</v>
      </c>
      <c r="B2802" t="s" s="9">
        <v>30</v>
      </c>
      <c r="C2802" t="s" s="9">
        <v>62</v>
      </c>
      <c r="D2802" t="s" s="9">
        <v>53</v>
      </c>
      <c r="E2802" t="s" s="9">
        <v>71</v>
      </c>
      <c r="F2802" s="10">
        <v>375</v>
      </c>
      <c r="G2802" s="10">
        <v>5049226</v>
      </c>
      <c r="H2802" s="11" cm="1">
        <f t="array" ref="H2802">F2802/G2802*100000</f>
        <v>7.42688087243471</v>
      </c>
    </row>
    <row r="2803" ht="13" customHeight="1">
      <c r="A2803" s="8">
        <v>10</v>
      </c>
      <c r="B2803" t="s" s="9">
        <v>36</v>
      </c>
      <c r="C2803" t="s" s="9">
        <v>62</v>
      </c>
      <c r="D2803" t="s" s="9">
        <v>53</v>
      </c>
      <c r="E2803" t="s" s="9">
        <v>71</v>
      </c>
      <c r="F2803" s="10">
        <v>465</v>
      </c>
      <c r="G2803" s="10">
        <v>5049226</v>
      </c>
      <c r="H2803" s="11" cm="1">
        <f t="array" ref="H2803">F2803/G2803*100000</f>
        <v>9.209332281819041</v>
      </c>
    </row>
    <row r="2804" ht="13" customHeight="1">
      <c r="A2804" s="8">
        <v>1</v>
      </c>
      <c r="B2804" t="s" s="9">
        <v>30</v>
      </c>
      <c r="C2804" t="s" s="9">
        <v>62</v>
      </c>
      <c r="D2804" t="s" s="9">
        <v>54</v>
      </c>
      <c r="E2804" t="s" s="9">
        <v>71</v>
      </c>
      <c r="F2804" s="10">
        <v>21900</v>
      </c>
      <c r="G2804" s="10">
        <v>3901529</v>
      </c>
      <c r="H2804" s="11" cm="1">
        <f t="array" ref="H2804">F2804/G2804*100000</f>
        <v>561.318395941694</v>
      </c>
    </row>
    <row r="2805" ht="13" customHeight="1">
      <c r="A2805" s="8">
        <v>2</v>
      </c>
      <c r="B2805" t="s" s="9">
        <v>34</v>
      </c>
      <c r="C2805" t="s" s="9">
        <v>62</v>
      </c>
      <c r="D2805" t="s" s="9">
        <v>54</v>
      </c>
      <c r="E2805" t="s" s="9">
        <v>71</v>
      </c>
      <c r="F2805" s="10">
        <v>13785</v>
      </c>
      <c r="G2805" s="10">
        <v>3901529</v>
      </c>
      <c r="H2805" s="11" cm="1">
        <f t="array" ref="H2805">F2805/G2805*100000</f>
        <v>353.323017719463</v>
      </c>
    </row>
    <row r="2806" ht="13" customHeight="1">
      <c r="A2806" s="8">
        <v>3</v>
      </c>
      <c r="B2806" t="s" s="9">
        <v>35</v>
      </c>
      <c r="C2806" t="s" s="9">
        <v>62</v>
      </c>
      <c r="D2806" t="s" s="9">
        <v>54</v>
      </c>
      <c r="E2806" t="s" s="9">
        <v>71</v>
      </c>
      <c r="F2806" s="10">
        <v>7890</v>
      </c>
      <c r="G2806" s="10">
        <v>3901529</v>
      </c>
      <c r="H2806" s="11" cm="1">
        <f t="array" ref="H2806">F2806/G2806*100000</f>
        <v>202.228408400912</v>
      </c>
    </row>
    <row r="2807" ht="13" customHeight="1">
      <c r="A2807" s="8">
        <v>4</v>
      </c>
      <c r="B2807" t="s" s="9">
        <v>41</v>
      </c>
      <c r="C2807" t="s" s="9">
        <v>62</v>
      </c>
      <c r="D2807" t="s" s="9">
        <v>54</v>
      </c>
      <c r="E2807" t="s" s="9">
        <v>71</v>
      </c>
      <c r="F2807" s="10">
        <v>7440</v>
      </c>
      <c r="G2807" s="10">
        <v>3901529</v>
      </c>
      <c r="H2807" s="11" cm="1">
        <f t="array" ref="H2807">F2807/G2807*100000</f>
        <v>190.694468758274</v>
      </c>
    </row>
    <row r="2808" ht="13" customHeight="1">
      <c r="A2808" s="8">
        <v>5</v>
      </c>
      <c r="B2808" t="s" s="9">
        <v>30</v>
      </c>
      <c r="C2808" t="s" s="9">
        <v>62</v>
      </c>
      <c r="D2808" t="s" s="9">
        <v>54</v>
      </c>
      <c r="E2808" t="s" s="9">
        <v>71</v>
      </c>
      <c r="F2808" s="10">
        <v>4665</v>
      </c>
      <c r="G2808" s="10">
        <v>3901529</v>
      </c>
      <c r="H2808" s="11" cm="1">
        <f t="array" ref="H2808">F2808/G2808*100000</f>
        <v>119.568507628676</v>
      </c>
    </row>
    <row r="2809" ht="13" customHeight="1">
      <c r="A2809" s="8">
        <v>6</v>
      </c>
      <c r="B2809" t="s" s="9">
        <v>35</v>
      </c>
      <c r="C2809" t="s" s="9">
        <v>62</v>
      </c>
      <c r="D2809" t="s" s="9">
        <v>54</v>
      </c>
      <c r="E2809" t="s" s="9">
        <v>71</v>
      </c>
      <c r="F2809" s="10">
        <v>3570</v>
      </c>
      <c r="G2809" s="10">
        <v>3901529</v>
      </c>
      <c r="H2809" s="11" cm="1">
        <f t="array" ref="H2809">F2809/G2809*100000</f>
        <v>91.5025878315912</v>
      </c>
    </row>
    <row r="2810" ht="13" customHeight="1">
      <c r="A2810" s="8">
        <v>7</v>
      </c>
      <c r="B2810" t="s" s="9">
        <v>41</v>
      </c>
      <c r="C2810" t="s" s="9">
        <v>62</v>
      </c>
      <c r="D2810" t="s" s="9">
        <v>54</v>
      </c>
      <c r="E2810" t="s" s="9">
        <v>71</v>
      </c>
      <c r="F2810" s="10">
        <v>4380</v>
      </c>
      <c r="G2810" s="10">
        <v>3901529</v>
      </c>
      <c r="H2810" s="11" cm="1">
        <f t="array" ref="H2810">F2810/G2810*100000</f>
        <v>112.263679188339</v>
      </c>
    </row>
    <row r="2811" ht="13" customHeight="1">
      <c r="A2811" s="8">
        <v>8</v>
      </c>
      <c r="B2811" t="s" s="9">
        <v>45</v>
      </c>
      <c r="C2811" t="s" s="9">
        <v>62</v>
      </c>
      <c r="D2811" t="s" s="9">
        <v>54</v>
      </c>
      <c r="E2811" t="s" s="9">
        <v>71</v>
      </c>
      <c r="F2811" s="10">
        <v>3570</v>
      </c>
      <c r="G2811" s="10">
        <v>3901529</v>
      </c>
      <c r="H2811" s="11" cm="1">
        <f t="array" ref="H2811">F2811/G2811*100000</f>
        <v>91.5025878315912</v>
      </c>
    </row>
    <row r="2812" ht="13" customHeight="1">
      <c r="A2812" s="8">
        <v>9</v>
      </c>
      <c r="B2812" t="s" s="9">
        <v>45</v>
      </c>
      <c r="C2812" t="s" s="9">
        <v>62</v>
      </c>
      <c r="D2812" t="s" s="9">
        <v>54</v>
      </c>
      <c r="E2812" t="s" s="9">
        <v>71</v>
      </c>
      <c r="F2812" s="10">
        <v>3555</v>
      </c>
      <c r="G2812" s="10">
        <v>3901529</v>
      </c>
      <c r="H2812" s="11" cm="1">
        <f t="array" ref="H2812">F2812/G2812*100000</f>
        <v>91.1181231768366</v>
      </c>
    </row>
    <row r="2813" ht="13" customHeight="1">
      <c r="A2813" s="8">
        <v>10</v>
      </c>
      <c r="B2813" t="s" s="9">
        <v>39</v>
      </c>
      <c r="C2813" t="s" s="9">
        <v>62</v>
      </c>
      <c r="D2813" t="s" s="9">
        <v>54</v>
      </c>
      <c r="E2813" t="s" s="9">
        <v>71</v>
      </c>
      <c r="F2813" s="10">
        <v>5055</v>
      </c>
      <c r="G2813" s="10">
        <v>3901529</v>
      </c>
      <c r="H2813" s="11" cm="1">
        <f t="array" ref="H2813">F2813/G2813*100000</f>
        <v>129.564588652295</v>
      </c>
    </row>
    <row r="2814" ht="13" customHeight="1">
      <c r="A2814" s="8">
        <v>1</v>
      </c>
      <c r="B2814" t="s" s="9">
        <v>30</v>
      </c>
      <c r="C2814" t="s" s="9">
        <v>62</v>
      </c>
      <c r="D2814" t="s" s="9">
        <v>55</v>
      </c>
      <c r="E2814" t="s" s="9">
        <v>71</v>
      </c>
      <c r="F2814" s="10">
        <v>52545</v>
      </c>
      <c r="G2814" s="10">
        <v>5273604</v>
      </c>
      <c r="H2814" s="11" cm="1">
        <f t="array" ref="H2814">F2814/G2814*100000</f>
        <v>996.377429932168</v>
      </c>
    </row>
    <row r="2815" ht="13" customHeight="1">
      <c r="A2815" s="8">
        <v>2</v>
      </c>
      <c r="B2815" t="s" s="9">
        <v>35</v>
      </c>
      <c r="C2815" t="s" s="9">
        <v>62</v>
      </c>
      <c r="D2815" t="s" s="9">
        <v>55</v>
      </c>
      <c r="E2815" t="s" s="9">
        <v>71</v>
      </c>
      <c r="F2815" s="10">
        <v>38130</v>
      </c>
      <c r="G2815" s="10">
        <v>5273604</v>
      </c>
      <c r="H2815" s="11" cm="1">
        <f t="array" ref="H2815">F2815/G2815*100000</f>
        <v>723.034949154316</v>
      </c>
    </row>
    <row r="2816" ht="13" customHeight="1">
      <c r="A2816" s="8">
        <v>3</v>
      </c>
      <c r="B2816" t="s" s="9">
        <v>34</v>
      </c>
      <c r="C2816" t="s" s="9">
        <v>62</v>
      </c>
      <c r="D2816" t="s" s="9">
        <v>55</v>
      </c>
      <c r="E2816" t="s" s="9">
        <v>71</v>
      </c>
      <c r="F2816" s="10">
        <v>27645</v>
      </c>
      <c r="G2816" s="10">
        <v>5273604</v>
      </c>
      <c r="H2816" s="11" cm="1">
        <f t="array" ref="H2816">F2816/G2816*100000</f>
        <v>524.214559910073</v>
      </c>
    </row>
    <row r="2817" ht="13" customHeight="1">
      <c r="A2817" s="8">
        <v>4</v>
      </c>
      <c r="B2817" t="s" s="9">
        <v>35</v>
      </c>
      <c r="C2817" t="s" s="9">
        <v>62</v>
      </c>
      <c r="D2817" t="s" s="9">
        <v>55</v>
      </c>
      <c r="E2817" t="s" s="9">
        <v>71</v>
      </c>
      <c r="F2817" s="10">
        <v>19485</v>
      </c>
      <c r="G2817" s="10">
        <v>5273604</v>
      </c>
      <c r="H2817" s="11" cm="1">
        <f t="array" ref="H2817">F2817/G2817*100000</f>
        <v>369.481667565483</v>
      </c>
    </row>
    <row r="2818" ht="13" customHeight="1">
      <c r="A2818" s="8">
        <v>5</v>
      </c>
      <c r="B2818" t="s" s="9">
        <v>30</v>
      </c>
      <c r="C2818" t="s" s="9">
        <v>62</v>
      </c>
      <c r="D2818" t="s" s="9">
        <v>55</v>
      </c>
      <c r="E2818" t="s" s="9">
        <v>71</v>
      </c>
      <c r="F2818" s="10">
        <v>15105</v>
      </c>
      <c r="G2818" s="10">
        <v>5273604</v>
      </c>
      <c r="H2818" s="11" cm="1">
        <f t="array" ref="H2818">F2818/G2818*100000</f>
        <v>286.426512115813</v>
      </c>
    </row>
    <row r="2819" ht="13" customHeight="1">
      <c r="A2819" s="8">
        <v>6</v>
      </c>
      <c r="B2819" t="s" s="9">
        <v>39</v>
      </c>
      <c r="C2819" t="s" s="9">
        <v>62</v>
      </c>
      <c r="D2819" t="s" s="9">
        <v>55</v>
      </c>
      <c r="E2819" t="s" s="9">
        <v>71</v>
      </c>
      <c r="F2819" s="10">
        <v>18690</v>
      </c>
      <c r="G2819" s="10">
        <v>5273604</v>
      </c>
      <c r="H2819" s="11" cm="1">
        <f t="array" ref="H2819">F2819/G2819*100000</f>
        <v>354.406587980440</v>
      </c>
    </row>
    <row r="2820" ht="13" customHeight="1">
      <c r="A2820" s="8">
        <v>7</v>
      </c>
      <c r="B2820" t="s" s="9">
        <v>41</v>
      </c>
      <c r="C2820" t="s" s="9">
        <v>62</v>
      </c>
      <c r="D2820" t="s" s="9">
        <v>55</v>
      </c>
      <c r="E2820" t="s" s="9">
        <v>71</v>
      </c>
      <c r="F2820" s="10">
        <v>12075</v>
      </c>
      <c r="G2820" s="10">
        <v>5273604</v>
      </c>
      <c r="H2820" s="11" cm="1">
        <f t="array" ref="H2820">F2820/G2820*100000</f>
        <v>228.970548414329</v>
      </c>
    </row>
    <row r="2821" ht="13" customHeight="1">
      <c r="A2821" s="8">
        <v>8</v>
      </c>
      <c r="B2821" t="s" s="9">
        <v>36</v>
      </c>
      <c r="C2821" t="s" s="9">
        <v>62</v>
      </c>
      <c r="D2821" t="s" s="9">
        <v>55</v>
      </c>
      <c r="E2821" t="s" s="9">
        <v>71</v>
      </c>
      <c r="F2821" s="10">
        <v>10185</v>
      </c>
      <c r="G2821" s="10">
        <v>5273604</v>
      </c>
      <c r="H2821" s="11" cm="1">
        <f t="array" ref="H2821">F2821/G2821*100000</f>
        <v>193.131679966869</v>
      </c>
    </row>
    <row r="2822" ht="13" customHeight="1">
      <c r="A2822" s="8">
        <v>9</v>
      </c>
      <c r="B2822" t="s" s="9">
        <v>36</v>
      </c>
      <c r="C2822" t="s" s="9">
        <v>62</v>
      </c>
      <c r="D2822" t="s" s="9">
        <v>55</v>
      </c>
      <c r="E2822" t="s" s="9">
        <v>71</v>
      </c>
      <c r="F2822" s="10">
        <v>10845</v>
      </c>
      <c r="G2822" s="10">
        <v>5273604</v>
      </c>
      <c r="H2822" s="11" cm="1">
        <f t="array" ref="H2822">F2822/G2822*100000</f>
        <v>205.646840377093</v>
      </c>
    </row>
    <row r="2823" ht="13" customHeight="1">
      <c r="A2823" s="8">
        <v>10</v>
      </c>
      <c r="B2823" t="s" s="9">
        <v>37</v>
      </c>
      <c r="C2823" t="s" s="9">
        <v>62</v>
      </c>
      <c r="D2823" t="s" s="9">
        <v>55</v>
      </c>
      <c r="E2823" t="s" s="9">
        <v>71</v>
      </c>
      <c r="F2823" s="10">
        <v>6570</v>
      </c>
      <c r="G2823" s="10">
        <v>5273604</v>
      </c>
      <c r="H2823" s="11" cm="1">
        <f t="array" ref="H2823">F2823/G2823*100000</f>
        <v>124.582733174505</v>
      </c>
    </row>
    <row r="2824" ht="13" customHeight="1">
      <c r="A2824" s="8">
        <v>1</v>
      </c>
      <c r="B2824" t="s" s="9">
        <v>34</v>
      </c>
      <c r="C2824" t="s" s="9">
        <v>62</v>
      </c>
      <c r="D2824" t="s" s="9">
        <v>56</v>
      </c>
      <c r="E2824" t="s" s="9">
        <v>71</v>
      </c>
      <c r="F2824" s="10">
        <v>25806</v>
      </c>
      <c r="G2824" s="10">
        <v>5691183</v>
      </c>
      <c r="H2824" s="11" cm="1">
        <f t="array" ref="H2824">F2824/G2824*100000</f>
        <v>453.438239466206</v>
      </c>
    </row>
    <row r="2825" ht="13" customHeight="1">
      <c r="A2825" s="8">
        <v>2</v>
      </c>
      <c r="B2825" t="s" s="9">
        <v>30</v>
      </c>
      <c r="C2825" t="s" s="9">
        <v>62</v>
      </c>
      <c r="D2825" t="s" s="9">
        <v>56</v>
      </c>
      <c r="E2825" t="s" s="9">
        <v>71</v>
      </c>
      <c r="F2825" s="10">
        <v>27999</v>
      </c>
      <c r="G2825" s="10">
        <v>5691183</v>
      </c>
      <c r="H2825" s="11" cm="1">
        <f t="array" ref="H2825">F2825/G2825*100000</f>
        <v>491.971528590804</v>
      </c>
    </row>
    <row r="2826" ht="13" customHeight="1">
      <c r="A2826" s="8">
        <v>3</v>
      </c>
      <c r="B2826" t="s" s="9">
        <v>35</v>
      </c>
      <c r="C2826" t="s" s="9">
        <v>62</v>
      </c>
      <c r="D2826" t="s" s="9">
        <v>56</v>
      </c>
      <c r="E2826" t="s" s="9">
        <v>71</v>
      </c>
      <c r="F2826" s="10">
        <v>27523</v>
      </c>
      <c r="G2826" s="10">
        <v>5691183</v>
      </c>
      <c r="H2826" s="11" cm="1">
        <f t="array" ref="H2826">F2826/G2826*100000</f>
        <v>483.607713897093</v>
      </c>
    </row>
    <row r="2827" ht="13" customHeight="1">
      <c r="A2827" s="8">
        <v>4</v>
      </c>
      <c r="B2827" t="s" s="9">
        <v>30</v>
      </c>
      <c r="C2827" t="s" s="9">
        <v>62</v>
      </c>
      <c r="D2827" t="s" s="9">
        <v>56</v>
      </c>
      <c r="E2827" t="s" s="9">
        <v>71</v>
      </c>
      <c r="F2827" s="10">
        <v>11611</v>
      </c>
      <c r="G2827" s="10">
        <v>5691183</v>
      </c>
      <c r="H2827" s="11" cm="1">
        <f t="array" ref="H2827">F2827/G2827*100000</f>
        <v>204.017336993029</v>
      </c>
    </row>
    <row r="2828" ht="13" customHeight="1">
      <c r="A2828" s="8">
        <v>5</v>
      </c>
      <c r="B2828" t="s" s="9">
        <v>37</v>
      </c>
      <c r="C2828" t="s" s="9">
        <v>62</v>
      </c>
      <c r="D2828" t="s" s="9">
        <v>56</v>
      </c>
      <c r="E2828" t="s" s="9">
        <v>71</v>
      </c>
      <c r="F2828" s="10">
        <v>12563</v>
      </c>
      <c r="G2828" s="10">
        <v>5691183</v>
      </c>
      <c r="H2828" s="11" cm="1">
        <f t="array" ref="H2828">F2828/G2828*100000</f>
        <v>220.744966380452</v>
      </c>
    </row>
    <row r="2829" ht="13" customHeight="1">
      <c r="A2829" s="8">
        <v>6</v>
      </c>
      <c r="B2829" t="s" s="9">
        <v>35</v>
      </c>
      <c r="C2829" t="s" s="9">
        <v>62</v>
      </c>
      <c r="D2829" t="s" s="9">
        <v>56</v>
      </c>
      <c r="E2829" t="s" s="9">
        <v>71</v>
      </c>
      <c r="F2829" s="10">
        <v>8874</v>
      </c>
      <c r="G2829" s="10">
        <v>5691183</v>
      </c>
      <c r="H2829" s="11" cm="1">
        <f t="array" ref="H2829">F2829/G2829*100000</f>
        <v>155.925402504189</v>
      </c>
    </row>
    <row r="2830" ht="13" customHeight="1">
      <c r="A2830" s="8">
        <v>7</v>
      </c>
      <c r="B2830" t="s" s="9">
        <v>39</v>
      </c>
      <c r="C2830" t="s" s="9">
        <v>62</v>
      </c>
      <c r="D2830" t="s" s="9">
        <v>56</v>
      </c>
      <c r="E2830" t="s" s="9">
        <v>71</v>
      </c>
      <c r="F2830" s="10">
        <v>11084</v>
      </c>
      <c r="G2830" s="10">
        <v>5691183</v>
      </c>
      <c r="H2830" s="11" cm="1">
        <f t="array" ref="H2830">F2830/G2830*100000</f>
        <v>194.757399296420</v>
      </c>
    </row>
    <row r="2831" ht="13" customHeight="1">
      <c r="A2831" s="8">
        <v>8</v>
      </c>
      <c r="B2831" t="s" s="9">
        <v>30</v>
      </c>
      <c r="C2831" t="s" s="9">
        <v>62</v>
      </c>
      <c r="D2831" t="s" s="9">
        <v>56</v>
      </c>
      <c r="E2831" t="s" s="9">
        <v>71</v>
      </c>
      <c r="F2831" s="10">
        <v>6222</v>
      </c>
      <c r="G2831" s="10">
        <v>5691183</v>
      </c>
      <c r="H2831" s="11" cm="1">
        <f t="array" ref="H2831">F2831/G2831*100000</f>
        <v>109.327006353512</v>
      </c>
    </row>
    <row r="2832" ht="13" customHeight="1">
      <c r="A2832" s="8">
        <v>9</v>
      </c>
      <c r="B2832" t="s" s="9">
        <v>36</v>
      </c>
      <c r="C2832" t="s" s="9">
        <v>62</v>
      </c>
      <c r="D2832" t="s" s="9">
        <v>56</v>
      </c>
      <c r="E2832" t="s" s="9">
        <v>71</v>
      </c>
      <c r="F2832" s="10">
        <v>3315</v>
      </c>
      <c r="G2832" s="10">
        <v>5691183</v>
      </c>
      <c r="H2832" s="11" cm="1">
        <f t="array" ref="H2832">F2832/G2832*100000</f>
        <v>58.2479951883466</v>
      </c>
    </row>
    <row r="2833" ht="13" customHeight="1">
      <c r="A2833" s="8">
        <v>10</v>
      </c>
      <c r="B2833" t="s" s="9">
        <v>41</v>
      </c>
      <c r="C2833" t="s" s="9">
        <v>62</v>
      </c>
      <c r="D2833" t="s" s="9">
        <v>56</v>
      </c>
      <c r="E2833" t="s" s="9">
        <v>71</v>
      </c>
      <c r="F2833" s="10">
        <v>3417</v>
      </c>
      <c r="G2833" s="10">
        <v>5691183</v>
      </c>
      <c r="H2833" s="11" cm="1">
        <f t="array" ref="H2833">F2833/G2833*100000</f>
        <v>60.0402411941419</v>
      </c>
    </row>
    <row r="2834" ht="13" customHeight="1">
      <c r="A2834" s="8">
        <v>1</v>
      </c>
      <c r="B2834" t="s" s="9">
        <v>35</v>
      </c>
      <c r="C2834" t="s" s="9">
        <v>62</v>
      </c>
      <c r="D2834" t="s" s="9">
        <v>57</v>
      </c>
      <c r="E2834" t="s" s="9">
        <v>71</v>
      </c>
      <c r="F2834" s="10">
        <v>14807</v>
      </c>
      <c r="G2834" s="10">
        <v>5214931</v>
      </c>
      <c r="H2834" s="11" cm="1">
        <f t="array" ref="H2834">F2834/G2834*100000</f>
        <v>283.934725119086</v>
      </c>
    </row>
    <row r="2835" ht="13" customHeight="1">
      <c r="A2835" s="8">
        <v>2</v>
      </c>
      <c r="B2835" t="s" s="9">
        <v>30</v>
      </c>
      <c r="C2835" t="s" s="9">
        <v>62</v>
      </c>
      <c r="D2835" t="s" s="9">
        <v>57</v>
      </c>
      <c r="E2835" t="s" s="9">
        <v>71</v>
      </c>
      <c r="F2835" s="10">
        <v>4186</v>
      </c>
      <c r="G2835" s="10">
        <v>5214931</v>
      </c>
      <c r="H2835" s="11" cm="1">
        <f t="array" ref="H2835">F2835/G2835*100000</f>
        <v>80.2695184269936</v>
      </c>
    </row>
    <row r="2836" ht="13" customHeight="1">
      <c r="A2836" s="8">
        <v>3</v>
      </c>
      <c r="B2836" t="s" s="9">
        <v>45</v>
      </c>
      <c r="C2836" t="s" s="9">
        <v>62</v>
      </c>
      <c r="D2836" t="s" s="9">
        <v>57</v>
      </c>
      <c r="E2836" t="s" s="9">
        <v>71</v>
      </c>
      <c r="F2836" s="10">
        <v>1014</v>
      </c>
      <c r="G2836" s="10">
        <v>5214931</v>
      </c>
      <c r="H2836" s="11" cm="1">
        <f t="array" ref="H2836">F2836/G2836*100000</f>
        <v>19.444169059955</v>
      </c>
    </row>
    <row r="2837" ht="13" customHeight="1">
      <c r="A2837" s="8">
        <v>4</v>
      </c>
      <c r="B2837" t="s" s="9">
        <v>45</v>
      </c>
      <c r="C2837" t="s" s="9">
        <v>62</v>
      </c>
      <c r="D2837" t="s" s="9">
        <v>57</v>
      </c>
      <c r="E2837" t="s" s="9">
        <v>71</v>
      </c>
      <c r="F2837" s="10">
        <v>195</v>
      </c>
      <c r="G2837" s="10">
        <v>5214931</v>
      </c>
      <c r="H2837" s="11" cm="1">
        <f t="array" ref="H2837">F2837/G2837*100000</f>
        <v>3.73926328076057</v>
      </c>
    </row>
    <row r="2838" ht="13" customHeight="1">
      <c r="A2838" s="8">
        <v>5</v>
      </c>
      <c r="B2838" t="s" s="9">
        <v>30</v>
      </c>
      <c r="C2838" t="s" s="9">
        <v>62</v>
      </c>
      <c r="D2838" t="s" s="9">
        <v>57</v>
      </c>
      <c r="E2838" t="s" s="9">
        <v>71</v>
      </c>
      <c r="F2838" s="10">
        <v>104</v>
      </c>
      <c r="G2838" s="10">
        <v>5214931</v>
      </c>
      <c r="H2838" s="11" cm="1">
        <f t="array" ref="H2838">F2838/G2838*100000</f>
        <v>1.99427374973897</v>
      </c>
    </row>
    <row r="2839" ht="13" customHeight="1">
      <c r="A2839" s="8">
        <v>6</v>
      </c>
      <c r="B2839" t="s" s="9">
        <v>45</v>
      </c>
      <c r="C2839" t="s" s="9">
        <v>62</v>
      </c>
      <c r="D2839" t="s" s="9">
        <v>57</v>
      </c>
      <c r="E2839" t="s" s="9">
        <v>71</v>
      </c>
      <c r="F2839" s="10">
        <v>13</v>
      </c>
      <c r="G2839" s="10">
        <v>5214931</v>
      </c>
      <c r="H2839" s="11" cm="1">
        <f t="array" ref="H2839">F2839/G2839*100000</f>
        <v>0.249284218717371</v>
      </c>
    </row>
    <row r="2840" ht="13" customHeight="1">
      <c r="A2840" s="8">
        <v>7</v>
      </c>
      <c r="B2840" t="s" s="9">
        <v>48</v>
      </c>
      <c r="C2840" t="s" s="9">
        <v>62</v>
      </c>
      <c r="D2840" t="s" s="9">
        <v>57</v>
      </c>
      <c r="E2840" t="s" s="9">
        <v>71</v>
      </c>
      <c r="F2840" s="10">
        <v>0</v>
      </c>
      <c r="G2840" s="10">
        <v>5214931</v>
      </c>
      <c r="H2840" t="s" s="9">
        <v>50</v>
      </c>
    </row>
    <row r="2841" ht="13" customHeight="1">
      <c r="A2841" s="8">
        <v>8</v>
      </c>
      <c r="B2841" t="s" s="9">
        <v>48</v>
      </c>
      <c r="C2841" t="s" s="9">
        <v>62</v>
      </c>
      <c r="D2841" t="s" s="9">
        <v>57</v>
      </c>
      <c r="E2841" t="s" s="9">
        <v>71</v>
      </c>
      <c r="F2841" s="10">
        <v>0</v>
      </c>
      <c r="G2841" s="10">
        <v>5214931</v>
      </c>
      <c r="H2841" t="s" s="9">
        <v>50</v>
      </c>
    </row>
    <row r="2842" ht="13" customHeight="1">
      <c r="A2842" s="8">
        <v>9</v>
      </c>
      <c r="B2842" t="s" s="9">
        <v>48</v>
      </c>
      <c r="C2842" t="s" s="9">
        <v>62</v>
      </c>
      <c r="D2842" t="s" s="9">
        <v>57</v>
      </c>
      <c r="E2842" t="s" s="9">
        <v>71</v>
      </c>
      <c r="F2842" s="10">
        <v>0</v>
      </c>
      <c r="G2842" s="10">
        <v>5214931</v>
      </c>
      <c r="H2842" t="s" s="9">
        <v>50</v>
      </c>
    </row>
    <row r="2843" ht="13" customHeight="1">
      <c r="A2843" s="8">
        <v>10</v>
      </c>
      <c r="B2843" t="s" s="9">
        <v>48</v>
      </c>
      <c r="C2843" t="s" s="9">
        <v>62</v>
      </c>
      <c r="D2843" t="s" s="9">
        <v>57</v>
      </c>
      <c r="E2843" t="s" s="9">
        <v>71</v>
      </c>
      <c r="F2843" s="10">
        <v>0</v>
      </c>
      <c r="G2843" s="10">
        <v>5214931</v>
      </c>
      <c r="H2843" t="s" s="9">
        <v>50</v>
      </c>
    </row>
    <row r="2844" ht="13" customHeight="1">
      <c r="A2844" s="8">
        <v>1</v>
      </c>
      <c r="B2844" t="s" s="9">
        <v>35</v>
      </c>
      <c r="C2844" t="s" s="9">
        <v>62</v>
      </c>
      <c r="D2844" t="s" s="9">
        <v>20</v>
      </c>
      <c r="E2844" t="s" s="9">
        <v>71</v>
      </c>
      <c r="F2844" s="10">
        <v>4575</v>
      </c>
      <c r="G2844" s="10">
        <v>2889689</v>
      </c>
      <c r="H2844" s="11" cm="1">
        <f t="array" ref="H2844">F2844/G2844*100000</f>
        <v>158.321535639302</v>
      </c>
    </row>
    <row r="2845" ht="13" customHeight="1">
      <c r="A2845" s="8">
        <v>2</v>
      </c>
      <c r="B2845" t="s" s="9">
        <v>30</v>
      </c>
      <c r="C2845" t="s" s="9">
        <v>62</v>
      </c>
      <c r="D2845" t="s" s="9">
        <v>20</v>
      </c>
      <c r="E2845" t="s" s="9">
        <v>71</v>
      </c>
      <c r="F2845" s="10">
        <v>2640</v>
      </c>
      <c r="G2845" s="10">
        <v>2889689</v>
      </c>
      <c r="H2845" s="11" cm="1">
        <f t="array" ref="H2845">F2845/G2845*100000</f>
        <v>91.3593123689089</v>
      </c>
    </row>
    <row r="2846" ht="13" customHeight="1">
      <c r="A2846" s="8">
        <v>3</v>
      </c>
      <c r="B2846" t="s" s="9">
        <v>34</v>
      </c>
      <c r="C2846" t="s" s="9">
        <v>62</v>
      </c>
      <c r="D2846" t="s" s="9">
        <v>20</v>
      </c>
      <c r="E2846" t="s" s="9">
        <v>71</v>
      </c>
      <c r="F2846" s="10">
        <v>2100</v>
      </c>
      <c r="G2846" s="10">
        <v>2889689</v>
      </c>
      <c r="H2846" s="11" cm="1">
        <f t="array" ref="H2846">F2846/G2846*100000</f>
        <v>72.6721802934503</v>
      </c>
    </row>
    <row r="2847" ht="13" customHeight="1">
      <c r="A2847" s="8">
        <v>4</v>
      </c>
      <c r="B2847" t="s" s="9">
        <v>35</v>
      </c>
      <c r="C2847" t="s" s="9">
        <v>62</v>
      </c>
      <c r="D2847" t="s" s="9">
        <v>20</v>
      </c>
      <c r="E2847" t="s" s="9">
        <v>71</v>
      </c>
      <c r="F2847" s="10">
        <v>1455</v>
      </c>
      <c r="G2847" s="10">
        <v>2889689</v>
      </c>
      <c r="H2847" s="11" cm="1">
        <f t="array" ref="H2847">F2847/G2847*100000</f>
        <v>50.3514392033191</v>
      </c>
    </row>
    <row r="2848" ht="13" customHeight="1">
      <c r="A2848" s="8">
        <v>5</v>
      </c>
      <c r="B2848" t="s" s="9">
        <v>39</v>
      </c>
      <c r="C2848" t="s" s="9">
        <v>62</v>
      </c>
      <c r="D2848" t="s" s="9">
        <v>20</v>
      </c>
      <c r="E2848" t="s" s="9">
        <v>71</v>
      </c>
      <c r="F2848" s="10">
        <v>1785</v>
      </c>
      <c r="G2848" s="10">
        <v>2889689</v>
      </c>
      <c r="H2848" s="11" cm="1">
        <f t="array" ref="H2848">F2848/G2848*100000</f>
        <v>61.7713532494327</v>
      </c>
    </row>
    <row r="2849" ht="13" customHeight="1">
      <c r="A2849" s="8">
        <v>6</v>
      </c>
      <c r="B2849" t="s" s="9">
        <v>30</v>
      </c>
      <c r="C2849" t="s" s="9">
        <v>62</v>
      </c>
      <c r="D2849" t="s" s="9">
        <v>20</v>
      </c>
      <c r="E2849" t="s" s="9">
        <v>71</v>
      </c>
      <c r="F2849" s="10">
        <v>1095</v>
      </c>
      <c r="G2849" s="10">
        <v>2889689</v>
      </c>
      <c r="H2849" s="11" cm="1">
        <f t="array" ref="H2849">F2849/G2849*100000</f>
        <v>37.8933511530134</v>
      </c>
    </row>
    <row r="2850" ht="13" customHeight="1">
      <c r="A2850" s="8">
        <v>7</v>
      </c>
      <c r="B2850" t="s" s="9">
        <v>41</v>
      </c>
      <c r="C2850" t="s" s="9">
        <v>62</v>
      </c>
      <c r="D2850" t="s" s="9">
        <v>20</v>
      </c>
      <c r="E2850" t="s" s="9">
        <v>71</v>
      </c>
      <c r="F2850" s="10">
        <v>930</v>
      </c>
      <c r="G2850" s="10">
        <v>2889689</v>
      </c>
      <c r="H2850" s="11" cm="1">
        <f t="array" ref="H2850">F2850/G2850*100000</f>
        <v>32.1833941299565</v>
      </c>
    </row>
    <row r="2851" ht="13" customHeight="1">
      <c r="A2851" s="8">
        <v>8</v>
      </c>
      <c r="B2851" t="s" s="9">
        <v>30</v>
      </c>
      <c r="C2851" t="s" s="9">
        <v>62</v>
      </c>
      <c r="D2851" t="s" s="9">
        <v>20</v>
      </c>
      <c r="E2851" t="s" s="9">
        <v>71</v>
      </c>
      <c r="F2851" s="10">
        <v>615</v>
      </c>
      <c r="G2851" s="10">
        <v>2889689</v>
      </c>
      <c r="H2851" s="11" cm="1">
        <f t="array" ref="H2851">F2851/G2851*100000</f>
        <v>21.282567085939</v>
      </c>
    </row>
    <row r="2852" ht="13" customHeight="1">
      <c r="A2852" s="8">
        <v>9</v>
      </c>
      <c r="B2852" t="s" s="9">
        <v>36</v>
      </c>
      <c r="C2852" t="s" s="9">
        <v>62</v>
      </c>
      <c r="D2852" t="s" s="9">
        <v>20</v>
      </c>
      <c r="E2852" t="s" s="9">
        <v>71</v>
      </c>
      <c r="F2852" s="10">
        <v>570</v>
      </c>
      <c r="G2852" s="10">
        <v>2889689</v>
      </c>
      <c r="H2852" s="11" cm="1">
        <f t="array" ref="H2852">F2852/G2852*100000</f>
        <v>19.7253060796508</v>
      </c>
    </row>
    <row r="2853" ht="13" customHeight="1">
      <c r="A2853" s="8">
        <v>10</v>
      </c>
      <c r="B2853" t="s" s="9">
        <v>37</v>
      </c>
      <c r="C2853" t="s" s="9">
        <v>62</v>
      </c>
      <c r="D2853" t="s" s="9">
        <v>20</v>
      </c>
      <c r="E2853" t="s" s="9">
        <v>71</v>
      </c>
      <c r="F2853" s="10">
        <v>645</v>
      </c>
      <c r="G2853" s="10">
        <v>2889689</v>
      </c>
      <c r="H2853" s="11" cm="1">
        <f t="array" ref="H2853">F2853/G2853*100000</f>
        <v>22.3207410901312</v>
      </c>
    </row>
    <row r="2854" ht="13" customHeight="1">
      <c r="A2854" s="8">
        <v>1</v>
      </c>
      <c r="B2854" t="s" s="9">
        <v>30</v>
      </c>
      <c r="C2854" t="s" s="9">
        <v>62</v>
      </c>
      <c r="D2854" t="s" s="9">
        <v>21</v>
      </c>
      <c r="E2854" t="s" s="9">
        <v>71</v>
      </c>
      <c r="F2854" s="10">
        <v>17840</v>
      </c>
      <c r="G2854" s="10">
        <v>4635519</v>
      </c>
      <c r="H2854" s="11" cm="1">
        <f t="array" ref="H2854">F2854/G2854*100000</f>
        <v>384.854425146354</v>
      </c>
    </row>
    <row r="2855" ht="13" customHeight="1">
      <c r="A2855" s="8">
        <v>2</v>
      </c>
      <c r="B2855" t="s" s="9">
        <v>36</v>
      </c>
      <c r="C2855" t="s" s="9">
        <v>62</v>
      </c>
      <c r="D2855" t="s" s="9">
        <v>21</v>
      </c>
      <c r="E2855" t="s" s="9">
        <v>71</v>
      </c>
      <c r="F2855" s="10">
        <v>12704</v>
      </c>
      <c r="G2855" s="10">
        <v>4635519</v>
      </c>
      <c r="H2855" s="11" cm="1">
        <f t="array" ref="H2855">F2855/G2855*100000</f>
        <v>274.057770014533</v>
      </c>
    </row>
    <row r="2856" ht="13" customHeight="1">
      <c r="A2856" s="8">
        <v>3</v>
      </c>
      <c r="B2856" t="s" s="9">
        <v>45</v>
      </c>
      <c r="C2856" t="s" s="9">
        <v>62</v>
      </c>
      <c r="D2856" t="s" s="9">
        <v>21</v>
      </c>
      <c r="E2856" t="s" s="9">
        <v>71</v>
      </c>
      <c r="F2856" s="10">
        <v>5552</v>
      </c>
      <c r="G2856" s="10">
        <v>4635519</v>
      </c>
      <c r="H2856" s="11" cm="1">
        <f t="array" ref="H2856">F2856/G2856*100000</f>
        <v>119.770839036578</v>
      </c>
    </row>
    <row r="2857" ht="13" customHeight="1">
      <c r="A2857" s="8">
        <v>4</v>
      </c>
      <c r="B2857" t="s" s="9">
        <v>34</v>
      </c>
      <c r="C2857" t="s" s="9">
        <v>62</v>
      </c>
      <c r="D2857" t="s" s="9">
        <v>21</v>
      </c>
      <c r="E2857" t="s" s="9">
        <v>71</v>
      </c>
      <c r="F2857" s="10">
        <v>5936</v>
      </c>
      <c r="G2857" s="10">
        <v>4635519</v>
      </c>
      <c r="H2857" s="11" cm="1">
        <f t="array" ref="H2857">F2857/G2857*100000</f>
        <v>128.054701102509</v>
      </c>
    </row>
    <row r="2858" ht="13" customHeight="1">
      <c r="A2858" s="8">
        <v>5</v>
      </c>
      <c r="B2858" t="s" s="9">
        <v>35</v>
      </c>
      <c r="C2858" t="s" s="9">
        <v>62</v>
      </c>
      <c r="D2858" t="s" s="9">
        <v>21</v>
      </c>
      <c r="E2858" t="s" s="9">
        <v>71</v>
      </c>
      <c r="F2858" s="10">
        <v>4352</v>
      </c>
      <c r="G2858" s="10">
        <v>4635519</v>
      </c>
      <c r="H2858" s="11" cm="1">
        <f t="array" ref="H2858">F2858/G2858*100000</f>
        <v>93.8837700805455</v>
      </c>
    </row>
    <row r="2859" ht="13" customHeight="1">
      <c r="A2859" s="8">
        <v>6</v>
      </c>
      <c r="B2859" t="s" s="9">
        <v>41</v>
      </c>
      <c r="C2859" t="s" s="9">
        <v>62</v>
      </c>
      <c r="D2859" t="s" s="9">
        <v>21</v>
      </c>
      <c r="E2859" t="s" s="9">
        <v>71</v>
      </c>
      <c r="F2859" s="10">
        <v>4432</v>
      </c>
      <c r="G2859" s="10">
        <v>4635519</v>
      </c>
      <c r="H2859" s="11" cm="1">
        <f t="array" ref="H2859">F2859/G2859*100000</f>
        <v>95.6095746776143</v>
      </c>
    </row>
    <row r="2860" ht="13" customHeight="1">
      <c r="A2860" s="8">
        <v>7</v>
      </c>
      <c r="B2860" t="s" s="9">
        <v>30</v>
      </c>
      <c r="C2860" t="s" s="9">
        <v>62</v>
      </c>
      <c r="D2860" t="s" s="9">
        <v>21</v>
      </c>
      <c r="E2860" t="s" s="9">
        <v>71</v>
      </c>
      <c r="F2860" s="10">
        <v>3952</v>
      </c>
      <c r="G2860" s="10">
        <v>4635519</v>
      </c>
      <c r="H2860" s="11" cm="1">
        <f t="array" ref="H2860">F2860/G2860*100000</f>
        <v>85.2547470952012</v>
      </c>
    </row>
    <row r="2861" ht="13" customHeight="1">
      <c r="A2861" s="8">
        <v>8</v>
      </c>
      <c r="B2861" t="s" s="9">
        <v>36</v>
      </c>
      <c r="C2861" t="s" s="9">
        <v>62</v>
      </c>
      <c r="D2861" t="s" s="9">
        <v>21</v>
      </c>
      <c r="E2861" t="s" s="9">
        <v>71</v>
      </c>
      <c r="F2861" s="10">
        <v>2240</v>
      </c>
      <c r="G2861" s="10">
        <v>4635519</v>
      </c>
      <c r="H2861" s="11" cm="1">
        <f t="array" ref="H2861">F2861/G2861*100000</f>
        <v>48.3225287179278</v>
      </c>
    </row>
    <row r="2862" ht="13" customHeight="1">
      <c r="A2862" s="8">
        <v>9</v>
      </c>
      <c r="B2862" t="s" s="9">
        <v>30</v>
      </c>
      <c r="C2862" t="s" s="9">
        <v>62</v>
      </c>
      <c r="D2862" t="s" s="9">
        <v>21</v>
      </c>
      <c r="E2862" t="s" s="9">
        <v>71</v>
      </c>
      <c r="F2862" s="10">
        <v>2000</v>
      </c>
      <c r="G2862" s="10">
        <v>4635519</v>
      </c>
      <c r="H2862" s="11" cm="1">
        <f t="array" ref="H2862">F2862/G2862*100000</f>
        <v>43.1451149267213</v>
      </c>
    </row>
    <row r="2863" ht="13" customHeight="1">
      <c r="A2863" s="8">
        <v>10</v>
      </c>
      <c r="B2863" t="s" s="9">
        <v>37</v>
      </c>
      <c r="C2863" t="s" s="9">
        <v>62</v>
      </c>
      <c r="D2863" t="s" s="9">
        <v>21</v>
      </c>
      <c r="E2863" t="s" s="9">
        <v>71</v>
      </c>
      <c r="F2863" s="10">
        <v>2640</v>
      </c>
      <c r="G2863" s="10">
        <v>4635519</v>
      </c>
      <c r="H2863" s="11" cm="1">
        <f t="array" ref="H2863">F2863/G2863*100000</f>
        <v>56.9515517032721</v>
      </c>
    </row>
    <row r="2864" ht="13.65" customHeight="1">
      <c r="A2864" s="8">
        <v>1</v>
      </c>
      <c r="B2864" t="s" s="9">
        <v>30</v>
      </c>
      <c r="C2864" t="s" s="9">
        <v>62</v>
      </c>
      <c r="D2864" t="s" s="9">
        <v>58</v>
      </c>
      <c r="E2864" t="s" s="9">
        <v>71</v>
      </c>
      <c r="F2864" s="10">
        <v>17840</v>
      </c>
      <c r="G2864" s="12"/>
      <c r="H2864" s="13"/>
    </row>
    <row r="2865" ht="13.65" customHeight="1">
      <c r="A2865" s="8">
        <v>2</v>
      </c>
      <c r="B2865" t="s" s="9">
        <v>36</v>
      </c>
      <c r="C2865" t="s" s="9">
        <v>62</v>
      </c>
      <c r="D2865" t="s" s="9">
        <v>58</v>
      </c>
      <c r="E2865" t="s" s="9">
        <v>71</v>
      </c>
      <c r="F2865" s="10">
        <v>12704</v>
      </c>
      <c r="G2865" s="14"/>
      <c r="H2865" s="15"/>
    </row>
    <row r="2866" ht="13.65" customHeight="1">
      <c r="A2866" s="8">
        <v>3</v>
      </c>
      <c r="B2866" t="s" s="9">
        <v>45</v>
      </c>
      <c r="C2866" t="s" s="9">
        <v>62</v>
      </c>
      <c r="D2866" t="s" s="9">
        <v>58</v>
      </c>
      <c r="E2866" t="s" s="9">
        <v>71</v>
      </c>
      <c r="F2866" s="10">
        <v>5552</v>
      </c>
      <c r="G2866" s="14"/>
      <c r="H2866" s="15"/>
    </row>
    <row r="2867" ht="13.65" customHeight="1">
      <c r="A2867" s="8">
        <v>4</v>
      </c>
      <c r="B2867" t="s" s="9">
        <v>34</v>
      </c>
      <c r="C2867" t="s" s="9">
        <v>62</v>
      </c>
      <c r="D2867" t="s" s="9">
        <v>58</v>
      </c>
      <c r="E2867" t="s" s="9">
        <v>71</v>
      </c>
      <c r="F2867" s="10">
        <v>5936</v>
      </c>
      <c r="G2867" s="14"/>
      <c r="H2867" s="15"/>
    </row>
    <row r="2868" ht="13.65" customHeight="1">
      <c r="A2868" s="8">
        <v>5</v>
      </c>
      <c r="B2868" t="s" s="9">
        <v>35</v>
      </c>
      <c r="C2868" t="s" s="9">
        <v>62</v>
      </c>
      <c r="D2868" t="s" s="9">
        <v>58</v>
      </c>
      <c r="E2868" t="s" s="9">
        <v>71</v>
      </c>
      <c r="F2868" s="10">
        <v>4352</v>
      </c>
      <c r="G2868" s="14"/>
      <c r="H2868" s="15"/>
    </row>
    <row r="2869" ht="13.65" customHeight="1">
      <c r="A2869" s="8">
        <v>6</v>
      </c>
      <c r="B2869" t="s" s="9">
        <v>41</v>
      </c>
      <c r="C2869" t="s" s="9">
        <v>62</v>
      </c>
      <c r="D2869" t="s" s="9">
        <v>58</v>
      </c>
      <c r="E2869" t="s" s="9">
        <v>71</v>
      </c>
      <c r="F2869" s="10">
        <v>4432</v>
      </c>
      <c r="G2869" s="14"/>
      <c r="H2869" s="15"/>
    </row>
    <row r="2870" ht="13.65" customHeight="1">
      <c r="A2870" s="8">
        <v>7</v>
      </c>
      <c r="B2870" t="s" s="9">
        <v>30</v>
      </c>
      <c r="C2870" t="s" s="9">
        <v>62</v>
      </c>
      <c r="D2870" t="s" s="9">
        <v>58</v>
      </c>
      <c r="E2870" t="s" s="9">
        <v>71</v>
      </c>
      <c r="F2870" s="10">
        <v>3952</v>
      </c>
      <c r="G2870" s="14"/>
      <c r="H2870" s="15"/>
    </row>
    <row r="2871" ht="13.65" customHeight="1">
      <c r="A2871" s="8">
        <v>8</v>
      </c>
      <c r="B2871" t="s" s="9">
        <v>36</v>
      </c>
      <c r="C2871" t="s" s="9">
        <v>62</v>
      </c>
      <c r="D2871" t="s" s="9">
        <v>58</v>
      </c>
      <c r="E2871" t="s" s="9">
        <v>71</v>
      </c>
      <c r="F2871" s="10">
        <v>2240</v>
      </c>
      <c r="G2871" s="14"/>
      <c r="H2871" s="15"/>
    </row>
    <row r="2872" ht="13.65" customHeight="1">
      <c r="A2872" s="8">
        <v>9</v>
      </c>
      <c r="B2872" t="s" s="9">
        <v>30</v>
      </c>
      <c r="C2872" t="s" s="9">
        <v>62</v>
      </c>
      <c r="D2872" t="s" s="9">
        <v>58</v>
      </c>
      <c r="E2872" t="s" s="9">
        <v>71</v>
      </c>
      <c r="F2872" s="10">
        <v>2000</v>
      </c>
      <c r="G2872" s="14"/>
      <c r="H2872" s="15"/>
    </row>
    <row r="2873" ht="13.65" customHeight="1">
      <c r="A2873" s="8">
        <v>10</v>
      </c>
      <c r="B2873" t="s" s="9">
        <v>37</v>
      </c>
      <c r="C2873" t="s" s="9">
        <v>62</v>
      </c>
      <c r="D2873" t="s" s="9">
        <v>58</v>
      </c>
      <c r="E2873" t="s" s="9">
        <v>71</v>
      </c>
      <c r="F2873" s="10">
        <v>2640</v>
      </c>
      <c r="G2873" s="16"/>
      <c r="H2873" s="17"/>
    </row>
    <row r="2874" ht="13" customHeight="1">
      <c r="A2874" s="8">
        <v>1</v>
      </c>
      <c r="B2874" t="s" s="9">
        <v>34</v>
      </c>
      <c r="C2874" t="s" s="9">
        <v>63</v>
      </c>
      <c r="D2874" t="s" s="9">
        <v>32</v>
      </c>
      <c r="E2874" t="s" s="9">
        <v>71</v>
      </c>
      <c r="F2874" s="10">
        <v>10179</v>
      </c>
      <c r="G2874" s="10">
        <v>14521657</v>
      </c>
      <c r="H2874" s="11" cm="1">
        <f t="array" ref="H2874">F2874/G2874*100000</f>
        <v>70.0953066168689</v>
      </c>
    </row>
    <row r="2875" ht="13" customHeight="1">
      <c r="A2875" s="8">
        <v>2</v>
      </c>
      <c r="B2875" t="s" s="9">
        <v>30</v>
      </c>
      <c r="C2875" t="s" s="9">
        <v>63</v>
      </c>
      <c r="D2875" t="s" s="9">
        <v>32</v>
      </c>
      <c r="E2875" t="s" s="9">
        <v>71</v>
      </c>
      <c r="F2875" s="10">
        <v>9321</v>
      </c>
      <c r="G2875" s="10">
        <v>14521657</v>
      </c>
      <c r="H2875" s="11" cm="1">
        <f t="array" ref="H2875">F2875/G2875*100000</f>
        <v>64.1868899671711</v>
      </c>
    </row>
    <row r="2876" ht="13" customHeight="1">
      <c r="A2876" s="8">
        <v>3</v>
      </c>
      <c r="B2876" t="s" s="9">
        <v>35</v>
      </c>
      <c r="C2876" t="s" s="9">
        <v>63</v>
      </c>
      <c r="D2876" t="s" s="9">
        <v>32</v>
      </c>
      <c r="E2876" t="s" s="9">
        <v>71</v>
      </c>
      <c r="F2876" s="10">
        <v>5124</v>
      </c>
      <c r="G2876" s="10">
        <v>14521657</v>
      </c>
      <c r="H2876" s="11" cm="1">
        <f t="array" ref="H2876">F2876/G2876*100000</f>
        <v>35.2852295023908</v>
      </c>
    </row>
    <row r="2877" ht="13" customHeight="1">
      <c r="A2877" s="8">
        <v>4</v>
      </c>
      <c r="B2877" t="s" s="9">
        <v>37</v>
      </c>
      <c r="C2877" t="s" s="9">
        <v>63</v>
      </c>
      <c r="D2877" t="s" s="9">
        <v>32</v>
      </c>
      <c r="E2877" t="s" s="9">
        <v>71</v>
      </c>
      <c r="F2877" s="10">
        <v>4282</v>
      </c>
      <c r="G2877" s="10">
        <v>14521657</v>
      </c>
      <c r="H2877" s="11" cm="1">
        <f t="array" ref="H2877">F2877/G2877*100000</f>
        <v>29.4869931165569</v>
      </c>
    </row>
    <row r="2878" ht="13" customHeight="1">
      <c r="A2878" s="8">
        <v>5</v>
      </c>
      <c r="B2878" t="s" s="9">
        <v>36</v>
      </c>
      <c r="C2878" t="s" s="9">
        <v>63</v>
      </c>
      <c r="D2878" t="s" s="9">
        <v>32</v>
      </c>
      <c r="E2878" t="s" s="9">
        <v>71</v>
      </c>
      <c r="F2878" s="10">
        <v>3471</v>
      </c>
      <c r="G2878" s="10">
        <v>14521657</v>
      </c>
      <c r="H2878" s="11" cm="1">
        <f t="array" ref="H2878">F2878/G2878*100000</f>
        <v>23.9022309919591</v>
      </c>
    </row>
    <row r="2879" ht="13" customHeight="1">
      <c r="A2879" s="8">
        <v>6</v>
      </c>
      <c r="B2879" t="s" s="9">
        <v>37</v>
      </c>
      <c r="C2879" t="s" s="9">
        <v>63</v>
      </c>
      <c r="D2879" t="s" s="9">
        <v>32</v>
      </c>
      <c r="E2879" t="s" s="9">
        <v>71</v>
      </c>
      <c r="F2879" s="10">
        <v>2388</v>
      </c>
      <c r="G2879" s="10">
        <v>14521657</v>
      </c>
      <c r="H2879" s="11" cm="1">
        <f t="array" ref="H2879">F2879/G2879*100000</f>
        <v>16.4444043816763</v>
      </c>
    </row>
    <row r="2880" ht="13" customHeight="1">
      <c r="A2880" s="8">
        <v>7</v>
      </c>
      <c r="B2880" t="s" s="9">
        <v>39</v>
      </c>
      <c r="C2880" t="s" s="9">
        <v>63</v>
      </c>
      <c r="D2880" t="s" s="9">
        <v>32</v>
      </c>
      <c r="E2880" t="s" s="9">
        <v>71</v>
      </c>
      <c r="F2880" s="10">
        <v>2338</v>
      </c>
      <c r="G2880" s="10">
        <v>14521657</v>
      </c>
      <c r="H2880" s="11" cm="1">
        <f t="array" ref="H2880">F2880/G2880*100000</f>
        <v>16.1000910571018</v>
      </c>
    </row>
    <row r="2881" ht="13" customHeight="1">
      <c r="A2881" s="8">
        <v>8</v>
      </c>
      <c r="B2881" t="s" s="9">
        <v>30</v>
      </c>
      <c r="C2881" t="s" s="9">
        <v>63</v>
      </c>
      <c r="D2881" t="s" s="9">
        <v>32</v>
      </c>
      <c r="E2881" t="s" s="9">
        <v>71</v>
      </c>
      <c r="F2881" s="10">
        <v>1115</v>
      </c>
      <c r="G2881" s="10">
        <v>14521657</v>
      </c>
      <c r="H2881" s="11" cm="1">
        <f t="array" ref="H2881">F2881/G2881*100000</f>
        <v>7.67818713801049</v>
      </c>
    </row>
    <row r="2882" ht="13" customHeight="1">
      <c r="A2882" s="8">
        <v>9</v>
      </c>
      <c r="B2882" t="s" s="9">
        <v>37</v>
      </c>
      <c r="C2882" t="s" s="9">
        <v>63</v>
      </c>
      <c r="D2882" t="s" s="9">
        <v>32</v>
      </c>
      <c r="E2882" t="s" s="9">
        <v>71</v>
      </c>
      <c r="F2882" s="10">
        <v>1052</v>
      </c>
      <c r="G2882" s="10">
        <v>14521657</v>
      </c>
      <c r="H2882" s="11" cm="1">
        <f t="array" ref="H2882">F2882/G2882*100000</f>
        <v>7.24435234904667</v>
      </c>
    </row>
    <row r="2883" ht="13" customHeight="1">
      <c r="A2883" s="8">
        <v>10</v>
      </c>
      <c r="B2883" t="s" s="9">
        <v>35</v>
      </c>
      <c r="C2883" t="s" s="9">
        <v>63</v>
      </c>
      <c r="D2883" t="s" s="9">
        <v>32</v>
      </c>
      <c r="E2883" t="s" s="9">
        <v>71</v>
      </c>
      <c r="F2883" s="10">
        <v>918</v>
      </c>
      <c r="G2883" s="10">
        <v>14521657</v>
      </c>
      <c r="H2883" s="11" cm="1">
        <f t="array" ref="H2883">F2883/G2883*100000</f>
        <v>6.32159263918711</v>
      </c>
    </row>
    <row r="2884" ht="13" customHeight="1">
      <c r="A2884" s="8">
        <v>1</v>
      </c>
      <c r="B2884" t="s" s="9">
        <v>30</v>
      </c>
      <c r="C2884" t="s" s="9">
        <v>63</v>
      </c>
      <c r="D2884" t="s" s="9">
        <v>38</v>
      </c>
      <c r="E2884" t="s" s="9">
        <v>71</v>
      </c>
      <c r="F2884" s="10">
        <v>8784</v>
      </c>
      <c r="G2884" s="10">
        <v>1874281</v>
      </c>
      <c r="H2884" s="11" cm="1">
        <f t="array" ref="H2884">F2884/G2884*100000</f>
        <v>468.659715378857</v>
      </c>
    </row>
    <row r="2885" ht="13" customHeight="1">
      <c r="A2885" s="8">
        <v>2</v>
      </c>
      <c r="B2885" t="s" s="9">
        <v>34</v>
      </c>
      <c r="C2885" t="s" s="9">
        <v>63</v>
      </c>
      <c r="D2885" t="s" s="9">
        <v>38</v>
      </c>
      <c r="E2885" t="s" s="9">
        <v>71</v>
      </c>
      <c r="F2885" s="10">
        <v>4685</v>
      </c>
      <c r="G2885" s="10">
        <v>1874281</v>
      </c>
      <c r="H2885" s="11" cm="1">
        <f t="array" ref="H2885">F2885/G2885*100000</f>
        <v>249.962518960604</v>
      </c>
    </row>
    <row r="2886" ht="13" customHeight="1">
      <c r="A2886" s="8">
        <v>3</v>
      </c>
      <c r="B2886" t="s" s="9">
        <v>37</v>
      </c>
      <c r="C2886" t="s" s="9">
        <v>63</v>
      </c>
      <c r="D2886" t="s" s="9">
        <v>38</v>
      </c>
      <c r="E2886" t="s" s="9">
        <v>71</v>
      </c>
      <c r="F2886" s="10">
        <v>1135</v>
      </c>
      <c r="G2886" s="10">
        <v>1874281</v>
      </c>
      <c r="H2886" s="11" cm="1">
        <f t="array" ref="H2886">F2886/G2886*100000</f>
        <v>60.5565547535295</v>
      </c>
    </row>
    <row r="2887" ht="13" customHeight="1">
      <c r="A2887" s="8">
        <v>4</v>
      </c>
      <c r="B2887" t="s" s="9">
        <v>30</v>
      </c>
      <c r="C2887" t="s" s="9">
        <v>63</v>
      </c>
      <c r="D2887" t="s" s="9">
        <v>38</v>
      </c>
      <c r="E2887" t="s" s="9">
        <v>71</v>
      </c>
      <c r="F2887" s="10">
        <v>763</v>
      </c>
      <c r="G2887" s="10">
        <v>1874281</v>
      </c>
      <c r="H2887" s="11" cm="1">
        <f t="array" ref="H2887">F2887/G2887*100000</f>
        <v>40.7089438563374</v>
      </c>
    </row>
    <row r="2888" ht="13" customHeight="1">
      <c r="A2888" s="8">
        <v>5</v>
      </c>
      <c r="B2888" t="s" s="9">
        <v>35</v>
      </c>
      <c r="C2888" t="s" s="9">
        <v>63</v>
      </c>
      <c r="D2888" t="s" s="9">
        <v>38</v>
      </c>
      <c r="E2888" t="s" s="9">
        <v>71</v>
      </c>
      <c r="F2888" s="10">
        <v>469</v>
      </c>
      <c r="G2888" s="10">
        <v>1874281</v>
      </c>
      <c r="H2888" s="11" cm="1">
        <f t="array" ref="H2888">F2888/G2888*100000</f>
        <v>25.0229287924276</v>
      </c>
    </row>
    <row r="2889" ht="13" customHeight="1">
      <c r="A2889" s="8">
        <v>6</v>
      </c>
      <c r="B2889" t="s" s="9">
        <v>37</v>
      </c>
      <c r="C2889" t="s" s="9">
        <v>63</v>
      </c>
      <c r="D2889" t="s" s="9">
        <v>38</v>
      </c>
      <c r="E2889" t="s" s="9">
        <v>71</v>
      </c>
      <c r="F2889" s="10">
        <v>872</v>
      </c>
      <c r="G2889" s="10">
        <v>1874281</v>
      </c>
      <c r="H2889" s="11" cm="1">
        <f t="array" ref="H2889">F2889/G2889*100000</f>
        <v>46.5245072643856</v>
      </c>
    </row>
    <row r="2890" ht="13" customHeight="1">
      <c r="A2890" s="8">
        <v>7</v>
      </c>
      <c r="B2890" t="s" s="9">
        <v>35</v>
      </c>
      <c r="C2890" t="s" s="9">
        <v>63</v>
      </c>
      <c r="D2890" t="s" s="9">
        <v>38</v>
      </c>
      <c r="E2890" t="s" s="9">
        <v>71</v>
      </c>
      <c r="F2890" s="10">
        <v>614</v>
      </c>
      <c r="G2890" s="10">
        <v>1874281</v>
      </c>
      <c r="H2890" s="11" cm="1">
        <f t="array" ref="H2890">F2890/G2890*100000</f>
        <v>32.7592287389137</v>
      </c>
    </row>
    <row r="2891" ht="13" customHeight="1">
      <c r="A2891" s="8">
        <v>8</v>
      </c>
      <c r="B2891" t="s" s="9">
        <v>45</v>
      </c>
      <c r="C2891" t="s" s="9">
        <v>63</v>
      </c>
      <c r="D2891" t="s" s="9">
        <v>38</v>
      </c>
      <c r="E2891" t="s" s="9">
        <v>71</v>
      </c>
      <c r="F2891" s="10">
        <v>641</v>
      </c>
      <c r="G2891" s="10">
        <v>1874281</v>
      </c>
      <c r="H2891" s="11" cm="1">
        <f t="array" ref="H2891">F2891/G2891*100000</f>
        <v>34.1997811427422</v>
      </c>
    </row>
    <row r="2892" ht="13" customHeight="1">
      <c r="A2892" s="8">
        <v>9</v>
      </c>
      <c r="B2892" t="s" s="9">
        <v>30</v>
      </c>
      <c r="C2892" t="s" s="9">
        <v>63</v>
      </c>
      <c r="D2892" t="s" s="9">
        <v>38</v>
      </c>
      <c r="E2892" t="s" s="9">
        <v>71</v>
      </c>
      <c r="F2892" s="10">
        <v>709</v>
      </c>
      <c r="G2892" s="10">
        <v>1874281</v>
      </c>
      <c r="H2892" s="11" cm="1">
        <f t="array" ref="H2892">F2892/G2892*100000</f>
        <v>37.8278390486805</v>
      </c>
    </row>
    <row r="2893" ht="13" customHeight="1">
      <c r="A2893" s="8">
        <v>10</v>
      </c>
      <c r="B2893" t="s" s="9">
        <v>39</v>
      </c>
      <c r="C2893" t="s" s="9">
        <v>63</v>
      </c>
      <c r="D2893" t="s" s="9">
        <v>38</v>
      </c>
      <c r="E2893" t="s" s="9">
        <v>71</v>
      </c>
      <c r="F2893" s="10">
        <v>834</v>
      </c>
      <c r="G2893" s="10">
        <v>1874281</v>
      </c>
      <c r="H2893" s="11" cm="1">
        <f t="array" ref="H2893">F2893/G2893*100000</f>
        <v>44.4970631404789</v>
      </c>
    </row>
    <row r="2894" ht="13" customHeight="1">
      <c r="A2894" s="8">
        <v>1</v>
      </c>
      <c r="B2894" t="s" s="9">
        <v>34</v>
      </c>
      <c r="C2894" t="s" s="9">
        <v>63</v>
      </c>
      <c r="D2894" t="s" s="9">
        <v>42</v>
      </c>
      <c r="E2894" t="s" s="9">
        <v>71</v>
      </c>
      <c r="F2894" s="10">
        <v>4215</v>
      </c>
      <c r="G2894" s="10">
        <v>5458063</v>
      </c>
      <c r="H2894" s="11" cm="1">
        <f t="array" ref="H2894">F2894/G2894*100000</f>
        <v>77.2251987564086</v>
      </c>
    </row>
    <row r="2895" ht="13" customHeight="1">
      <c r="A2895" s="8">
        <v>2</v>
      </c>
      <c r="B2895" t="s" s="9">
        <v>30</v>
      </c>
      <c r="C2895" t="s" s="9">
        <v>63</v>
      </c>
      <c r="D2895" t="s" s="9">
        <v>42</v>
      </c>
      <c r="E2895" t="s" s="9">
        <v>71</v>
      </c>
      <c r="F2895" s="10">
        <v>3547</v>
      </c>
      <c r="G2895" s="10">
        <v>5458063</v>
      </c>
      <c r="H2895" s="11" cm="1">
        <f t="array" ref="H2895">F2895/G2895*100000</f>
        <v>64.986424671170</v>
      </c>
    </row>
    <row r="2896" ht="13" customHeight="1">
      <c r="A2896" s="8">
        <v>3</v>
      </c>
      <c r="B2896" t="s" s="9">
        <v>35</v>
      </c>
      <c r="C2896" t="s" s="9">
        <v>63</v>
      </c>
      <c r="D2896" t="s" s="9">
        <v>42</v>
      </c>
      <c r="E2896" t="s" s="9">
        <v>71</v>
      </c>
      <c r="F2896" s="10">
        <v>2322</v>
      </c>
      <c r="G2896" s="10">
        <v>5458063</v>
      </c>
      <c r="H2896" s="11" cm="1">
        <f t="array" ref="H2896">F2896/G2896*100000</f>
        <v>42.5425650088685</v>
      </c>
    </row>
    <row r="2897" ht="13" customHeight="1">
      <c r="A2897" s="8">
        <v>4</v>
      </c>
      <c r="B2897" t="s" s="9">
        <v>37</v>
      </c>
      <c r="C2897" t="s" s="9">
        <v>63</v>
      </c>
      <c r="D2897" t="s" s="9">
        <v>42</v>
      </c>
      <c r="E2897" t="s" s="9">
        <v>71</v>
      </c>
      <c r="F2897" s="10">
        <v>1631</v>
      </c>
      <c r="G2897" s="10">
        <v>5458063</v>
      </c>
      <c r="H2897" s="11" cm="1">
        <f t="array" ref="H2897">F2897/G2897*100000</f>
        <v>29.8823960075213</v>
      </c>
    </row>
    <row r="2898" ht="13" customHeight="1">
      <c r="A2898" s="8">
        <v>5</v>
      </c>
      <c r="B2898" t="s" s="9">
        <v>37</v>
      </c>
      <c r="C2898" t="s" s="9">
        <v>63</v>
      </c>
      <c r="D2898" t="s" s="9">
        <v>42</v>
      </c>
      <c r="E2898" t="s" s="9">
        <v>71</v>
      </c>
      <c r="F2898" s="10">
        <v>1274</v>
      </c>
      <c r="G2898" s="10">
        <v>5458063</v>
      </c>
      <c r="H2898" s="11" cm="1">
        <f t="array" ref="H2898">F2898/G2898*100000</f>
        <v>23.3416140487935</v>
      </c>
    </row>
    <row r="2899" ht="13" customHeight="1">
      <c r="A2899" s="8">
        <v>6</v>
      </c>
      <c r="B2899" t="s" s="9">
        <v>35</v>
      </c>
      <c r="C2899" t="s" s="9">
        <v>63</v>
      </c>
      <c r="D2899" t="s" s="9">
        <v>42</v>
      </c>
      <c r="E2899" t="s" s="9">
        <v>71</v>
      </c>
      <c r="F2899" s="10">
        <v>789</v>
      </c>
      <c r="G2899" s="10">
        <v>5458063</v>
      </c>
      <c r="H2899" s="11" cm="1">
        <f t="array" ref="H2899">F2899/G2899*100000</f>
        <v>14.4556777743313</v>
      </c>
    </row>
    <row r="2900" ht="13" customHeight="1">
      <c r="A2900" s="8">
        <v>7</v>
      </c>
      <c r="B2900" t="s" s="9">
        <v>39</v>
      </c>
      <c r="C2900" t="s" s="9">
        <v>63</v>
      </c>
      <c r="D2900" t="s" s="9">
        <v>42</v>
      </c>
      <c r="E2900" t="s" s="9">
        <v>71</v>
      </c>
      <c r="F2900" s="10">
        <v>1267</v>
      </c>
      <c r="G2900" s="10">
        <v>5458063</v>
      </c>
      <c r="H2900" s="11" cm="1">
        <f t="array" ref="H2900">F2900/G2900*100000</f>
        <v>23.2133634221518</v>
      </c>
    </row>
    <row r="2901" ht="13" customHeight="1">
      <c r="A2901" s="8">
        <v>8</v>
      </c>
      <c r="B2901" t="s" s="9">
        <v>37</v>
      </c>
      <c r="C2901" t="s" s="9">
        <v>63</v>
      </c>
      <c r="D2901" t="s" s="9">
        <v>42</v>
      </c>
      <c r="E2901" t="s" s="9">
        <v>71</v>
      </c>
      <c r="F2901" s="10">
        <v>767</v>
      </c>
      <c r="G2901" s="10">
        <v>5458063</v>
      </c>
      <c r="H2901" s="11" cm="1">
        <f t="array" ref="H2901">F2901/G2901*100000</f>
        <v>14.0526043763145</v>
      </c>
    </row>
    <row r="2902" ht="13" customHeight="1">
      <c r="A2902" s="8">
        <v>9</v>
      </c>
      <c r="B2902" t="s" s="9">
        <v>41</v>
      </c>
      <c r="C2902" t="s" s="9">
        <v>63</v>
      </c>
      <c r="D2902" t="s" s="9">
        <v>42</v>
      </c>
      <c r="E2902" t="s" s="9">
        <v>71</v>
      </c>
      <c r="F2902" s="10">
        <v>663</v>
      </c>
      <c r="G2902" s="10">
        <v>5458063</v>
      </c>
      <c r="H2902" s="11" cm="1">
        <f t="array" ref="H2902">F2902/G2902*100000</f>
        <v>12.1471664947803</v>
      </c>
    </row>
    <row r="2903" ht="13" customHeight="1">
      <c r="A2903" s="8">
        <v>10</v>
      </c>
      <c r="B2903" t="s" s="9">
        <v>36</v>
      </c>
      <c r="C2903" t="s" s="9">
        <v>63</v>
      </c>
      <c r="D2903" t="s" s="9">
        <v>42</v>
      </c>
      <c r="E2903" t="s" s="9">
        <v>71</v>
      </c>
      <c r="F2903" s="10">
        <v>488</v>
      </c>
      <c r="G2903" s="10">
        <v>5458063</v>
      </c>
      <c r="H2903" s="11" cm="1">
        <f t="array" ref="H2903">F2903/G2903*100000</f>
        <v>8.940900828737229</v>
      </c>
    </row>
    <row r="2904" ht="13" customHeight="1">
      <c r="A2904" s="8">
        <v>1</v>
      </c>
      <c r="B2904" t="s" s="9">
        <v>30</v>
      </c>
      <c r="C2904" t="s" s="9">
        <v>63</v>
      </c>
      <c r="D2904" t="s" s="9">
        <v>43</v>
      </c>
      <c r="E2904" t="s" s="9">
        <v>71</v>
      </c>
      <c r="F2904" s="10">
        <v>3526</v>
      </c>
      <c r="G2904" s="10">
        <v>3817144</v>
      </c>
      <c r="H2904" s="11" cm="1">
        <f t="array" ref="H2904">F2904/G2904*100000</f>
        <v>92.3727268345129</v>
      </c>
    </row>
    <row r="2905" ht="13" customHeight="1">
      <c r="A2905" s="8">
        <v>2</v>
      </c>
      <c r="B2905" t="s" s="9">
        <v>34</v>
      </c>
      <c r="C2905" t="s" s="9">
        <v>63</v>
      </c>
      <c r="D2905" t="s" s="9">
        <v>43</v>
      </c>
      <c r="E2905" t="s" s="9">
        <v>71</v>
      </c>
      <c r="F2905" s="10">
        <v>1789</v>
      </c>
      <c r="G2905" s="10">
        <v>3817144</v>
      </c>
      <c r="H2905" s="11" cm="1">
        <f t="array" ref="H2905">F2905/G2905*100000</f>
        <v>46.867500937874</v>
      </c>
    </row>
    <row r="2906" ht="13" customHeight="1">
      <c r="A2906" s="8">
        <v>3</v>
      </c>
      <c r="B2906" t="s" s="9">
        <v>35</v>
      </c>
      <c r="C2906" t="s" s="9">
        <v>63</v>
      </c>
      <c r="D2906" t="s" s="9">
        <v>43</v>
      </c>
      <c r="E2906" t="s" s="9">
        <v>71</v>
      </c>
      <c r="F2906" s="10">
        <v>419</v>
      </c>
      <c r="G2906" s="10">
        <v>3817144</v>
      </c>
      <c r="H2906" s="11" cm="1">
        <f t="array" ref="H2906">F2906/G2906*100000</f>
        <v>10.9767931207206</v>
      </c>
    </row>
    <row r="2907" ht="13" customHeight="1">
      <c r="A2907" s="8">
        <v>4</v>
      </c>
      <c r="B2907" t="s" s="9">
        <v>30</v>
      </c>
      <c r="C2907" t="s" s="9">
        <v>63</v>
      </c>
      <c r="D2907" t="s" s="9">
        <v>43</v>
      </c>
      <c r="E2907" t="s" s="9">
        <v>71</v>
      </c>
      <c r="F2907" s="10">
        <v>566</v>
      </c>
      <c r="G2907" s="10">
        <v>3817144</v>
      </c>
      <c r="H2907" s="11" cm="1">
        <f t="array" ref="H2907">F2907/G2907*100000</f>
        <v>14.8278398719042</v>
      </c>
    </row>
    <row r="2908" ht="13" customHeight="1">
      <c r="A2908" s="8">
        <v>5</v>
      </c>
      <c r="B2908" t="s" s="9">
        <v>30</v>
      </c>
      <c r="C2908" t="s" s="9">
        <v>63</v>
      </c>
      <c r="D2908" t="s" s="9">
        <v>43</v>
      </c>
      <c r="E2908" t="s" s="9">
        <v>71</v>
      </c>
      <c r="F2908" s="10">
        <v>523</v>
      </c>
      <c r="G2908" s="10">
        <v>3817144</v>
      </c>
      <c r="H2908" s="11" cm="1">
        <f t="array" ref="H2908">F2908/G2908*100000</f>
        <v>13.7013432031907</v>
      </c>
    </row>
    <row r="2909" ht="13" customHeight="1">
      <c r="A2909" s="8">
        <v>6</v>
      </c>
      <c r="B2909" t="s" s="9">
        <v>39</v>
      </c>
      <c r="C2909" t="s" s="9">
        <v>63</v>
      </c>
      <c r="D2909" t="s" s="9">
        <v>43</v>
      </c>
      <c r="E2909" t="s" s="9">
        <v>71</v>
      </c>
      <c r="F2909" s="10">
        <v>629</v>
      </c>
      <c r="G2909" s="10">
        <v>3817144</v>
      </c>
      <c r="H2909" s="11" cm="1">
        <f t="array" ref="H2909">F2909/G2909*100000</f>
        <v>16.4782884795543</v>
      </c>
    </row>
    <row r="2910" ht="13" customHeight="1">
      <c r="A2910" s="8">
        <v>7</v>
      </c>
      <c r="B2910" t="s" s="9">
        <v>35</v>
      </c>
      <c r="C2910" t="s" s="9">
        <v>63</v>
      </c>
      <c r="D2910" t="s" s="9">
        <v>43</v>
      </c>
      <c r="E2910" t="s" s="9">
        <v>71</v>
      </c>
      <c r="F2910" s="10">
        <v>483</v>
      </c>
      <c r="G2910" s="10">
        <v>3817144</v>
      </c>
      <c r="H2910" s="11" cm="1">
        <f t="array" ref="H2910">F2910/G2910*100000</f>
        <v>12.6534393253176</v>
      </c>
    </row>
    <row r="2911" ht="13" customHeight="1">
      <c r="A2911" s="8">
        <v>8</v>
      </c>
      <c r="B2911" t="s" s="9">
        <v>37</v>
      </c>
      <c r="C2911" t="s" s="9">
        <v>63</v>
      </c>
      <c r="D2911" t="s" s="9">
        <v>43</v>
      </c>
      <c r="E2911" t="s" s="9">
        <v>71</v>
      </c>
      <c r="F2911" s="10">
        <v>483</v>
      </c>
      <c r="G2911" s="10">
        <v>3817144</v>
      </c>
      <c r="H2911" s="11" cm="1">
        <f t="array" ref="H2911">F2911/G2911*100000</f>
        <v>12.6534393253176</v>
      </c>
    </row>
    <row r="2912" ht="13" customHeight="1">
      <c r="A2912" s="8">
        <v>9</v>
      </c>
      <c r="B2912" t="s" s="9">
        <v>36</v>
      </c>
      <c r="C2912" t="s" s="9">
        <v>63</v>
      </c>
      <c r="D2912" t="s" s="9">
        <v>43</v>
      </c>
      <c r="E2912" t="s" s="9">
        <v>71</v>
      </c>
      <c r="F2912" s="10">
        <v>426</v>
      </c>
      <c r="G2912" s="10">
        <v>3817144</v>
      </c>
      <c r="H2912" s="11" cm="1">
        <f t="array" ref="H2912">F2912/G2912*100000</f>
        <v>11.1601762993484</v>
      </c>
    </row>
    <row r="2913" ht="13" customHeight="1">
      <c r="A2913" s="8">
        <v>10</v>
      </c>
      <c r="B2913" t="s" s="9">
        <v>30</v>
      </c>
      <c r="C2913" t="s" s="9">
        <v>63</v>
      </c>
      <c r="D2913" t="s" s="9">
        <v>43</v>
      </c>
      <c r="E2913" t="s" s="9">
        <v>71</v>
      </c>
      <c r="F2913" s="10">
        <v>347</v>
      </c>
      <c r="G2913" s="10">
        <v>3817144</v>
      </c>
      <c r="H2913" s="11" cm="1">
        <f t="array" ref="H2913">F2913/G2913*100000</f>
        <v>9.090566140549059</v>
      </c>
    </row>
    <row r="2914" ht="13" customHeight="1">
      <c r="A2914" s="8">
        <v>1</v>
      </c>
      <c r="B2914" t="s" s="9">
        <v>30</v>
      </c>
      <c r="C2914" t="s" s="9">
        <v>63</v>
      </c>
      <c r="D2914" t="s" s="9">
        <v>44</v>
      </c>
      <c r="E2914" t="s" s="9">
        <v>71</v>
      </c>
      <c r="F2914" s="10">
        <v>3275</v>
      </c>
      <c r="G2914" s="10">
        <v>13239670</v>
      </c>
      <c r="H2914" s="11" cm="1">
        <f t="array" ref="H2914">F2914/G2914*100000</f>
        <v>24.7362660851819</v>
      </c>
    </row>
    <row r="2915" ht="13" customHeight="1">
      <c r="A2915" s="8">
        <v>2</v>
      </c>
      <c r="B2915" t="s" s="9">
        <v>35</v>
      </c>
      <c r="C2915" t="s" s="9">
        <v>63</v>
      </c>
      <c r="D2915" t="s" s="9">
        <v>44</v>
      </c>
      <c r="E2915" t="s" s="9">
        <v>71</v>
      </c>
      <c r="F2915" s="10">
        <v>2435</v>
      </c>
      <c r="G2915" s="10">
        <v>13239670</v>
      </c>
      <c r="H2915" s="11" cm="1">
        <f t="array" ref="H2915">F2915/G2915*100000</f>
        <v>18.3916970740207</v>
      </c>
    </row>
    <row r="2916" ht="13" customHeight="1">
      <c r="A2916" s="8">
        <v>3</v>
      </c>
      <c r="B2916" t="s" s="9">
        <v>39</v>
      </c>
      <c r="C2916" t="s" s="9">
        <v>63</v>
      </c>
      <c r="D2916" t="s" s="9">
        <v>44</v>
      </c>
      <c r="E2916" t="s" s="9">
        <v>71</v>
      </c>
      <c r="F2916" s="10">
        <v>1943</v>
      </c>
      <c r="G2916" s="10">
        <v>13239670</v>
      </c>
      <c r="H2916" s="11" cm="1">
        <f t="array" ref="H2916">F2916/G2916*100000</f>
        <v>14.6755923674835</v>
      </c>
    </row>
    <row r="2917" ht="13" customHeight="1">
      <c r="A2917" s="8">
        <v>4</v>
      </c>
      <c r="B2917" t="s" s="9">
        <v>34</v>
      </c>
      <c r="C2917" t="s" s="9">
        <v>63</v>
      </c>
      <c r="D2917" t="s" s="9">
        <v>44</v>
      </c>
      <c r="E2917" t="s" s="9">
        <v>71</v>
      </c>
      <c r="F2917" s="10">
        <v>1705</v>
      </c>
      <c r="G2917" s="10">
        <v>13239670</v>
      </c>
      <c r="H2917" s="11" cm="1">
        <f t="array" ref="H2917">F2917/G2917*100000</f>
        <v>12.8779644809878</v>
      </c>
    </row>
    <row r="2918" ht="13" customHeight="1">
      <c r="A2918" s="8">
        <v>5</v>
      </c>
      <c r="B2918" t="s" s="9">
        <v>37</v>
      </c>
      <c r="C2918" t="s" s="9">
        <v>63</v>
      </c>
      <c r="D2918" t="s" s="9">
        <v>44</v>
      </c>
      <c r="E2918" t="s" s="9">
        <v>71</v>
      </c>
      <c r="F2918" s="10">
        <v>1263</v>
      </c>
      <c r="G2918" s="10">
        <v>13239670</v>
      </c>
      <c r="H2918" s="11" cm="1">
        <f t="array" ref="H2918">F2918/G2918*100000</f>
        <v>9.53951269178159</v>
      </c>
    </row>
    <row r="2919" ht="13" customHeight="1">
      <c r="A2919" s="8">
        <v>6</v>
      </c>
      <c r="B2919" t="s" s="9">
        <v>37</v>
      </c>
      <c r="C2919" t="s" s="9">
        <v>63</v>
      </c>
      <c r="D2919" t="s" s="9">
        <v>44</v>
      </c>
      <c r="E2919" t="s" s="9">
        <v>71</v>
      </c>
      <c r="F2919" s="10">
        <v>1211</v>
      </c>
      <c r="G2919" s="10">
        <v>13239670</v>
      </c>
      <c r="H2919" s="11" cm="1">
        <f t="array" ref="H2919">F2919/G2919*100000</f>
        <v>9.14675365775733</v>
      </c>
    </row>
    <row r="2920" ht="13" customHeight="1">
      <c r="A2920" s="8">
        <v>7</v>
      </c>
      <c r="B2920" t="s" s="9">
        <v>36</v>
      </c>
      <c r="C2920" t="s" s="9">
        <v>63</v>
      </c>
      <c r="D2920" t="s" s="9">
        <v>44</v>
      </c>
      <c r="E2920" t="s" s="9">
        <v>71</v>
      </c>
      <c r="F2920" s="10">
        <v>913</v>
      </c>
      <c r="G2920" s="10">
        <v>13239670</v>
      </c>
      <c r="H2920" s="11" cm="1">
        <f t="array" ref="H2920">F2920/G2920*100000</f>
        <v>6.89594227046445</v>
      </c>
    </row>
    <row r="2921" ht="13" customHeight="1">
      <c r="A2921" s="8">
        <v>8</v>
      </c>
      <c r="B2921" t="s" s="9">
        <v>30</v>
      </c>
      <c r="C2921" t="s" s="9">
        <v>63</v>
      </c>
      <c r="D2921" t="s" s="9">
        <v>44</v>
      </c>
      <c r="E2921" t="s" s="9">
        <v>71</v>
      </c>
      <c r="F2921" s="10">
        <v>780</v>
      </c>
      <c r="G2921" s="10">
        <v>13239670</v>
      </c>
      <c r="H2921" s="11" cm="1">
        <f t="array" ref="H2921">F2921/G2921*100000</f>
        <v>5.89138551036393</v>
      </c>
    </row>
    <row r="2922" ht="13" customHeight="1">
      <c r="A2922" s="8">
        <v>9</v>
      </c>
      <c r="B2922" t="s" s="9">
        <v>36</v>
      </c>
      <c r="C2922" t="s" s="9">
        <v>63</v>
      </c>
      <c r="D2922" t="s" s="9">
        <v>44</v>
      </c>
      <c r="E2922" t="s" s="9">
        <v>71</v>
      </c>
      <c r="F2922" s="10">
        <v>697</v>
      </c>
      <c r="G2922" s="10">
        <v>13239670</v>
      </c>
      <c r="H2922" s="11" cm="1">
        <f t="array" ref="H2922">F2922/G2922*100000</f>
        <v>5.26448166759443</v>
      </c>
    </row>
    <row r="2923" ht="13" customHeight="1">
      <c r="A2923" s="8">
        <v>10</v>
      </c>
      <c r="B2923" t="s" s="9">
        <v>30</v>
      </c>
      <c r="C2923" t="s" s="9">
        <v>63</v>
      </c>
      <c r="D2923" t="s" s="9">
        <v>44</v>
      </c>
      <c r="E2923" t="s" s="9">
        <v>71</v>
      </c>
      <c r="F2923" s="10">
        <v>570</v>
      </c>
      <c r="G2923" s="10">
        <v>13239670</v>
      </c>
      <c r="H2923" s="11" cm="1">
        <f t="array" ref="H2923">F2923/G2923*100000</f>
        <v>4.30524325757364</v>
      </c>
    </row>
    <row r="2924" ht="13" customHeight="1">
      <c r="A2924" s="8">
        <v>1</v>
      </c>
      <c r="B2924" t="s" s="9">
        <v>30</v>
      </c>
      <c r="C2924" t="s" s="9">
        <v>63</v>
      </c>
      <c r="D2924" t="s" s="9">
        <v>46</v>
      </c>
      <c r="E2924" t="s" s="9">
        <v>71</v>
      </c>
      <c r="F2924" s="10">
        <v>10509</v>
      </c>
      <c r="G2924" s="10">
        <v>17477569</v>
      </c>
      <c r="H2924" s="11" cm="1">
        <f t="array" ref="H2924">F2924/G2924*100000</f>
        <v>60.1284995642128</v>
      </c>
    </row>
    <row r="2925" ht="13" customHeight="1">
      <c r="A2925" s="8">
        <v>2</v>
      </c>
      <c r="B2925" t="s" s="9">
        <v>35</v>
      </c>
      <c r="C2925" t="s" s="9">
        <v>63</v>
      </c>
      <c r="D2925" t="s" s="9">
        <v>46</v>
      </c>
      <c r="E2925" t="s" s="9">
        <v>71</v>
      </c>
      <c r="F2925" s="10">
        <v>6697</v>
      </c>
      <c r="G2925" s="10">
        <v>17477569</v>
      </c>
      <c r="H2925" s="11" cm="1">
        <f t="array" ref="H2925">F2925/G2925*100000</f>
        <v>38.3176859436229</v>
      </c>
    </row>
    <row r="2926" ht="13" customHeight="1">
      <c r="A2926" s="8">
        <v>3</v>
      </c>
      <c r="B2926" t="s" s="9">
        <v>30</v>
      </c>
      <c r="C2926" t="s" s="9">
        <v>63</v>
      </c>
      <c r="D2926" t="s" s="9">
        <v>46</v>
      </c>
      <c r="E2926" t="s" s="9">
        <v>71</v>
      </c>
      <c r="F2926" s="10">
        <v>4736</v>
      </c>
      <c r="G2926" s="10">
        <v>17477569</v>
      </c>
      <c r="H2926" s="11" cm="1">
        <f t="array" ref="H2926">F2926/G2926*100000</f>
        <v>27.0975900595787</v>
      </c>
    </row>
    <row r="2927" ht="13" customHeight="1">
      <c r="A2927" s="8">
        <v>4</v>
      </c>
      <c r="B2927" t="s" s="9">
        <v>34</v>
      </c>
      <c r="C2927" t="s" s="9">
        <v>63</v>
      </c>
      <c r="D2927" t="s" s="9">
        <v>46</v>
      </c>
      <c r="E2927" t="s" s="9">
        <v>71</v>
      </c>
      <c r="F2927" s="10">
        <v>4857</v>
      </c>
      <c r="G2927" s="10">
        <v>17477569</v>
      </c>
      <c r="H2927" s="11" cm="1">
        <f t="array" ref="H2927">F2927/G2927*100000</f>
        <v>27.7899060218272</v>
      </c>
    </row>
    <row r="2928" ht="13" customHeight="1">
      <c r="A2928" s="8">
        <v>5</v>
      </c>
      <c r="B2928" t="s" s="9">
        <v>30</v>
      </c>
      <c r="C2928" t="s" s="9">
        <v>63</v>
      </c>
      <c r="D2928" t="s" s="9">
        <v>46</v>
      </c>
      <c r="E2928" t="s" s="9">
        <v>71</v>
      </c>
      <c r="F2928" s="10">
        <v>3325</v>
      </c>
      <c r="G2928" s="10">
        <v>17477569</v>
      </c>
      <c r="H2928" s="11" cm="1">
        <f t="array" ref="H2928">F2928/G2928*100000</f>
        <v>19.0243849130277</v>
      </c>
    </row>
    <row r="2929" ht="13" customHeight="1">
      <c r="A2929" s="8">
        <v>6</v>
      </c>
      <c r="B2929" t="s" s="9">
        <v>39</v>
      </c>
      <c r="C2929" t="s" s="9">
        <v>63</v>
      </c>
      <c r="D2929" t="s" s="9">
        <v>46</v>
      </c>
      <c r="E2929" t="s" s="9">
        <v>71</v>
      </c>
      <c r="F2929" s="10">
        <v>3906</v>
      </c>
      <c r="G2929" s="10">
        <v>17477569</v>
      </c>
      <c r="H2929" s="11" cm="1">
        <f t="array" ref="H2929">F2929/G2929*100000</f>
        <v>22.3486458557251</v>
      </c>
    </row>
    <row r="2930" ht="13" customHeight="1">
      <c r="A2930" s="8">
        <v>7</v>
      </c>
      <c r="B2930" t="s" s="9">
        <v>41</v>
      </c>
      <c r="C2930" t="s" s="9">
        <v>63</v>
      </c>
      <c r="D2930" t="s" s="9">
        <v>46</v>
      </c>
      <c r="E2930" t="s" s="9">
        <v>71</v>
      </c>
      <c r="F2930" s="10">
        <v>3179</v>
      </c>
      <c r="G2930" s="10">
        <v>17477569</v>
      </c>
      <c r="H2930" s="11" cm="1">
        <f t="array" ref="H2930">F2930/G2930*100000</f>
        <v>18.1890284627113</v>
      </c>
    </row>
    <row r="2931" ht="13" customHeight="1">
      <c r="A2931" s="8">
        <v>8</v>
      </c>
      <c r="B2931" t="s" s="9">
        <v>37</v>
      </c>
      <c r="C2931" t="s" s="9">
        <v>63</v>
      </c>
      <c r="D2931" t="s" s="9">
        <v>46</v>
      </c>
      <c r="E2931" t="s" s="9">
        <v>71</v>
      </c>
      <c r="F2931" s="10">
        <v>1590</v>
      </c>
      <c r="G2931" s="10">
        <v>17477569</v>
      </c>
      <c r="H2931" s="11" cm="1">
        <f t="array" ref="H2931">F2931/G2931*100000</f>
        <v>9.09737504111699</v>
      </c>
    </row>
    <row r="2932" ht="13" customHeight="1">
      <c r="A2932" s="8">
        <v>9</v>
      </c>
      <c r="B2932" t="s" s="9">
        <v>35</v>
      </c>
      <c r="C2932" t="s" s="9">
        <v>63</v>
      </c>
      <c r="D2932" t="s" s="9">
        <v>46</v>
      </c>
      <c r="E2932" t="s" s="9">
        <v>71</v>
      </c>
      <c r="F2932" s="10">
        <v>929</v>
      </c>
      <c r="G2932" s="10">
        <v>17477569</v>
      </c>
      <c r="H2932" s="11" cm="1">
        <f t="array" ref="H2932">F2932/G2932*100000</f>
        <v>5.31538453660232</v>
      </c>
    </row>
    <row r="2933" ht="13" customHeight="1">
      <c r="A2933" s="8">
        <v>10</v>
      </c>
      <c r="B2933" t="s" s="9">
        <v>45</v>
      </c>
      <c r="C2933" t="s" s="9">
        <v>63</v>
      </c>
      <c r="D2933" t="s" s="9">
        <v>46</v>
      </c>
      <c r="E2933" t="s" s="9">
        <v>71</v>
      </c>
      <c r="F2933" s="10">
        <v>966</v>
      </c>
      <c r="G2933" s="10">
        <v>17477569</v>
      </c>
      <c r="H2933" s="11" cm="1">
        <f t="array" ref="H2933">F2933/G2933*100000</f>
        <v>5.52708445894277</v>
      </c>
    </row>
    <row r="2934" ht="13" customHeight="1">
      <c r="A2934" s="8">
        <v>1</v>
      </c>
      <c r="B2934" t="s" s="9">
        <v>30</v>
      </c>
      <c r="C2934" t="s" s="9">
        <v>63</v>
      </c>
      <c r="D2934" t="s" s="9">
        <v>47</v>
      </c>
      <c r="E2934" t="s" s="9">
        <v>71</v>
      </c>
      <c r="F2934" s="10">
        <v>3257</v>
      </c>
      <c r="G2934" s="10">
        <v>3342831</v>
      </c>
      <c r="H2934" s="11" cm="1">
        <f t="array" ref="H2934">F2934/G2934*100000</f>
        <v>97.432385902847</v>
      </c>
    </row>
    <row r="2935" ht="13" customHeight="1">
      <c r="A2935" s="8">
        <v>2</v>
      </c>
      <c r="B2935" t="s" s="9">
        <v>35</v>
      </c>
      <c r="C2935" t="s" s="9">
        <v>63</v>
      </c>
      <c r="D2935" t="s" s="9">
        <v>47</v>
      </c>
      <c r="E2935" t="s" s="9">
        <v>71</v>
      </c>
      <c r="F2935" s="10">
        <v>2573</v>
      </c>
      <c r="G2935" s="10">
        <v>3342831</v>
      </c>
      <c r="H2935" s="11" cm="1">
        <f t="array" ref="H2935">F2935/G2935*100000</f>
        <v>76.97068742033321</v>
      </c>
    </row>
    <row r="2936" ht="13" customHeight="1">
      <c r="A2936" s="8">
        <v>3</v>
      </c>
      <c r="B2936" t="s" s="9">
        <v>34</v>
      </c>
      <c r="C2936" t="s" s="9">
        <v>63</v>
      </c>
      <c r="D2936" t="s" s="9">
        <v>47</v>
      </c>
      <c r="E2936" t="s" s="9">
        <v>71</v>
      </c>
      <c r="F2936" s="10">
        <v>881</v>
      </c>
      <c r="G2936" s="10">
        <v>3342831</v>
      </c>
      <c r="H2936" s="11" cm="1">
        <f t="array" ref="H2936">F2936/G2936*100000</f>
        <v>26.3549069635886</v>
      </c>
    </row>
    <row r="2937" ht="13" customHeight="1">
      <c r="A2937" s="8">
        <v>4</v>
      </c>
      <c r="B2937" t="s" s="9">
        <v>39</v>
      </c>
      <c r="C2937" t="s" s="9">
        <v>63</v>
      </c>
      <c r="D2937" t="s" s="9">
        <v>47</v>
      </c>
      <c r="E2937" t="s" s="9">
        <v>71</v>
      </c>
      <c r="F2937" s="10">
        <v>646</v>
      </c>
      <c r="G2937" s="10">
        <v>3342831</v>
      </c>
      <c r="H2937" s="11" cm="1">
        <f t="array" ref="H2937">F2937/G2937*100000</f>
        <v>19.3249374557075</v>
      </c>
    </row>
    <row r="2938" ht="13" customHeight="1">
      <c r="A2938" s="8">
        <v>5</v>
      </c>
      <c r="B2938" t="s" s="9">
        <v>30</v>
      </c>
      <c r="C2938" t="s" s="9">
        <v>63</v>
      </c>
      <c r="D2938" t="s" s="9">
        <v>47</v>
      </c>
      <c r="E2938" t="s" s="9">
        <v>71</v>
      </c>
      <c r="F2938" s="10">
        <v>465</v>
      </c>
      <c r="G2938" s="10">
        <v>3342831</v>
      </c>
      <c r="H2938" s="11" cm="1">
        <f t="array" ref="H2938">F2938/G2938*100000</f>
        <v>13.9103651964458</v>
      </c>
    </row>
    <row r="2939" ht="13" customHeight="1">
      <c r="A2939" s="8">
        <v>6</v>
      </c>
      <c r="B2939" t="s" s="9">
        <v>35</v>
      </c>
      <c r="C2939" t="s" s="9">
        <v>63</v>
      </c>
      <c r="D2939" t="s" s="9">
        <v>47</v>
      </c>
      <c r="E2939" t="s" s="9">
        <v>71</v>
      </c>
      <c r="F2939" s="10">
        <v>307</v>
      </c>
      <c r="G2939" s="10">
        <v>3342831</v>
      </c>
      <c r="H2939" s="11" cm="1">
        <f t="array" ref="H2939">F2939/G2939*100000</f>
        <v>9.18383250604054</v>
      </c>
    </row>
    <row r="2940" ht="13" customHeight="1">
      <c r="A2940" s="8">
        <v>7</v>
      </c>
      <c r="B2940" t="s" s="9">
        <v>45</v>
      </c>
      <c r="C2940" t="s" s="9">
        <v>63</v>
      </c>
      <c r="D2940" t="s" s="9">
        <v>47</v>
      </c>
      <c r="E2940" t="s" s="9">
        <v>71</v>
      </c>
      <c r="F2940" s="10">
        <v>374</v>
      </c>
      <c r="G2940" s="10">
        <v>3342831</v>
      </c>
      <c r="H2940" s="11" cm="1">
        <f t="array" ref="H2940">F2940/G2940*100000</f>
        <v>11.1881216848833</v>
      </c>
    </row>
    <row r="2941" ht="13" customHeight="1">
      <c r="A2941" s="8">
        <v>8</v>
      </c>
      <c r="B2941" t="s" s="9">
        <v>36</v>
      </c>
      <c r="C2941" t="s" s="9">
        <v>63</v>
      </c>
      <c r="D2941" t="s" s="9">
        <v>47</v>
      </c>
      <c r="E2941" t="s" s="9">
        <v>71</v>
      </c>
      <c r="F2941" s="10">
        <v>240</v>
      </c>
      <c r="G2941" s="10">
        <v>3342831</v>
      </c>
      <c r="H2941" s="11" cm="1">
        <f t="array" ref="H2941">F2941/G2941*100000</f>
        <v>7.17954332719782</v>
      </c>
    </row>
    <row r="2942" ht="13" customHeight="1">
      <c r="A2942" s="8">
        <v>9</v>
      </c>
      <c r="B2942" t="s" s="9">
        <v>36</v>
      </c>
      <c r="C2942" t="s" s="9">
        <v>63</v>
      </c>
      <c r="D2942" t="s" s="9">
        <v>47</v>
      </c>
      <c r="E2942" t="s" s="9">
        <v>71</v>
      </c>
      <c r="F2942" s="10">
        <v>253</v>
      </c>
      <c r="G2942" s="10">
        <v>3342831</v>
      </c>
      <c r="H2942" s="11" cm="1">
        <f t="array" ref="H2942">F2942/G2942*100000</f>
        <v>7.56843525742103</v>
      </c>
    </row>
    <row r="2943" ht="13" customHeight="1">
      <c r="A2943" s="8">
        <v>10</v>
      </c>
      <c r="B2943" t="s" s="9">
        <v>45</v>
      </c>
      <c r="C2943" t="s" s="9">
        <v>63</v>
      </c>
      <c r="D2943" t="s" s="9">
        <v>47</v>
      </c>
      <c r="E2943" t="s" s="9">
        <v>71</v>
      </c>
      <c r="F2943" s="10">
        <v>219</v>
      </c>
      <c r="G2943" s="10">
        <v>3342831</v>
      </c>
      <c r="H2943" s="11" cm="1">
        <f t="array" ref="H2943">F2943/G2943*100000</f>
        <v>6.55133328606801</v>
      </c>
    </row>
    <row r="2944" ht="13" customHeight="1">
      <c r="A2944" s="8">
        <v>1</v>
      </c>
      <c r="B2944" t="s" s="9">
        <v>30</v>
      </c>
      <c r="C2944" t="s" s="9">
        <v>63</v>
      </c>
      <c r="D2944" t="s" s="9">
        <v>49</v>
      </c>
      <c r="E2944" t="s" s="9">
        <v>71</v>
      </c>
      <c r="F2944" s="10">
        <v>6132</v>
      </c>
      <c r="G2944" s="10">
        <v>6397690</v>
      </c>
      <c r="H2944" s="11" cm="1">
        <f t="array" ref="H2944">F2944/G2944*100000</f>
        <v>95.8470948107833</v>
      </c>
    </row>
    <row r="2945" ht="13" customHeight="1">
      <c r="A2945" s="8">
        <v>2</v>
      </c>
      <c r="B2945" t="s" s="9">
        <v>34</v>
      </c>
      <c r="C2945" t="s" s="9">
        <v>63</v>
      </c>
      <c r="D2945" t="s" s="9">
        <v>49</v>
      </c>
      <c r="E2945" t="s" s="9">
        <v>71</v>
      </c>
      <c r="F2945" s="10">
        <v>4765</v>
      </c>
      <c r="G2945" s="10">
        <v>6397690</v>
      </c>
      <c r="H2945" s="11" cm="1">
        <f t="array" ref="H2945">F2945/G2945*100000</f>
        <v>74.4800076277531</v>
      </c>
    </row>
    <row r="2946" ht="13" customHeight="1">
      <c r="A2946" s="8">
        <v>3</v>
      </c>
      <c r="B2946" t="s" s="9">
        <v>35</v>
      </c>
      <c r="C2946" t="s" s="9">
        <v>63</v>
      </c>
      <c r="D2946" t="s" s="9">
        <v>49</v>
      </c>
      <c r="E2946" t="s" s="9">
        <v>71</v>
      </c>
      <c r="F2946" s="10">
        <v>2782</v>
      </c>
      <c r="G2946" s="10">
        <v>6397690</v>
      </c>
      <c r="H2946" s="11" cm="1">
        <f t="array" ref="H2946">F2946/G2946*100000</f>
        <v>43.4844451669274</v>
      </c>
    </row>
    <row r="2947" ht="13" customHeight="1">
      <c r="A2947" s="8">
        <v>4</v>
      </c>
      <c r="B2947" t="s" s="9">
        <v>30</v>
      </c>
      <c r="C2947" t="s" s="9">
        <v>63</v>
      </c>
      <c r="D2947" t="s" s="9">
        <v>49</v>
      </c>
      <c r="E2947" t="s" s="9">
        <v>71</v>
      </c>
      <c r="F2947" s="10">
        <v>1279</v>
      </c>
      <c r="G2947" s="10">
        <v>6397690</v>
      </c>
      <c r="H2947" s="11" cm="1">
        <f t="array" ref="H2947">F2947/G2947*100000</f>
        <v>19.9915907147736</v>
      </c>
    </row>
    <row r="2948" ht="13" customHeight="1">
      <c r="A2948" s="8">
        <v>5</v>
      </c>
      <c r="B2948" t="s" s="9">
        <v>39</v>
      </c>
      <c r="C2948" t="s" s="9">
        <v>63</v>
      </c>
      <c r="D2948" t="s" s="9">
        <v>49</v>
      </c>
      <c r="E2948" t="s" s="9">
        <v>71</v>
      </c>
      <c r="F2948" s="10">
        <v>1316</v>
      </c>
      <c r="G2948" s="10">
        <v>6397690</v>
      </c>
      <c r="H2948" s="11" cm="1">
        <f t="array" ref="H2948">F2948/G2948*100000</f>
        <v>20.5699244571087</v>
      </c>
    </row>
    <row r="2949" ht="13" customHeight="1">
      <c r="A2949" s="8">
        <v>6</v>
      </c>
      <c r="B2949" t="s" s="9">
        <v>36</v>
      </c>
      <c r="C2949" t="s" s="9">
        <v>63</v>
      </c>
      <c r="D2949" t="s" s="9">
        <v>49</v>
      </c>
      <c r="E2949" t="s" s="9">
        <v>71</v>
      </c>
      <c r="F2949" s="10">
        <v>992</v>
      </c>
      <c r="G2949" s="10">
        <v>6397690</v>
      </c>
      <c r="H2949" s="11" cm="1">
        <f t="array" ref="H2949">F2949/G2949*100000</f>
        <v>15.5055965512552</v>
      </c>
    </row>
    <row r="2950" ht="13" customHeight="1">
      <c r="A2950" s="8">
        <v>7</v>
      </c>
      <c r="B2950" t="s" s="9">
        <v>37</v>
      </c>
      <c r="C2950" t="s" s="9">
        <v>63</v>
      </c>
      <c r="D2950" t="s" s="9">
        <v>49</v>
      </c>
      <c r="E2950" t="s" s="9">
        <v>71</v>
      </c>
      <c r="F2950" s="10">
        <v>1089</v>
      </c>
      <c r="G2950" s="10">
        <v>6397690</v>
      </c>
      <c r="H2950" s="11" cm="1">
        <f t="array" ref="H2950">F2950/G2950*100000</f>
        <v>17.0217687946743</v>
      </c>
    </row>
    <row r="2951" ht="13" customHeight="1">
      <c r="A2951" s="8">
        <v>8</v>
      </c>
      <c r="B2951" t="s" s="9">
        <v>36</v>
      </c>
      <c r="C2951" t="s" s="9">
        <v>63</v>
      </c>
      <c r="D2951" t="s" s="9">
        <v>49</v>
      </c>
      <c r="E2951" t="s" s="9">
        <v>71</v>
      </c>
      <c r="F2951" s="10">
        <v>823</v>
      </c>
      <c r="G2951" s="10">
        <v>6397690</v>
      </c>
      <c r="H2951" s="11" cm="1">
        <f t="array" ref="H2951">F2951/G2951*100000</f>
        <v>12.8640181065353</v>
      </c>
    </row>
    <row r="2952" ht="13" customHeight="1">
      <c r="A2952" s="8">
        <v>9</v>
      </c>
      <c r="B2952" t="s" s="9">
        <v>30</v>
      </c>
      <c r="C2952" t="s" s="9">
        <v>63</v>
      </c>
      <c r="D2952" t="s" s="9">
        <v>49</v>
      </c>
      <c r="E2952" t="s" s="9">
        <v>71</v>
      </c>
      <c r="F2952" s="10">
        <v>792</v>
      </c>
      <c r="G2952" s="10">
        <v>6397690</v>
      </c>
      <c r="H2952" s="11" cm="1">
        <f t="array" ref="H2952">F2952/G2952*100000</f>
        <v>12.3794682143086</v>
      </c>
    </row>
    <row r="2953" ht="13" customHeight="1">
      <c r="A2953" s="8">
        <v>10</v>
      </c>
      <c r="B2953" t="s" s="9">
        <v>30</v>
      </c>
      <c r="C2953" t="s" s="9">
        <v>63</v>
      </c>
      <c r="D2953" t="s" s="9">
        <v>49</v>
      </c>
      <c r="E2953" t="s" s="9">
        <v>71</v>
      </c>
      <c r="F2953" s="10">
        <v>836</v>
      </c>
      <c r="G2953" s="10">
        <v>6397690</v>
      </c>
      <c r="H2953" s="11" cm="1">
        <f t="array" ref="H2953">F2953/G2953*100000</f>
        <v>13.0672164484369</v>
      </c>
    </row>
    <row r="2954" ht="13.65" customHeight="1">
      <c r="A2954" s="8">
        <v>1</v>
      </c>
      <c r="B2954" t="s" s="9">
        <v>30</v>
      </c>
      <c r="C2954" t="s" s="9">
        <v>63</v>
      </c>
      <c r="D2954" t="s" s="9">
        <v>51</v>
      </c>
      <c r="E2954" t="s" s="9">
        <v>71</v>
      </c>
      <c r="F2954" s="10">
        <v>2323</v>
      </c>
      <c r="G2954" s="12"/>
      <c r="H2954" s="13"/>
    </row>
    <row r="2955" ht="13.65" customHeight="1">
      <c r="A2955" s="8">
        <v>2</v>
      </c>
      <c r="B2955" t="s" s="9">
        <v>34</v>
      </c>
      <c r="C2955" t="s" s="9">
        <v>63</v>
      </c>
      <c r="D2955" t="s" s="9">
        <v>51</v>
      </c>
      <c r="E2955" t="s" s="9">
        <v>71</v>
      </c>
      <c r="F2955" s="10">
        <v>2130</v>
      </c>
      <c r="G2955" s="14"/>
      <c r="H2955" s="15"/>
    </row>
    <row r="2956" ht="13.65" customHeight="1">
      <c r="A2956" s="8">
        <v>3</v>
      </c>
      <c r="B2956" t="s" s="9">
        <v>35</v>
      </c>
      <c r="C2956" t="s" s="9">
        <v>63</v>
      </c>
      <c r="D2956" t="s" s="9">
        <v>51</v>
      </c>
      <c r="E2956" t="s" s="9">
        <v>71</v>
      </c>
      <c r="F2956" s="10">
        <v>1364</v>
      </c>
      <c r="G2956" s="14"/>
      <c r="H2956" s="15"/>
    </row>
    <row r="2957" ht="13.65" customHeight="1">
      <c r="A2957" s="8">
        <v>4</v>
      </c>
      <c r="B2957" t="s" s="9">
        <v>30</v>
      </c>
      <c r="C2957" t="s" s="9">
        <v>63</v>
      </c>
      <c r="D2957" t="s" s="9">
        <v>51</v>
      </c>
      <c r="E2957" t="s" s="9">
        <v>71</v>
      </c>
      <c r="F2957" s="10">
        <v>867</v>
      </c>
      <c r="G2957" s="14"/>
      <c r="H2957" s="15"/>
    </row>
    <row r="2958" ht="13.65" customHeight="1">
      <c r="A2958" s="8">
        <v>5</v>
      </c>
      <c r="B2958" t="s" s="9">
        <v>39</v>
      </c>
      <c r="C2958" t="s" s="9">
        <v>63</v>
      </c>
      <c r="D2958" t="s" s="9">
        <v>51</v>
      </c>
      <c r="E2958" t="s" s="9">
        <v>71</v>
      </c>
      <c r="F2958" s="10">
        <v>718</v>
      </c>
      <c r="G2958" s="14"/>
      <c r="H2958" s="15"/>
    </row>
    <row r="2959" ht="13.65" customHeight="1">
      <c r="A2959" s="8">
        <v>6</v>
      </c>
      <c r="B2959" t="s" s="9">
        <v>37</v>
      </c>
      <c r="C2959" t="s" s="9">
        <v>63</v>
      </c>
      <c r="D2959" t="s" s="9">
        <v>51</v>
      </c>
      <c r="E2959" t="s" s="9">
        <v>71</v>
      </c>
      <c r="F2959" s="10">
        <v>594</v>
      </c>
      <c r="G2959" s="14"/>
      <c r="H2959" s="15"/>
    </row>
    <row r="2960" ht="13.65" customHeight="1">
      <c r="A2960" s="8">
        <v>7</v>
      </c>
      <c r="B2960" t="s" s="9">
        <v>35</v>
      </c>
      <c r="C2960" t="s" s="9">
        <v>63</v>
      </c>
      <c r="D2960" t="s" s="9">
        <v>51</v>
      </c>
      <c r="E2960" t="s" s="9">
        <v>71</v>
      </c>
      <c r="F2960" s="10">
        <v>324</v>
      </c>
      <c r="G2960" s="14"/>
      <c r="H2960" s="15"/>
    </row>
    <row r="2961" ht="13.65" customHeight="1">
      <c r="A2961" s="8">
        <v>8</v>
      </c>
      <c r="B2961" t="s" s="9">
        <v>30</v>
      </c>
      <c r="C2961" t="s" s="9">
        <v>63</v>
      </c>
      <c r="D2961" t="s" s="9">
        <v>51</v>
      </c>
      <c r="E2961" t="s" s="9">
        <v>71</v>
      </c>
      <c r="F2961" s="10">
        <v>348</v>
      </c>
      <c r="G2961" s="14"/>
      <c r="H2961" s="15"/>
    </row>
    <row r="2962" ht="13.65" customHeight="1">
      <c r="A2962" s="8">
        <v>9</v>
      </c>
      <c r="B2962" t="s" s="9">
        <v>41</v>
      </c>
      <c r="C2962" t="s" s="9">
        <v>63</v>
      </c>
      <c r="D2962" t="s" s="9">
        <v>51</v>
      </c>
      <c r="E2962" t="s" s="9">
        <v>71</v>
      </c>
      <c r="F2962" s="10">
        <v>493</v>
      </c>
      <c r="G2962" s="14"/>
      <c r="H2962" s="15"/>
    </row>
    <row r="2963" ht="13.65" customHeight="1">
      <c r="A2963" s="8">
        <v>10</v>
      </c>
      <c r="B2963" t="s" s="9">
        <v>36</v>
      </c>
      <c r="C2963" t="s" s="9">
        <v>63</v>
      </c>
      <c r="D2963" t="s" s="9">
        <v>51</v>
      </c>
      <c r="E2963" t="s" s="9">
        <v>71</v>
      </c>
      <c r="F2963" s="10">
        <v>345</v>
      </c>
      <c r="G2963" s="14"/>
      <c r="H2963" s="15"/>
    </row>
    <row r="2964" ht="13.65" customHeight="1">
      <c r="A2964" s="8">
        <v>1</v>
      </c>
      <c r="B2964" t="s" s="9">
        <v>35</v>
      </c>
      <c r="C2964" t="s" s="9">
        <v>63</v>
      </c>
      <c r="D2964" t="s" s="9">
        <v>52</v>
      </c>
      <c r="E2964" t="s" s="9">
        <v>71</v>
      </c>
      <c r="F2964" s="10">
        <v>6906</v>
      </c>
      <c r="G2964" s="14"/>
      <c r="H2964" s="15"/>
    </row>
    <row r="2965" ht="13.65" customHeight="1">
      <c r="A2965" s="8">
        <v>2</v>
      </c>
      <c r="B2965" t="s" s="9">
        <v>30</v>
      </c>
      <c r="C2965" t="s" s="9">
        <v>63</v>
      </c>
      <c r="D2965" t="s" s="9">
        <v>52</v>
      </c>
      <c r="E2965" t="s" s="9">
        <v>71</v>
      </c>
      <c r="F2965" s="10">
        <v>3204</v>
      </c>
      <c r="G2965" s="14"/>
      <c r="H2965" s="15"/>
    </row>
    <row r="2966" ht="13.65" customHeight="1">
      <c r="A2966" s="8">
        <v>3</v>
      </c>
      <c r="B2966" t="s" s="9">
        <v>34</v>
      </c>
      <c r="C2966" t="s" s="9">
        <v>63</v>
      </c>
      <c r="D2966" t="s" s="9">
        <v>52</v>
      </c>
      <c r="E2966" t="s" s="9">
        <v>71</v>
      </c>
      <c r="F2966" s="10">
        <v>2425</v>
      </c>
      <c r="G2966" s="14"/>
      <c r="H2966" s="15"/>
    </row>
    <row r="2967" ht="13.65" customHeight="1">
      <c r="A2967" s="8">
        <v>4</v>
      </c>
      <c r="B2967" t="s" s="9">
        <v>30</v>
      </c>
      <c r="C2967" t="s" s="9">
        <v>63</v>
      </c>
      <c r="D2967" t="s" s="9">
        <v>52</v>
      </c>
      <c r="E2967" t="s" s="9">
        <v>71</v>
      </c>
      <c r="F2967" s="10">
        <v>1158</v>
      </c>
      <c r="G2967" s="14"/>
      <c r="H2967" s="15"/>
    </row>
    <row r="2968" ht="13.65" customHeight="1">
      <c r="A2968" s="8">
        <v>5</v>
      </c>
      <c r="B2968" t="s" s="9">
        <v>35</v>
      </c>
      <c r="C2968" t="s" s="9">
        <v>63</v>
      </c>
      <c r="D2968" t="s" s="9">
        <v>52</v>
      </c>
      <c r="E2968" t="s" s="9">
        <v>71</v>
      </c>
      <c r="F2968" s="10">
        <v>602</v>
      </c>
      <c r="G2968" s="14"/>
      <c r="H2968" s="15"/>
    </row>
    <row r="2969" ht="13.65" customHeight="1">
      <c r="A2969" s="8">
        <v>6</v>
      </c>
      <c r="B2969" t="s" s="9">
        <v>39</v>
      </c>
      <c r="C2969" t="s" s="9">
        <v>63</v>
      </c>
      <c r="D2969" t="s" s="9">
        <v>52</v>
      </c>
      <c r="E2969" t="s" s="9">
        <v>71</v>
      </c>
      <c r="F2969" s="10">
        <v>951</v>
      </c>
      <c r="G2969" s="14"/>
      <c r="H2969" s="15"/>
    </row>
    <row r="2970" ht="13.65" customHeight="1">
      <c r="A2970" s="8">
        <v>7</v>
      </c>
      <c r="B2970" t="s" s="9">
        <v>36</v>
      </c>
      <c r="C2970" t="s" s="9">
        <v>63</v>
      </c>
      <c r="D2970" t="s" s="9">
        <v>52</v>
      </c>
      <c r="E2970" t="s" s="9">
        <v>71</v>
      </c>
      <c r="F2970" s="10">
        <v>582</v>
      </c>
      <c r="G2970" s="14"/>
      <c r="H2970" s="15"/>
    </row>
    <row r="2971" ht="13.65" customHeight="1">
      <c r="A2971" s="8">
        <v>8</v>
      </c>
      <c r="B2971" t="s" s="9">
        <v>37</v>
      </c>
      <c r="C2971" t="s" s="9">
        <v>63</v>
      </c>
      <c r="D2971" t="s" s="9">
        <v>52</v>
      </c>
      <c r="E2971" t="s" s="9">
        <v>71</v>
      </c>
      <c r="F2971" s="10">
        <v>624</v>
      </c>
      <c r="G2971" s="14"/>
      <c r="H2971" s="15"/>
    </row>
    <row r="2972" ht="13.65" customHeight="1">
      <c r="A2972" s="8">
        <v>9</v>
      </c>
      <c r="B2972" t="s" s="9">
        <v>45</v>
      </c>
      <c r="C2972" t="s" s="9">
        <v>63</v>
      </c>
      <c r="D2972" t="s" s="9">
        <v>52</v>
      </c>
      <c r="E2972" t="s" s="9">
        <v>71</v>
      </c>
      <c r="F2972" s="10">
        <v>430</v>
      </c>
      <c r="G2972" s="14"/>
      <c r="H2972" s="15"/>
    </row>
    <row r="2973" ht="13.65" customHeight="1">
      <c r="A2973" s="8">
        <v>10</v>
      </c>
      <c r="B2973" t="s" s="9">
        <v>36</v>
      </c>
      <c r="C2973" t="s" s="9">
        <v>63</v>
      </c>
      <c r="D2973" t="s" s="9">
        <v>52</v>
      </c>
      <c r="E2973" t="s" s="9">
        <v>71</v>
      </c>
      <c r="F2973" s="10">
        <v>439</v>
      </c>
      <c r="G2973" s="16"/>
      <c r="H2973" s="17"/>
    </row>
    <row r="2974" ht="13" customHeight="1">
      <c r="A2974" s="8">
        <v>1</v>
      </c>
      <c r="B2974" t="s" s="9">
        <v>30</v>
      </c>
      <c r="C2974" t="s" s="9">
        <v>63</v>
      </c>
      <c r="D2974" t="s" s="9">
        <v>53</v>
      </c>
      <c r="E2974" t="s" s="9">
        <v>71</v>
      </c>
      <c r="F2974" s="10">
        <v>1755</v>
      </c>
      <c r="G2974" s="10">
        <v>5049226</v>
      </c>
      <c r="H2974" s="11" cm="1">
        <f t="array" ref="H2974">F2974/G2974*100000</f>
        <v>34.7578024829944</v>
      </c>
    </row>
    <row r="2975" ht="13" customHeight="1">
      <c r="A2975" s="8">
        <v>2</v>
      </c>
      <c r="B2975" t="s" s="9">
        <v>41</v>
      </c>
      <c r="C2975" t="s" s="9">
        <v>63</v>
      </c>
      <c r="D2975" t="s" s="9">
        <v>53</v>
      </c>
      <c r="E2975" t="s" s="9">
        <v>71</v>
      </c>
      <c r="F2975" s="10">
        <v>1491</v>
      </c>
      <c r="G2975" s="10">
        <v>5049226</v>
      </c>
      <c r="H2975" s="11" cm="1">
        <f t="array" ref="H2975">F2975/G2975*100000</f>
        <v>29.5292783488004</v>
      </c>
    </row>
    <row r="2976" ht="13" customHeight="1">
      <c r="A2976" s="8">
        <v>3</v>
      </c>
      <c r="B2976" t="s" s="9">
        <v>34</v>
      </c>
      <c r="C2976" t="s" s="9">
        <v>63</v>
      </c>
      <c r="D2976" t="s" s="9">
        <v>53</v>
      </c>
      <c r="E2976" t="s" s="9">
        <v>71</v>
      </c>
      <c r="F2976" s="10">
        <v>959</v>
      </c>
      <c r="G2976" s="10">
        <v>5049226</v>
      </c>
      <c r="H2976" s="11" cm="1">
        <f t="array" ref="H2976">F2976/G2976*100000</f>
        <v>18.993010017773</v>
      </c>
    </row>
    <row r="2977" ht="13" customHeight="1">
      <c r="A2977" s="8">
        <v>4</v>
      </c>
      <c r="B2977" t="s" s="9">
        <v>30</v>
      </c>
      <c r="C2977" t="s" s="9">
        <v>63</v>
      </c>
      <c r="D2977" t="s" s="9">
        <v>53</v>
      </c>
      <c r="E2977" t="s" s="9">
        <v>71</v>
      </c>
      <c r="F2977" s="10">
        <v>755</v>
      </c>
      <c r="G2977" s="10">
        <v>5049226</v>
      </c>
      <c r="H2977" s="11" cm="1">
        <f t="array" ref="H2977">F2977/G2977*100000</f>
        <v>14.9527868231685</v>
      </c>
    </row>
    <row r="2978" ht="13" customHeight="1">
      <c r="A2978" s="8">
        <v>5</v>
      </c>
      <c r="B2978" t="s" s="9">
        <v>35</v>
      </c>
      <c r="C2978" t="s" s="9">
        <v>63</v>
      </c>
      <c r="D2978" t="s" s="9">
        <v>53</v>
      </c>
      <c r="E2978" t="s" s="9">
        <v>71</v>
      </c>
      <c r="F2978" s="10">
        <v>543</v>
      </c>
      <c r="G2978" s="10">
        <v>5049226</v>
      </c>
      <c r="H2978" s="11" cm="1">
        <f t="array" ref="H2978">F2978/G2978*100000</f>
        <v>10.7541235032855</v>
      </c>
    </row>
    <row r="2979" ht="13" customHeight="1">
      <c r="A2979" s="8">
        <v>6</v>
      </c>
      <c r="B2979" t="s" s="9">
        <v>39</v>
      </c>
      <c r="C2979" t="s" s="9">
        <v>63</v>
      </c>
      <c r="D2979" t="s" s="9">
        <v>53</v>
      </c>
      <c r="E2979" t="s" s="9">
        <v>71</v>
      </c>
      <c r="F2979" s="10">
        <v>599</v>
      </c>
      <c r="G2979" s="10">
        <v>5049226</v>
      </c>
      <c r="H2979" s="11" cm="1">
        <f t="array" ref="H2979">F2979/G2979*100000</f>
        <v>11.8632043802357</v>
      </c>
    </row>
    <row r="2980" ht="13" customHeight="1">
      <c r="A2980" s="8">
        <v>7</v>
      </c>
      <c r="B2980" t="s" s="9">
        <v>37</v>
      </c>
      <c r="C2980" t="s" s="9">
        <v>63</v>
      </c>
      <c r="D2980" t="s" s="9">
        <v>53</v>
      </c>
      <c r="E2980" t="s" s="9">
        <v>71</v>
      </c>
      <c r="F2980" s="10">
        <v>361</v>
      </c>
      <c r="G2980" s="10">
        <v>5049226</v>
      </c>
      <c r="H2980" s="11" cm="1">
        <f t="array" ref="H2980">F2980/G2980*100000</f>
        <v>7.14961065319714</v>
      </c>
    </row>
    <row r="2981" ht="13" customHeight="1">
      <c r="A2981" s="8">
        <v>8</v>
      </c>
      <c r="B2981" t="s" s="9">
        <v>30</v>
      </c>
      <c r="C2981" t="s" s="9">
        <v>63</v>
      </c>
      <c r="D2981" t="s" s="9">
        <v>53</v>
      </c>
      <c r="E2981" t="s" s="9">
        <v>71</v>
      </c>
      <c r="F2981" s="10">
        <v>264</v>
      </c>
      <c r="G2981" s="10">
        <v>5049226</v>
      </c>
      <c r="H2981" s="11" cm="1">
        <f t="array" ref="H2981">F2981/G2981*100000</f>
        <v>5.22852413419403</v>
      </c>
    </row>
    <row r="2982" ht="13" customHeight="1">
      <c r="A2982" s="8">
        <v>9</v>
      </c>
      <c r="B2982" t="s" s="9">
        <v>36</v>
      </c>
      <c r="C2982" t="s" s="9">
        <v>63</v>
      </c>
      <c r="D2982" t="s" s="9">
        <v>53</v>
      </c>
      <c r="E2982" t="s" s="9">
        <v>71</v>
      </c>
      <c r="F2982" s="10">
        <v>250</v>
      </c>
      <c r="G2982" s="10">
        <v>5049226</v>
      </c>
      <c r="H2982" s="11" cm="1">
        <f t="array" ref="H2982">F2982/G2982*100000</f>
        <v>4.95125391495647</v>
      </c>
    </row>
    <row r="2983" ht="13" customHeight="1">
      <c r="A2983" s="8">
        <v>10</v>
      </c>
      <c r="B2983" t="s" s="9">
        <v>30</v>
      </c>
      <c r="C2983" t="s" s="9">
        <v>63</v>
      </c>
      <c r="D2983" t="s" s="9">
        <v>53</v>
      </c>
      <c r="E2983" t="s" s="9">
        <v>71</v>
      </c>
      <c r="F2983" s="10">
        <v>244</v>
      </c>
      <c r="G2983" s="10">
        <v>5049226</v>
      </c>
      <c r="H2983" s="11" cm="1">
        <f t="array" ref="H2983">F2983/G2983*100000</f>
        <v>4.83242382099752</v>
      </c>
    </row>
    <row r="2984" ht="13" customHeight="1">
      <c r="A2984" s="8">
        <v>1</v>
      </c>
      <c r="B2984" t="s" s="9">
        <v>30</v>
      </c>
      <c r="C2984" t="s" s="9">
        <v>63</v>
      </c>
      <c r="D2984" t="s" s="9">
        <v>54</v>
      </c>
      <c r="E2984" t="s" s="9">
        <v>71</v>
      </c>
      <c r="F2984" s="10">
        <v>1494</v>
      </c>
      <c r="G2984" s="10">
        <v>3901529</v>
      </c>
      <c r="H2984" s="11" cm="1">
        <f t="array" ref="H2984">F2984/G2984*100000</f>
        <v>38.2926796135566</v>
      </c>
    </row>
    <row r="2985" ht="13" customHeight="1">
      <c r="A2985" s="8">
        <v>2</v>
      </c>
      <c r="B2985" t="s" s="9">
        <v>34</v>
      </c>
      <c r="C2985" t="s" s="9">
        <v>63</v>
      </c>
      <c r="D2985" t="s" s="9">
        <v>54</v>
      </c>
      <c r="E2985" t="s" s="9">
        <v>71</v>
      </c>
      <c r="F2985" s="10">
        <v>895</v>
      </c>
      <c r="G2985" s="10">
        <v>3901529</v>
      </c>
      <c r="H2985" s="11" cm="1">
        <f t="array" ref="H2985">F2985/G2985*100000</f>
        <v>22.9397244003569</v>
      </c>
    </row>
    <row r="2986" ht="13" customHeight="1">
      <c r="A2986" s="8">
        <v>3</v>
      </c>
      <c r="B2986" t="s" s="9">
        <v>35</v>
      </c>
      <c r="C2986" t="s" s="9">
        <v>63</v>
      </c>
      <c r="D2986" t="s" s="9">
        <v>54</v>
      </c>
      <c r="E2986" t="s" s="9">
        <v>71</v>
      </c>
      <c r="F2986" s="10">
        <v>596</v>
      </c>
      <c r="G2986" s="10">
        <v>3901529</v>
      </c>
      <c r="H2986" s="11" cm="1">
        <f t="array" ref="H2986">F2986/G2986*100000</f>
        <v>15.2760622822488</v>
      </c>
    </row>
    <row r="2987" ht="13" customHeight="1">
      <c r="A2987" s="8">
        <v>4</v>
      </c>
      <c r="B2987" t="s" s="9">
        <v>41</v>
      </c>
      <c r="C2987" t="s" s="9">
        <v>63</v>
      </c>
      <c r="D2987" t="s" s="9">
        <v>54</v>
      </c>
      <c r="E2987" t="s" s="9">
        <v>71</v>
      </c>
      <c r="F2987" s="10">
        <v>597</v>
      </c>
      <c r="G2987" s="10">
        <v>3901529</v>
      </c>
      <c r="H2987" s="11" cm="1">
        <f t="array" ref="H2987">F2987/G2987*100000</f>
        <v>15.3016932592325</v>
      </c>
    </row>
    <row r="2988" ht="13" customHeight="1">
      <c r="A2988" s="8">
        <v>5</v>
      </c>
      <c r="B2988" t="s" s="9">
        <v>39</v>
      </c>
      <c r="C2988" t="s" s="9">
        <v>63</v>
      </c>
      <c r="D2988" t="s" s="9">
        <v>54</v>
      </c>
      <c r="E2988" t="s" s="9">
        <v>71</v>
      </c>
      <c r="F2988" s="10">
        <v>506</v>
      </c>
      <c r="G2988" s="10">
        <v>3901529</v>
      </c>
      <c r="H2988" s="11" cm="1">
        <f t="array" ref="H2988">F2988/G2988*100000</f>
        <v>12.9692743537213</v>
      </c>
    </row>
    <row r="2989" ht="13" customHeight="1">
      <c r="A2989" s="8">
        <v>6</v>
      </c>
      <c r="B2989" t="s" s="9">
        <v>39</v>
      </c>
      <c r="C2989" t="s" s="9">
        <v>63</v>
      </c>
      <c r="D2989" t="s" s="9">
        <v>54</v>
      </c>
      <c r="E2989" t="s" s="9">
        <v>71</v>
      </c>
      <c r="F2989" s="10">
        <v>506</v>
      </c>
      <c r="G2989" s="10">
        <v>3901529</v>
      </c>
      <c r="H2989" s="11" cm="1">
        <f t="array" ref="H2989">F2989/G2989*100000</f>
        <v>12.9692743537213</v>
      </c>
    </row>
    <row r="2990" ht="13" customHeight="1">
      <c r="A2990" s="8">
        <v>7</v>
      </c>
      <c r="B2990" t="s" s="9">
        <v>41</v>
      </c>
      <c r="C2990" t="s" s="9">
        <v>63</v>
      </c>
      <c r="D2990" t="s" s="9">
        <v>54</v>
      </c>
      <c r="E2990" t="s" s="9">
        <v>71</v>
      </c>
      <c r="F2990" s="10">
        <v>373</v>
      </c>
      <c r="G2990" s="10">
        <v>3901529</v>
      </c>
      <c r="H2990" s="11" cm="1">
        <f t="array" ref="H2990">F2990/G2990*100000</f>
        <v>9.56035441489734</v>
      </c>
    </row>
    <row r="2991" ht="13" customHeight="1">
      <c r="A2991" s="8">
        <v>8</v>
      </c>
      <c r="B2991" t="s" s="9">
        <v>30</v>
      </c>
      <c r="C2991" t="s" s="9">
        <v>63</v>
      </c>
      <c r="D2991" t="s" s="9">
        <v>54</v>
      </c>
      <c r="E2991" t="s" s="9">
        <v>71</v>
      </c>
      <c r="F2991" s="10">
        <v>344</v>
      </c>
      <c r="G2991" s="10">
        <v>3901529</v>
      </c>
      <c r="H2991" s="11" cm="1">
        <f t="array" ref="H2991">F2991/G2991*100000</f>
        <v>8.81705608237181</v>
      </c>
    </row>
    <row r="2992" ht="13" customHeight="1">
      <c r="A2992" s="8">
        <v>9</v>
      </c>
      <c r="B2992" t="s" s="9">
        <v>45</v>
      </c>
      <c r="C2992" t="s" s="9">
        <v>63</v>
      </c>
      <c r="D2992" t="s" s="9">
        <v>54</v>
      </c>
      <c r="E2992" t="s" s="9">
        <v>71</v>
      </c>
      <c r="F2992" s="10">
        <v>270</v>
      </c>
      <c r="G2992" s="10">
        <v>3901529</v>
      </c>
      <c r="H2992" s="11" cm="1">
        <f t="array" ref="H2992">F2992/G2992*100000</f>
        <v>6.92036378558252</v>
      </c>
    </row>
    <row r="2993" ht="13" customHeight="1">
      <c r="A2993" s="8">
        <v>10</v>
      </c>
      <c r="B2993" t="s" s="9">
        <v>45</v>
      </c>
      <c r="C2993" t="s" s="9">
        <v>63</v>
      </c>
      <c r="D2993" t="s" s="9">
        <v>54</v>
      </c>
      <c r="E2993" t="s" s="9">
        <v>71</v>
      </c>
      <c r="F2993" s="10">
        <v>267</v>
      </c>
      <c r="G2993" s="10">
        <v>3901529</v>
      </c>
      <c r="H2993" s="11" cm="1">
        <f t="array" ref="H2993">F2993/G2993*100000</f>
        <v>6.84347085463161</v>
      </c>
    </row>
    <row r="2994" ht="13" customHeight="1">
      <c r="A2994" s="8">
        <v>1</v>
      </c>
      <c r="B2994" t="s" s="9">
        <v>30</v>
      </c>
      <c r="C2994" t="s" s="9">
        <v>63</v>
      </c>
      <c r="D2994" t="s" s="9">
        <v>55</v>
      </c>
      <c r="E2994" t="s" s="9">
        <v>71</v>
      </c>
      <c r="F2994" s="10">
        <v>3427</v>
      </c>
      <c r="G2994" s="10">
        <v>5273604</v>
      </c>
      <c r="H2994" s="11" cm="1">
        <f t="array" ref="H2994">F2994/G2994*100000</f>
        <v>64.9840223118763</v>
      </c>
    </row>
    <row r="2995" ht="13" customHeight="1">
      <c r="A2995" s="8">
        <v>2</v>
      </c>
      <c r="B2995" t="s" s="9">
        <v>35</v>
      </c>
      <c r="C2995" t="s" s="9">
        <v>63</v>
      </c>
      <c r="D2995" t="s" s="9">
        <v>55</v>
      </c>
      <c r="E2995" t="s" s="9">
        <v>71</v>
      </c>
      <c r="F2995" s="10">
        <v>2264</v>
      </c>
      <c r="G2995" s="10">
        <v>5273604</v>
      </c>
      <c r="H2995" s="11" cm="1">
        <f t="array" ref="H2995">F2995/G2995*100000</f>
        <v>42.9307926799206</v>
      </c>
    </row>
    <row r="2996" ht="13" customHeight="1">
      <c r="A2996" s="8">
        <v>3</v>
      </c>
      <c r="B2996" t="s" s="9">
        <v>35</v>
      </c>
      <c r="C2996" t="s" s="9">
        <v>63</v>
      </c>
      <c r="D2996" t="s" s="9">
        <v>55</v>
      </c>
      <c r="E2996" t="s" s="9">
        <v>71</v>
      </c>
      <c r="F2996" s="10">
        <v>1939</v>
      </c>
      <c r="G2996" s="10">
        <v>5273604</v>
      </c>
      <c r="H2996" s="11" cm="1">
        <f t="array" ref="H2996">F2996/G2996*100000</f>
        <v>36.7680242960981</v>
      </c>
    </row>
    <row r="2997" ht="13" customHeight="1">
      <c r="A2997" s="8">
        <v>4</v>
      </c>
      <c r="B2997" t="s" s="9">
        <v>34</v>
      </c>
      <c r="C2997" t="s" s="9">
        <v>63</v>
      </c>
      <c r="D2997" t="s" s="9">
        <v>55</v>
      </c>
      <c r="E2997" t="s" s="9">
        <v>71</v>
      </c>
      <c r="F2997" s="10">
        <v>1399</v>
      </c>
      <c r="G2997" s="10">
        <v>5273604</v>
      </c>
      <c r="H2997" s="11" cm="1">
        <f t="array" ref="H2997">F2997/G2997*100000</f>
        <v>26.5283475968237</v>
      </c>
    </row>
    <row r="2998" ht="13" customHeight="1">
      <c r="A2998" s="8">
        <v>5</v>
      </c>
      <c r="B2998" t="s" s="9">
        <v>30</v>
      </c>
      <c r="C2998" t="s" s="9">
        <v>63</v>
      </c>
      <c r="D2998" t="s" s="9">
        <v>55</v>
      </c>
      <c r="E2998" t="s" s="9">
        <v>71</v>
      </c>
      <c r="F2998" s="10">
        <v>961</v>
      </c>
      <c r="G2998" s="10">
        <v>5273604</v>
      </c>
      <c r="H2998" s="11" cm="1">
        <f t="array" ref="H2998">F2998/G2998*100000</f>
        <v>18.2228320518568</v>
      </c>
    </row>
    <row r="2999" ht="13" customHeight="1">
      <c r="A2999" s="8">
        <v>6</v>
      </c>
      <c r="B2999" t="s" s="9">
        <v>36</v>
      </c>
      <c r="C2999" t="s" s="9">
        <v>63</v>
      </c>
      <c r="D2999" t="s" s="9">
        <v>55</v>
      </c>
      <c r="E2999" t="s" s="9">
        <v>71</v>
      </c>
      <c r="F2999" s="10">
        <v>593</v>
      </c>
      <c r="G2999" s="10">
        <v>5273604</v>
      </c>
      <c r="H2999" s="11" cm="1">
        <f t="array" ref="H2999">F2999/G2999*100000</f>
        <v>11.2446820049439</v>
      </c>
    </row>
    <row r="3000" ht="13" customHeight="1">
      <c r="A3000" s="8">
        <v>7</v>
      </c>
      <c r="B3000" t="s" s="9">
        <v>39</v>
      </c>
      <c r="C3000" t="s" s="9">
        <v>63</v>
      </c>
      <c r="D3000" t="s" s="9">
        <v>55</v>
      </c>
      <c r="E3000" t="s" s="9">
        <v>71</v>
      </c>
      <c r="F3000" s="10">
        <v>785</v>
      </c>
      <c r="G3000" s="10">
        <v>5273604</v>
      </c>
      <c r="H3000" s="11" cm="1">
        <f t="array" ref="H3000">F3000/G3000*100000</f>
        <v>14.8854559424636</v>
      </c>
    </row>
    <row r="3001" ht="13" customHeight="1">
      <c r="A3001" s="8">
        <v>8</v>
      </c>
      <c r="B3001" t="s" s="9">
        <v>36</v>
      </c>
      <c r="C3001" t="s" s="9">
        <v>63</v>
      </c>
      <c r="D3001" t="s" s="9">
        <v>55</v>
      </c>
      <c r="E3001" t="s" s="9">
        <v>71</v>
      </c>
      <c r="F3001" s="10">
        <v>513</v>
      </c>
      <c r="G3001" s="10">
        <v>5273604</v>
      </c>
      <c r="H3001" s="11" cm="1">
        <f t="array" ref="H3001">F3001/G3001*100000</f>
        <v>9.72769286431063</v>
      </c>
    </row>
    <row r="3002" ht="13" customHeight="1">
      <c r="A3002" s="8">
        <v>9</v>
      </c>
      <c r="B3002" t="s" s="9">
        <v>45</v>
      </c>
      <c r="C3002" t="s" s="9">
        <v>63</v>
      </c>
      <c r="D3002" t="s" s="9">
        <v>55</v>
      </c>
      <c r="E3002" t="s" s="9">
        <v>71</v>
      </c>
      <c r="F3002" s="10">
        <v>305</v>
      </c>
      <c r="G3002" s="10">
        <v>5273604</v>
      </c>
      <c r="H3002" s="11" cm="1">
        <f t="array" ref="H3002">F3002/G3002*100000</f>
        <v>5.78352109866422</v>
      </c>
    </row>
    <row r="3003" ht="13" customHeight="1">
      <c r="A3003" s="8">
        <v>10</v>
      </c>
      <c r="B3003" t="s" s="9">
        <v>37</v>
      </c>
      <c r="C3003" t="s" s="9">
        <v>63</v>
      </c>
      <c r="D3003" t="s" s="9">
        <v>55</v>
      </c>
      <c r="E3003" t="s" s="9">
        <v>71</v>
      </c>
      <c r="F3003" s="10">
        <v>365</v>
      </c>
      <c r="G3003" s="10">
        <v>5273604</v>
      </c>
      <c r="H3003" s="11" cm="1">
        <f t="array" ref="H3003">F3003/G3003*100000</f>
        <v>6.92126295413914</v>
      </c>
    </row>
    <row r="3004" ht="13" customHeight="1">
      <c r="A3004" s="8">
        <v>1</v>
      </c>
      <c r="B3004" t="s" s="9">
        <v>34</v>
      </c>
      <c r="C3004" t="s" s="9">
        <v>63</v>
      </c>
      <c r="D3004" t="s" s="9">
        <v>56</v>
      </c>
      <c r="E3004" t="s" s="9">
        <v>71</v>
      </c>
      <c r="F3004" s="10">
        <v>2150</v>
      </c>
      <c r="G3004" s="10">
        <v>5691183</v>
      </c>
      <c r="H3004" s="11" cm="1">
        <f t="array" ref="H3004">F3004/G3004*100000</f>
        <v>37.7777344358809</v>
      </c>
    </row>
    <row r="3005" ht="13" customHeight="1">
      <c r="A3005" s="8">
        <v>2</v>
      </c>
      <c r="B3005" t="s" s="9">
        <v>35</v>
      </c>
      <c r="C3005" t="s" s="9">
        <v>63</v>
      </c>
      <c r="D3005" t="s" s="9">
        <v>56</v>
      </c>
      <c r="E3005" t="s" s="9">
        <v>71</v>
      </c>
      <c r="F3005" s="10">
        <v>1804</v>
      </c>
      <c r="G3005" s="10">
        <v>5691183</v>
      </c>
      <c r="H3005" s="11" cm="1">
        <f t="array" ref="H3005">F3005/G3005*100000</f>
        <v>31.698154847595</v>
      </c>
    </row>
    <row r="3006" ht="13" customHeight="1">
      <c r="A3006" s="8">
        <v>3</v>
      </c>
      <c r="B3006" t="s" s="9">
        <v>30</v>
      </c>
      <c r="C3006" t="s" s="9">
        <v>63</v>
      </c>
      <c r="D3006" t="s" s="9">
        <v>56</v>
      </c>
      <c r="E3006" t="s" s="9">
        <v>71</v>
      </c>
      <c r="F3006" s="10">
        <v>1237</v>
      </c>
      <c r="G3006" s="10">
        <v>5691183</v>
      </c>
      <c r="H3006" s="11" cm="1">
        <f t="array" ref="H3006">F3006/G3006*100000</f>
        <v>21.7353755800859</v>
      </c>
    </row>
    <row r="3007" ht="13" customHeight="1">
      <c r="A3007" s="8">
        <v>4</v>
      </c>
      <c r="B3007" t="s" s="9">
        <v>37</v>
      </c>
      <c r="C3007" t="s" s="9">
        <v>63</v>
      </c>
      <c r="D3007" t="s" s="9">
        <v>56</v>
      </c>
      <c r="E3007" t="s" s="9">
        <v>71</v>
      </c>
      <c r="F3007" s="10">
        <v>944</v>
      </c>
      <c r="G3007" s="10">
        <v>5691183</v>
      </c>
      <c r="H3007" s="11" cm="1">
        <f t="array" ref="H3007">F3007/G3007*100000</f>
        <v>16.5870610732426</v>
      </c>
    </row>
    <row r="3008" ht="13" customHeight="1">
      <c r="A3008" s="8">
        <v>5</v>
      </c>
      <c r="B3008" t="s" s="9">
        <v>35</v>
      </c>
      <c r="C3008" t="s" s="9">
        <v>63</v>
      </c>
      <c r="D3008" t="s" s="9">
        <v>56</v>
      </c>
      <c r="E3008" t="s" s="9">
        <v>71</v>
      </c>
      <c r="F3008" s="10">
        <v>457</v>
      </c>
      <c r="G3008" s="10">
        <v>5691183</v>
      </c>
      <c r="H3008" s="11" cm="1">
        <f t="array" ref="H3008">F3008/G3008*100000</f>
        <v>8.02996494753376</v>
      </c>
    </row>
    <row r="3009" ht="13" customHeight="1">
      <c r="A3009" s="8">
        <v>6</v>
      </c>
      <c r="B3009" t="s" s="9">
        <v>30</v>
      </c>
      <c r="C3009" t="s" s="9">
        <v>63</v>
      </c>
      <c r="D3009" t="s" s="9">
        <v>56</v>
      </c>
      <c r="E3009" t="s" s="9">
        <v>71</v>
      </c>
      <c r="F3009" s="10">
        <v>361</v>
      </c>
      <c r="G3009" s="10">
        <v>5691183</v>
      </c>
      <c r="H3009" s="11" cm="1">
        <f t="array" ref="H3009">F3009/G3009*100000</f>
        <v>6.34314517737349</v>
      </c>
    </row>
    <row r="3010" ht="13" customHeight="1">
      <c r="A3010" s="8">
        <v>7</v>
      </c>
      <c r="B3010" t="s" s="9">
        <v>41</v>
      </c>
      <c r="C3010" t="s" s="9">
        <v>63</v>
      </c>
      <c r="D3010" t="s" s="9">
        <v>56</v>
      </c>
      <c r="E3010" t="s" s="9">
        <v>71</v>
      </c>
      <c r="F3010" s="10">
        <v>317</v>
      </c>
      <c r="G3010" s="10">
        <v>5691183</v>
      </c>
      <c r="H3010" s="11" cm="1">
        <f t="array" ref="H3010">F3010/G3010*100000</f>
        <v>5.57001944938337</v>
      </c>
    </row>
    <row r="3011" ht="13" customHeight="1">
      <c r="A3011" s="8">
        <v>8</v>
      </c>
      <c r="B3011" t="s" s="9">
        <v>36</v>
      </c>
      <c r="C3011" t="s" s="9">
        <v>63</v>
      </c>
      <c r="D3011" t="s" s="9">
        <v>56</v>
      </c>
      <c r="E3011" t="s" s="9">
        <v>71</v>
      </c>
      <c r="F3011" s="10">
        <v>236</v>
      </c>
      <c r="G3011" s="10">
        <v>5691183</v>
      </c>
      <c r="H3011" s="11" cm="1">
        <f t="array" ref="H3011">F3011/G3011*100000</f>
        <v>4.14676526831065</v>
      </c>
    </row>
    <row r="3012" ht="13" customHeight="1">
      <c r="A3012" s="8">
        <v>9</v>
      </c>
      <c r="B3012" t="s" s="9">
        <v>39</v>
      </c>
      <c r="C3012" t="s" s="9">
        <v>63</v>
      </c>
      <c r="D3012" t="s" s="9">
        <v>56</v>
      </c>
      <c r="E3012" t="s" s="9">
        <v>71</v>
      </c>
      <c r="F3012" s="10">
        <v>271</v>
      </c>
      <c r="G3012" s="10">
        <v>5691183</v>
      </c>
      <c r="H3012" s="11" cm="1">
        <f t="array" ref="H3012">F3012/G3012*100000</f>
        <v>4.76175164284824</v>
      </c>
    </row>
    <row r="3013" ht="13" customHeight="1">
      <c r="A3013" s="8">
        <v>10</v>
      </c>
      <c r="B3013" t="s" s="9">
        <v>30</v>
      </c>
      <c r="C3013" t="s" s="9">
        <v>63</v>
      </c>
      <c r="D3013" t="s" s="9">
        <v>56</v>
      </c>
      <c r="E3013" t="s" s="9">
        <v>71</v>
      </c>
      <c r="F3013" s="10">
        <v>243</v>
      </c>
      <c r="G3013" s="10">
        <v>5691183</v>
      </c>
      <c r="H3013" s="11" cm="1">
        <f t="array" ref="H3013">F3013/G3013*100000</f>
        <v>4.26976254321817</v>
      </c>
    </row>
    <row r="3014" ht="13" customHeight="1">
      <c r="A3014" s="8">
        <v>1</v>
      </c>
      <c r="B3014" t="s" s="9">
        <v>30</v>
      </c>
      <c r="C3014" t="s" s="9">
        <v>63</v>
      </c>
      <c r="D3014" t="s" s="9">
        <v>20</v>
      </c>
      <c r="E3014" t="s" s="9">
        <v>71</v>
      </c>
      <c r="F3014" s="10">
        <v>1963</v>
      </c>
      <c r="G3014" s="10">
        <v>2889689</v>
      </c>
      <c r="H3014" s="11" cm="1">
        <f t="array" ref="H3014">F3014/G3014*100000</f>
        <v>67.93118567430611</v>
      </c>
    </row>
    <row r="3015" ht="13" customHeight="1">
      <c r="A3015" s="8">
        <v>2</v>
      </c>
      <c r="B3015" t="s" s="9">
        <v>35</v>
      </c>
      <c r="C3015" t="s" s="9">
        <v>63</v>
      </c>
      <c r="D3015" t="s" s="9">
        <v>20</v>
      </c>
      <c r="E3015" t="s" s="9">
        <v>71</v>
      </c>
      <c r="F3015" s="10">
        <v>844</v>
      </c>
      <c r="G3015" s="10">
        <v>2889689</v>
      </c>
      <c r="H3015" s="11" cm="1">
        <f t="array" ref="H3015">F3015/G3015*100000</f>
        <v>29.2072953179391</v>
      </c>
    </row>
    <row r="3016" ht="13" customHeight="1">
      <c r="A3016" s="8">
        <v>3</v>
      </c>
      <c r="B3016" t="s" s="9">
        <v>39</v>
      </c>
      <c r="C3016" t="s" s="9">
        <v>63</v>
      </c>
      <c r="D3016" t="s" s="9">
        <v>20</v>
      </c>
      <c r="E3016" t="s" s="9">
        <v>71</v>
      </c>
      <c r="F3016" s="10">
        <v>1016</v>
      </c>
      <c r="G3016" s="10">
        <v>2889689</v>
      </c>
      <c r="H3016" s="11" cm="1">
        <f t="array" ref="H3016">F3016/G3016*100000</f>
        <v>35.159492941974</v>
      </c>
    </row>
    <row r="3017" ht="13" customHeight="1">
      <c r="A3017" s="8">
        <v>4</v>
      </c>
      <c r="B3017" t="s" s="9">
        <v>34</v>
      </c>
      <c r="C3017" t="s" s="9">
        <v>63</v>
      </c>
      <c r="D3017" t="s" s="9">
        <v>20</v>
      </c>
      <c r="E3017" t="s" s="9">
        <v>71</v>
      </c>
      <c r="F3017" s="10">
        <v>597</v>
      </c>
      <c r="G3017" s="10">
        <v>2889689</v>
      </c>
      <c r="H3017" s="11" cm="1">
        <f t="array" ref="H3017">F3017/G3017*100000</f>
        <v>20.6596626834237</v>
      </c>
    </row>
    <row r="3018" ht="13" customHeight="1">
      <c r="A3018" s="8">
        <v>5</v>
      </c>
      <c r="B3018" t="s" s="9">
        <v>35</v>
      </c>
      <c r="C3018" t="s" s="9">
        <v>63</v>
      </c>
      <c r="D3018" t="s" s="9">
        <v>20</v>
      </c>
      <c r="E3018" t="s" s="9">
        <v>71</v>
      </c>
      <c r="F3018" s="10">
        <v>473</v>
      </c>
      <c r="G3018" s="10">
        <v>2889689</v>
      </c>
      <c r="H3018" s="11" cm="1">
        <f t="array" ref="H3018">F3018/G3018*100000</f>
        <v>16.3685434660962</v>
      </c>
    </row>
    <row r="3019" ht="13" customHeight="1">
      <c r="A3019" s="8">
        <v>6</v>
      </c>
      <c r="B3019" t="s" s="9">
        <v>30</v>
      </c>
      <c r="C3019" t="s" s="9">
        <v>63</v>
      </c>
      <c r="D3019" t="s" s="9">
        <v>20</v>
      </c>
      <c r="E3019" t="s" s="9">
        <v>71</v>
      </c>
      <c r="F3019" s="10">
        <v>533</v>
      </c>
      <c r="G3019" s="10">
        <v>2889689</v>
      </c>
      <c r="H3019" s="11" cm="1">
        <f t="array" ref="H3019">F3019/G3019*100000</f>
        <v>18.4448914744805</v>
      </c>
    </row>
    <row r="3020" ht="13" customHeight="1">
      <c r="A3020" s="8">
        <v>7</v>
      </c>
      <c r="B3020" t="s" s="9">
        <v>36</v>
      </c>
      <c r="C3020" t="s" s="9">
        <v>63</v>
      </c>
      <c r="D3020" t="s" s="9">
        <v>20</v>
      </c>
      <c r="E3020" t="s" s="9">
        <v>71</v>
      </c>
      <c r="F3020" s="10">
        <v>313</v>
      </c>
      <c r="G3020" s="10">
        <v>2889689</v>
      </c>
      <c r="H3020" s="11" cm="1">
        <f t="array" ref="H3020">F3020/G3020*100000</f>
        <v>10.8316154437381</v>
      </c>
    </row>
    <row r="3021" ht="13" customHeight="1">
      <c r="A3021" s="8">
        <v>8</v>
      </c>
      <c r="B3021" t="s" s="9">
        <v>45</v>
      </c>
      <c r="C3021" t="s" s="9">
        <v>63</v>
      </c>
      <c r="D3021" t="s" s="9">
        <v>20</v>
      </c>
      <c r="E3021" t="s" s="9">
        <v>71</v>
      </c>
      <c r="F3021" s="10">
        <v>285</v>
      </c>
      <c r="G3021" s="10">
        <v>2889689</v>
      </c>
      <c r="H3021" s="11" cm="1">
        <f t="array" ref="H3021">F3021/G3021*100000</f>
        <v>9.862653039825391</v>
      </c>
    </row>
    <row r="3022" ht="13" customHeight="1">
      <c r="A3022" s="8">
        <v>9</v>
      </c>
      <c r="B3022" t="s" s="9">
        <v>37</v>
      </c>
      <c r="C3022" t="s" s="9">
        <v>63</v>
      </c>
      <c r="D3022" t="s" s="9">
        <v>20</v>
      </c>
      <c r="E3022" t="s" s="9">
        <v>71</v>
      </c>
      <c r="F3022" s="10">
        <v>259</v>
      </c>
      <c r="G3022" s="10">
        <v>2889689</v>
      </c>
      <c r="H3022" s="11" cm="1">
        <f t="array" ref="H3022">F3022/G3022*100000</f>
        <v>8.9629022361922</v>
      </c>
    </row>
    <row r="3023" ht="13" customHeight="1">
      <c r="A3023" s="8">
        <v>10</v>
      </c>
      <c r="B3023" t="s" s="9">
        <v>45</v>
      </c>
      <c r="C3023" t="s" s="9">
        <v>63</v>
      </c>
      <c r="D3023" t="s" s="9">
        <v>20</v>
      </c>
      <c r="E3023" t="s" s="9">
        <v>71</v>
      </c>
      <c r="F3023" s="10">
        <v>205</v>
      </c>
      <c r="G3023" s="10">
        <v>2889689</v>
      </c>
      <c r="H3023" s="11" cm="1">
        <f t="array" ref="H3023">F3023/G3023*100000</f>
        <v>7.09418902864634</v>
      </c>
    </row>
    <row r="3024" ht="13" customHeight="1">
      <c r="A3024" s="8">
        <v>1</v>
      </c>
      <c r="B3024" t="s" s="9">
        <v>30</v>
      </c>
      <c r="C3024" t="s" s="9">
        <v>63</v>
      </c>
      <c r="D3024" t="s" s="9">
        <v>21</v>
      </c>
      <c r="E3024" t="s" s="9">
        <v>71</v>
      </c>
      <c r="F3024" s="10">
        <v>1057</v>
      </c>
      <c r="G3024" s="10">
        <v>4635519</v>
      </c>
      <c r="H3024" s="11" cm="1">
        <f t="array" ref="H3024">F3024/G3024*100000</f>
        <v>22.8021932387722</v>
      </c>
    </row>
    <row r="3025" ht="13" customHeight="1">
      <c r="A3025" s="8">
        <v>2</v>
      </c>
      <c r="B3025" t="s" s="9">
        <v>36</v>
      </c>
      <c r="C3025" t="s" s="9">
        <v>63</v>
      </c>
      <c r="D3025" t="s" s="9">
        <v>21</v>
      </c>
      <c r="E3025" t="s" s="9">
        <v>71</v>
      </c>
      <c r="F3025" s="10">
        <v>632</v>
      </c>
      <c r="G3025" s="10">
        <v>4635519</v>
      </c>
      <c r="H3025" s="11" cm="1">
        <f t="array" ref="H3025">F3025/G3025*100000</f>
        <v>13.6338563168439</v>
      </c>
    </row>
    <row r="3026" ht="13" customHeight="1">
      <c r="A3026" s="8">
        <v>3</v>
      </c>
      <c r="B3026" t="s" s="9">
        <v>34</v>
      </c>
      <c r="C3026" t="s" s="9">
        <v>63</v>
      </c>
      <c r="D3026" t="s" s="9">
        <v>21</v>
      </c>
      <c r="E3026" t="s" s="9">
        <v>71</v>
      </c>
      <c r="F3026" s="10">
        <v>502</v>
      </c>
      <c r="G3026" s="10">
        <v>4635519</v>
      </c>
      <c r="H3026" s="11" cm="1">
        <f t="array" ref="H3026">F3026/G3026*100000</f>
        <v>10.829423846607</v>
      </c>
    </row>
    <row r="3027" ht="13" customHeight="1">
      <c r="A3027" s="8">
        <v>4</v>
      </c>
      <c r="B3027" t="s" s="9">
        <v>45</v>
      </c>
      <c r="C3027" t="s" s="9">
        <v>63</v>
      </c>
      <c r="D3027" t="s" s="9">
        <v>21</v>
      </c>
      <c r="E3027" t="s" s="9">
        <v>71</v>
      </c>
      <c r="F3027" s="10">
        <v>329</v>
      </c>
      <c r="G3027" s="10">
        <v>4635519</v>
      </c>
      <c r="H3027" s="11" cm="1">
        <f t="array" ref="H3027">F3027/G3027*100000</f>
        <v>7.09737140544565</v>
      </c>
    </row>
    <row r="3028" ht="13" customHeight="1">
      <c r="A3028" s="8">
        <v>5</v>
      </c>
      <c r="B3028" t="s" s="9">
        <v>37</v>
      </c>
      <c r="C3028" t="s" s="9">
        <v>63</v>
      </c>
      <c r="D3028" t="s" s="9">
        <v>21</v>
      </c>
      <c r="E3028" t="s" s="9">
        <v>71</v>
      </c>
      <c r="F3028" s="10">
        <v>162</v>
      </c>
      <c r="G3028" s="10">
        <v>4635519</v>
      </c>
      <c r="H3028" s="11" cm="1">
        <f t="array" ref="H3028">F3028/G3028*100000</f>
        <v>3.49475430906442</v>
      </c>
    </row>
    <row r="3029" ht="13" customHeight="1">
      <c r="A3029" s="8">
        <v>6</v>
      </c>
      <c r="B3029" t="s" s="9">
        <v>30</v>
      </c>
      <c r="C3029" t="s" s="9">
        <v>63</v>
      </c>
      <c r="D3029" t="s" s="9">
        <v>21</v>
      </c>
      <c r="E3029" t="s" s="9">
        <v>71</v>
      </c>
      <c r="F3029" s="10">
        <v>140</v>
      </c>
      <c r="G3029" s="10">
        <v>4635519</v>
      </c>
      <c r="H3029" s="11" cm="1">
        <f t="array" ref="H3029">F3029/G3029*100000</f>
        <v>3.02015804487049</v>
      </c>
    </row>
    <row r="3030" ht="13" customHeight="1">
      <c r="A3030" s="8">
        <v>7</v>
      </c>
      <c r="B3030" t="s" s="9">
        <v>36</v>
      </c>
      <c r="C3030" t="s" s="9">
        <v>63</v>
      </c>
      <c r="D3030" t="s" s="9">
        <v>21</v>
      </c>
      <c r="E3030" t="s" s="9">
        <v>71</v>
      </c>
      <c r="F3030" s="10">
        <v>132</v>
      </c>
      <c r="G3030" s="10">
        <v>4635519</v>
      </c>
      <c r="H3030" s="11" cm="1">
        <f t="array" ref="H3030">F3030/G3030*100000</f>
        <v>2.8475775851636</v>
      </c>
    </row>
    <row r="3031" ht="13" customHeight="1">
      <c r="A3031" s="8">
        <v>8</v>
      </c>
      <c r="B3031" t="s" s="9">
        <v>30</v>
      </c>
      <c r="C3031" t="s" s="9">
        <v>63</v>
      </c>
      <c r="D3031" t="s" s="9">
        <v>21</v>
      </c>
      <c r="E3031" t="s" s="9">
        <v>71</v>
      </c>
      <c r="F3031" s="10">
        <v>113</v>
      </c>
      <c r="G3031" s="10">
        <v>4635519</v>
      </c>
      <c r="H3031" s="11" cm="1">
        <f t="array" ref="H3031">F3031/G3031*100000</f>
        <v>2.43769899335975</v>
      </c>
    </row>
    <row r="3032" ht="13" customHeight="1">
      <c r="A3032" s="8">
        <v>9</v>
      </c>
      <c r="B3032" t="s" s="9">
        <v>30</v>
      </c>
      <c r="C3032" t="s" s="9">
        <v>63</v>
      </c>
      <c r="D3032" t="s" s="9">
        <v>21</v>
      </c>
      <c r="E3032" t="s" s="9">
        <v>71</v>
      </c>
      <c r="F3032" s="10">
        <v>135</v>
      </c>
      <c r="G3032" s="10">
        <v>4635519</v>
      </c>
      <c r="H3032" s="11" cm="1">
        <f t="array" ref="H3032">F3032/G3032*100000</f>
        <v>2.91229525755368</v>
      </c>
    </row>
    <row r="3033" ht="13" customHeight="1">
      <c r="A3033" s="8">
        <v>10</v>
      </c>
      <c r="B3033" t="s" s="9">
        <v>37</v>
      </c>
      <c r="C3033" t="s" s="9">
        <v>63</v>
      </c>
      <c r="D3033" t="s" s="9">
        <v>21</v>
      </c>
      <c r="E3033" t="s" s="9">
        <v>71</v>
      </c>
      <c r="F3033" s="10">
        <v>134</v>
      </c>
      <c r="G3033" s="10">
        <v>4635519</v>
      </c>
      <c r="H3033" s="11" cm="1">
        <f t="array" ref="H3033">F3033/G3033*100000</f>
        <v>2.89072270009032</v>
      </c>
    </row>
    <row r="3034" ht="13.65" customHeight="1">
      <c r="A3034" s="8">
        <v>1</v>
      </c>
      <c r="B3034" t="s" s="9">
        <v>35</v>
      </c>
      <c r="C3034" t="s" s="9">
        <v>63</v>
      </c>
      <c r="D3034" t="s" s="9">
        <v>58</v>
      </c>
      <c r="E3034" t="s" s="9">
        <v>71</v>
      </c>
      <c r="F3034" s="10">
        <v>2183</v>
      </c>
      <c r="G3034" s="12"/>
      <c r="H3034" s="13"/>
    </row>
    <row r="3035" ht="13.65" customHeight="1">
      <c r="A3035" s="8">
        <v>2</v>
      </c>
      <c r="B3035" t="s" s="9">
        <v>30</v>
      </c>
      <c r="C3035" t="s" s="9">
        <v>63</v>
      </c>
      <c r="D3035" t="s" s="9">
        <v>58</v>
      </c>
      <c r="E3035" t="s" s="9">
        <v>71</v>
      </c>
      <c r="F3035" s="10">
        <v>1038</v>
      </c>
      <c r="G3035" s="14"/>
      <c r="H3035" s="15"/>
    </row>
    <row r="3036" ht="13.65" customHeight="1">
      <c r="A3036" s="8">
        <v>3</v>
      </c>
      <c r="B3036" t="s" s="9">
        <v>30</v>
      </c>
      <c r="C3036" t="s" s="9">
        <v>63</v>
      </c>
      <c r="D3036" t="s" s="9">
        <v>58</v>
      </c>
      <c r="E3036" t="s" s="9">
        <v>71</v>
      </c>
      <c r="F3036" s="10">
        <v>645</v>
      </c>
      <c r="G3036" s="14"/>
      <c r="H3036" s="15"/>
    </row>
    <row r="3037" ht="13.65" customHeight="1">
      <c r="A3037" s="8">
        <v>4</v>
      </c>
      <c r="B3037" t="s" s="9">
        <v>34</v>
      </c>
      <c r="C3037" t="s" s="9">
        <v>63</v>
      </c>
      <c r="D3037" t="s" s="9">
        <v>58</v>
      </c>
      <c r="E3037" t="s" s="9">
        <v>71</v>
      </c>
      <c r="F3037" s="10">
        <v>788</v>
      </c>
      <c r="G3037" s="14"/>
      <c r="H3037" s="15"/>
    </row>
    <row r="3038" ht="13.65" customHeight="1">
      <c r="A3038" s="8">
        <v>5</v>
      </c>
      <c r="B3038" t="s" s="9">
        <v>36</v>
      </c>
      <c r="C3038" t="s" s="9">
        <v>63</v>
      </c>
      <c r="D3038" t="s" s="9">
        <v>58</v>
      </c>
      <c r="E3038" t="s" s="9">
        <v>71</v>
      </c>
      <c r="F3038" s="10">
        <v>399</v>
      </c>
      <c r="G3038" s="14"/>
      <c r="H3038" s="15"/>
    </row>
    <row r="3039" ht="13.65" customHeight="1">
      <c r="A3039" s="8">
        <v>6</v>
      </c>
      <c r="B3039" t="s" s="9">
        <v>39</v>
      </c>
      <c r="C3039" t="s" s="9">
        <v>63</v>
      </c>
      <c r="D3039" t="s" s="9">
        <v>58</v>
      </c>
      <c r="E3039" t="s" s="9">
        <v>71</v>
      </c>
      <c r="F3039" s="10">
        <v>435</v>
      </c>
      <c r="G3039" s="14"/>
      <c r="H3039" s="15"/>
    </row>
    <row r="3040" ht="13.65" customHeight="1">
      <c r="A3040" s="8">
        <v>7</v>
      </c>
      <c r="B3040" t="s" s="9">
        <v>35</v>
      </c>
      <c r="C3040" t="s" s="9">
        <v>63</v>
      </c>
      <c r="D3040" t="s" s="9">
        <v>58</v>
      </c>
      <c r="E3040" t="s" s="9">
        <v>71</v>
      </c>
      <c r="F3040" s="10">
        <v>266</v>
      </c>
      <c r="G3040" s="14"/>
      <c r="H3040" s="15"/>
    </row>
    <row r="3041" ht="13.65" customHeight="1">
      <c r="A3041" s="8">
        <v>8</v>
      </c>
      <c r="B3041" t="s" s="9">
        <v>30</v>
      </c>
      <c r="C3041" t="s" s="9">
        <v>63</v>
      </c>
      <c r="D3041" t="s" s="9">
        <v>58</v>
      </c>
      <c r="E3041" t="s" s="9">
        <v>71</v>
      </c>
      <c r="F3041" s="10">
        <v>203</v>
      </c>
      <c r="G3041" s="14"/>
      <c r="H3041" s="15"/>
    </row>
    <row r="3042" ht="13.65" customHeight="1">
      <c r="A3042" s="8">
        <v>9</v>
      </c>
      <c r="B3042" t="s" s="9">
        <v>30</v>
      </c>
      <c r="C3042" t="s" s="9">
        <v>63</v>
      </c>
      <c r="D3042" t="s" s="9">
        <v>58</v>
      </c>
      <c r="E3042" t="s" s="9">
        <v>71</v>
      </c>
      <c r="F3042" s="10">
        <v>328</v>
      </c>
      <c r="G3042" s="14"/>
      <c r="H3042" s="15"/>
    </row>
    <row r="3043" ht="13.65" customHeight="1">
      <c r="A3043" s="8">
        <v>10</v>
      </c>
      <c r="B3043" t="s" s="9">
        <v>37</v>
      </c>
      <c r="C3043" t="s" s="9">
        <v>63</v>
      </c>
      <c r="D3043" t="s" s="9">
        <v>58</v>
      </c>
      <c r="E3043" t="s" s="9">
        <v>71</v>
      </c>
      <c r="F3043" s="10">
        <v>349</v>
      </c>
      <c r="G3043" s="16"/>
      <c r="H3043" s="17"/>
    </row>
    <row r="3044" ht="13" customHeight="1">
      <c r="A3044" s="8">
        <v>1</v>
      </c>
      <c r="B3044" t="s" s="9">
        <v>34</v>
      </c>
      <c r="C3044" t="s" s="9">
        <v>64</v>
      </c>
      <c r="D3044" t="s" s="9">
        <v>32</v>
      </c>
      <c r="E3044" t="s" s="9">
        <v>71</v>
      </c>
      <c r="F3044" s="10">
        <v>16365</v>
      </c>
      <c r="G3044" s="10">
        <v>14521657</v>
      </c>
      <c r="H3044" s="11" cm="1">
        <f t="array" ref="H3044">F3044/G3044*100000</f>
        <v>112.693751133221</v>
      </c>
    </row>
    <row r="3045" ht="13" customHeight="1">
      <c r="A3045" s="8">
        <v>2</v>
      </c>
      <c r="B3045" t="s" s="9">
        <v>35</v>
      </c>
      <c r="C3045" t="s" s="9">
        <v>64</v>
      </c>
      <c r="D3045" t="s" s="9">
        <v>32</v>
      </c>
      <c r="E3045" t="s" s="9">
        <v>71</v>
      </c>
      <c r="F3045" s="10">
        <v>13212</v>
      </c>
      <c r="G3045" s="10">
        <v>14521657</v>
      </c>
      <c r="H3045" s="11" cm="1">
        <f t="array" ref="H3045">F3045/G3045*100000</f>
        <v>90.98135288555569</v>
      </c>
    </row>
    <row r="3046" ht="13" customHeight="1">
      <c r="A3046" s="8">
        <v>3</v>
      </c>
      <c r="B3046" t="s" s="9">
        <v>30</v>
      </c>
      <c r="C3046" t="s" s="9">
        <v>64</v>
      </c>
      <c r="D3046" t="s" s="9">
        <v>32</v>
      </c>
      <c r="E3046" t="s" s="9">
        <v>71</v>
      </c>
      <c r="F3046" s="10">
        <v>11050</v>
      </c>
      <c r="G3046" s="10">
        <v>14521657</v>
      </c>
      <c r="H3046" s="11" cm="1">
        <f t="array" ref="H3046">F3046/G3046*100000</f>
        <v>76.093244730956</v>
      </c>
    </row>
    <row r="3047" ht="13" customHeight="1">
      <c r="A3047" s="8">
        <v>4</v>
      </c>
      <c r="B3047" t="s" s="9">
        <v>37</v>
      </c>
      <c r="C3047" t="s" s="9">
        <v>64</v>
      </c>
      <c r="D3047" t="s" s="9">
        <v>32</v>
      </c>
      <c r="E3047" t="s" s="9">
        <v>71</v>
      </c>
      <c r="F3047" s="10">
        <v>6128</v>
      </c>
      <c r="G3047" s="10">
        <v>14521657</v>
      </c>
      <c r="H3047" s="11" cm="1">
        <f t="array" ref="H3047">F3047/G3047*100000</f>
        <v>42.199041059846</v>
      </c>
    </row>
    <row r="3048" ht="13" customHeight="1">
      <c r="A3048" s="8">
        <v>5</v>
      </c>
      <c r="B3048" t="s" s="9">
        <v>37</v>
      </c>
      <c r="C3048" t="s" s="9">
        <v>64</v>
      </c>
      <c r="D3048" t="s" s="9">
        <v>32</v>
      </c>
      <c r="E3048" t="s" s="9">
        <v>71</v>
      </c>
      <c r="F3048" s="10">
        <v>3097</v>
      </c>
      <c r="G3048" s="10">
        <v>14521657</v>
      </c>
      <c r="H3048" s="11" cm="1">
        <f t="array" ref="H3048">F3048/G3048*100000</f>
        <v>21.3267673241421</v>
      </c>
    </row>
    <row r="3049" ht="13" customHeight="1">
      <c r="A3049" s="8">
        <v>6</v>
      </c>
      <c r="B3049" t="s" s="9">
        <v>39</v>
      </c>
      <c r="C3049" t="s" s="9">
        <v>64</v>
      </c>
      <c r="D3049" t="s" s="9">
        <v>32</v>
      </c>
      <c r="E3049" t="s" s="9">
        <v>71</v>
      </c>
      <c r="F3049" s="10">
        <v>3446</v>
      </c>
      <c r="G3049" s="10">
        <v>14521657</v>
      </c>
      <c r="H3049" s="11" cm="1">
        <f t="array" ref="H3049">F3049/G3049*100000</f>
        <v>23.7300743296719</v>
      </c>
    </row>
    <row r="3050" ht="13" customHeight="1">
      <c r="A3050" s="8">
        <v>7</v>
      </c>
      <c r="B3050" t="s" s="9">
        <v>30</v>
      </c>
      <c r="C3050" t="s" s="9">
        <v>64</v>
      </c>
      <c r="D3050" t="s" s="9">
        <v>32</v>
      </c>
      <c r="E3050" t="s" s="9">
        <v>71</v>
      </c>
      <c r="F3050" s="10">
        <v>1359</v>
      </c>
      <c r="G3050" s="10">
        <v>14521657</v>
      </c>
      <c r="H3050" s="11" cm="1">
        <f t="array" ref="H3050">F3050/G3050*100000</f>
        <v>9.358436161933859</v>
      </c>
    </row>
    <row r="3051" ht="13" customHeight="1">
      <c r="A3051" s="8">
        <v>8</v>
      </c>
      <c r="B3051" t="s" s="9">
        <v>36</v>
      </c>
      <c r="C3051" t="s" s="9">
        <v>64</v>
      </c>
      <c r="D3051" t="s" s="9">
        <v>32</v>
      </c>
      <c r="E3051" t="s" s="9">
        <v>71</v>
      </c>
      <c r="F3051" s="10">
        <v>1803</v>
      </c>
      <c r="G3051" s="10">
        <v>14521657</v>
      </c>
      <c r="H3051" s="11" cm="1">
        <f t="array" ref="H3051">F3051/G3051*100000</f>
        <v>12.4159384841551</v>
      </c>
    </row>
    <row r="3052" ht="13" customHeight="1">
      <c r="A3052" s="8">
        <v>9</v>
      </c>
      <c r="B3052" t="s" s="9">
        <v>37</v>
      </c>
      <c r="C3052" t="s" s="9">
        <v>64</v>
      </c>
      <c r="D3052" t="s" s="9">
        <v>32</v>
      </c>
      <c r="E3052" t="s" s="9">
        <v>71</v>
      </c>
      <c r="F3052" s="10">
        <v>1823</v>
      </c>
      <c r="G3052" s="10">
        <v>14521657</v>
      </c>
      <c r="H3052" s="11" cm="1">
        <f t="array" ref="H3052">F3052/G3052*100000</f>
        <v>12.5536638139849</v>
      </c>
    </row>
    <row r="3053" ht="13" customHeight="1">
      <c r="A3053" s="8">
        <v>10</v>
      </c>
      <c r="B3053" t="s" s="9">
        <v>36</v>
      </c>
      <c r="C3053" t="s" s="9">
        <v>64</v>
      </c>
      <c r="D3053" t="s" s="9">
        <v>32</v>
      </c>
      <c r="E3053" t="s" s="9">
        <v>71</v>
      </c>
      <c r="F3053" s="10">
        <v>1438</v>
      </c>
      <c r="G3053" s="10">
        <v>14521657</v>
      </c>
      <c r="H3053" s="11" cm="1">
        <f t="array" ref="H3053">F3053/G3053*100000</f>
        <v>9.902451214761509</v>
      </c>
    </row>
    <row r="3054" ht="13" customHeight="1">
      <c r="A3054" s="8">
        <v>1</v>
      </c>
      <c r="B3054" t="s" s="9">
        <v>30</v>
      </c>
      <c r="C3054" t="s" s="9">
        <v>64</v>
      </c>
      <c r="D3054" t="s" s="9">
        <v>38</v>
      </c>
      <c r="E3054" t="s" s="9">
        <v>71</v>
      </c>
      <c r="F3054" s="10">
        <v>9150</v>
      </c>
      <c r="G3054" s="10">
        <v>1874281</v>
      </c>
      <c r="H3054" s="11" cm="1">
        <f t="array" ref="H3054">F3054/G3054*100000</f>
        <v>488.187203519643</v>
      </c>
    </row>
    <row r="3055" ht="13" customHeight="1">
      <c r="A3055" s="8">
        <v>2</v>
      </c>
      <c r="B3055" t="s" s="9">
        <v>34</v>
      </c>
      <c r="C3055" t="s" s="9">
        <v>64</v>
      </c>
      <c r="D3055" t="s" s="9">
        <v>38</v>
      </c>
      <c r="E3055" t="s" s="9">
        <v>71</v>
      </c>
      <c r="F3055" s="10">
        <v>3976</v>
      </c>
      <c r="G3055" s="10">
        <v>1874281</v>
      </c>
      <c r="H3055" s="11" cm="1">
        <f t="array" ref="H3055">F3055/G3055*100000</f>
        <v>212.134679911924</v>
      </c>
    </row>
    <row r="3056" ht="13" customHeight="1">
      <c r="A3056" s="8">
        <v>3</v>
      </c>
      <c r="B3056" t="s" s="9">
        <v>35</v>
      </c>
      <c r="C3056" t="s" s="9">
        <v>64</v>
      </c>
      <c r="D3056" t="s" s="9">
        <v>38</v>
      </c>
      <c r="E3056" t="s" s="9">
        <v>71</v>
      </c>
      <c r="F3056" s="10">
        <v>1129</v>
      </c>
      <c r="G3056" s="10">
        <v>1874281</v>
      </c>
      <c r="H3056" s="11" cm="1">
        <f t="array" ref="H3056">F3056/G3056*100000</f>
        <v>60.2364319971232</v>
      </c>
    </row>
    <row r="3057" ht="13" customHeight="1">
      <c r="A3057" s="8">
        <v>4</v>
      </c>
      <c r="B3057" t="s" s="9">
        <v>37</v>
      </c>
      <c r="C3057" t="s" s="9">
        <v>64</v>
      </c>
      <c r="D3057" t="s" s="9">
        <v>38</v>
      </c>
      <c r="E3057" t="s" s="9">
        <v>71</v>
      </c>
      <c r="F3057" s="10">
        <v>1205</v>
      </c>
      <c r="G3057" s="10">
        <v>1874281</v>
      </c>
      <c r="H3057" s="11" cm="1">
        <f t="array" ref="H3057">F3057/G3057*100000</f>
        <v>64.2913202449366</v>
      </c>
    </row>
    <row r="3058" ht="13" customHeight="1">
      <c r="A3058" s="8">
        <v>5</v>
      </c>
      <c r="B3058" t="s" s="9">
        <v>35</v>
      </c>
      <c r="C3058" t="s" s="9">
        <v>64</v>
      </c>
      <c r="D3058" t="s" s="9">
        <v>38</v>
      </c>
      <c r="E3058" t="s" s="9">
        <v>71</v>
      </c>
      <c r="F3058" s="10">
        <v>682</v>
      </c>
      <c r="G3058" s="10">
        <v>1874281</v>
      </c>
      <c r="H3058" s="11" cm="1">
        <f t="array" ref="H3058">F3058/G3058*100000</f>
        <v>36.3872866448521</v>
      </c>
    </row>
    <row r="3059" ht="13" customHeight="1">
      <c r="A3059" s="8">
        <v>6</v>
      </c>
      <c r="B3059" t="s" s="9">
        <v>39</v>
      </c>
      <c r="C3059" t="s" s="9">
        <v>64</v>
      </c>
      <c r="D3059" t="s" s="9">
        <v>38</v>
      </c>
      <c r="E3059" t="s" s="9">
        <v>71</v>
      </c>
      <c r="F3059" s="10">
        <v>1008</v>
      </c>
      <c r="G3059" s="10">
        <v>1874281</v>
      </c>
      <c r="H3059" s="11" cm="1">
        <f t="array" ref="H3059">F3059/G3059*100000</f>
        <v>53.7806230762623</v>
      </c>
    </row>
    <row r="3060" ht="13" customHeight="1">
      <c r="A3060" s="8">
        <v>7</v>
      </c>
      <c r="B3060" t="s" s="9">
        <v>30</v>
      </c>
      <c r="C3060" t="s" s="9">
        <v>64</v>
      </c>
      <c r="D3060" t="s" s="9">
        <v>38</v>
      </c>
      <c r="E3060" t="s" s="9">
        <v>71</v>
      </c>
      <c r="F3060" s="10">
        <v>765</v>
      </c>
      <c r="G3060" s="10">
        <v>1874281</v>
      </c>
      <c r="H3060" s="11" cm="1">
        <f t="array" ref="H3060">F3060/G3060*100000</f>
        <v>40.8156514418062</v>
      </c>
    </row>
    <row r="3061" ht="13" customHeight="1">
      <c r="A3061" s="8">
        <v>8</v>
      </c>
      <c r="B3061" t="s" s="9">
        <v>45</v>
      </c>
      <c r="C3061" t="s" s="9">
        <v>64</v>
      </c>
      <c r="D3061" t="s" s="9">
        <v>38</v>
      </c>
      <c r="E3061" t="s" s="9">
        <v>71</v>
      </c>
      <c r="F3061" s="10">
        <v>700</v>
      </c>
      <c r="G3061" s="10">
        <v>1874281</v>
      </c>
      <c r="H3061" s="11" cm="1">
        <f t="array" ref="H3061">F3061/G3061*100000</f>
        <v>37.347654914071</v>
      </c>
    </row>
    <row r="3062" ht="13" customHeight="1">
      <c r="A3062" s="8">
        <v>9</v>
      </c>
      <c r="B3062" t="s" s="9">
        <v>39</v>
      </c>
      <c r="C3062" t="s" s="9">
        <v>64</v>
      </c>
      <c r="D3062" t="s" s="9">
        <v>38</v>
      </c>
      <c r="E3062" t="s" s="9">
        <v>71</v>
      </c>
      <c r="F3062" s="10">
        <v>963</v>
      </c>
      <c r="G3062" s="10">
        <v>1874281</v>
      </c>
      <c r="H3062" s="11" cm="1">
        <f t="array" ref="H3062">F3062/G3062*100000</f>
        <v>51.3797024032149</v>
      </c>
    </row>
    <row r="3063" ht="13" customHeight="1">
      <c r="A3063" s="8">
        <v>10</v>
      </c>
      <c r="B3063" t="s" s="9">
        <v>30</v>
      </c>
      <c r="C3063" t="s" s="9">
        <v>64</v>
      </c>
      <c r="D3063" t="s" s="9">
        <v>38</v>
      </c>
      <c r="E3063" t="s" s="9">
        <v>71</v>
      </c>
      <c r="F3063" s="10">
        <v>644</v>
      </c>
      <c r="G3063" s="10">
        <v>1874281</v>
      </c>
      <c r="H3063" s="11" cm="1">
        <f t="array" ref="H3063">F3063/G3063*100000</f>
        <v>34.3598425209454</v>
      </c>
    </row>
    <row r="3064" ht="13" customHeight="1">
      <c r="A3064" s="8">
        <v>1</v>
      </c>
      <c r="B3064" t="s" s="9">
        <v>34</v>
      </c>
      <c r="C3064" t="s" s="9">
        <v>64</v>
      </c>
      <c r="D3064" t="s" s="9">
        <v>42</v>
      </c>
      <c r="E3064" t="s" s="9">
        <v>71</v>
      </c>
      <c r="F3064" s="10">
        <v>4452</v>
      </c>
      <c r="G3064" s="10">
        <v>5458063</v>
      </c>
      <c r="H3064" s="11" cm="1">
        <f t="array" ref="H3064">F3064/G3064*100000</f>
        <v>81.5673985441355</v>
      </c>
    </row>
    <row r="3065" ht="13" customHeight="1">
      <c r="A3065" s="8">
        <v>2</v>
      </c>
      <c r="B3065" t="s" s="9">
        <v>30</v>
      </c>
      <c r="C3065" t="s" s="9">
        <v>64</v>
      </c>
      <c r="D3065" t="s" s="9">
        <v>42</v>
      </c>
      <c r="E3065" t="s" s="9">
        <v>71</v>
      </c>
      <c r="F3065" s="10">
        <v>3749</v>
      </c>
      <c r="G3065" s="10">
        <v>5458063</v>
      </c>
      <c r="H3065" s="11" cm="1">
        <f t="array" ref="H3065">F3065/G3065*100000</f>
        <v>68.6873713256883</v>
      </c>
    </row>
    <row r="3066" ht="13" customHeight="1">
      <c r="A3066" s="8">
        <v>3</v>
      </c>
      <c r="B3066" t="s" s="9">
        <v>35</v>
      </c>
      <c r="C3066" t="s" s="9">
        <v>64</v>
      </c>
      <c r="D3066" t="s" s="9">
        <v>42</v>
      </c>
      <c r="E3066" t="s" s="9">
        <v>71</v>
      </c>
      <c r="F3066" s="10">
        <v>3400</v>
      </c>
      <c r="G3066" s="10">
        <v>5458063</v>
      </c>
      <c r="H3066" s="11" cm="1">
        <f t="array" ref="H3066">F3066/G3066*100000</f>
        <v>62.2931615116938</v>
      </c>
    </row>
    <row r="3067" ht="13" customHeight="1">
      <c r="A3067" s="8">
        <v>4</v>
      </c>
      <c r="B3067" t="s" s="9">
        <v>37</v>
      </c>
      <c r="C3067" t="s" s="9">
        <v>64</v>
      </c>
      <c r="D3067" t="s" s="9">
        <v>42</v>
      </c>
      <c r="E3067" t="s" s="9">
        <v>71</v>
      </c>
      <c r="F3067" s="10">
        <v>1748</v>
      </c>
      <c r="G3067" s="10">
        <v>5458063</v>
      </c>
      <c r="H3067" s="11" cm="1">
        <f t="array" ref="H3067">F3067/G3067*100000</f>
        <v>32.0260136242473</v>
      </c>
    </row>
    <row r="3068" ht="13" customHeight="1">
      <c r="A3068" s="8">
        <v>5</v>
      </c>
      <c r="B3068" t="s" s="9">
        <v>37</v>
      </c>
      <c r="C3068" t="s" s="9">
        <v>64</v>
      </c>
      <c r="D3068" t="s" s="9">
        <v>42</v>
      </c>
      <c r="E3068" t="s" s="9">
        <v>71</v>
      </c>
      <c r="F3068" s="10">
        <v>1344</v>
      </c>
      <c r="G3068" s="10">
        <v>5458063</v>
      </c>
      <c r="H3068" s="11" cm="1">
        <f t="array" ref="H3068">F3068/G3068*100000</f>
        <v>24.6241203152107</v>
      </c>
    </row>
    <row r="3069" ht="13" customHeight="1">
      <c r="A3069" s="8">
        <v>6</v>
      </c>
      <c r="B3069" t="s" s="9">
        <v>35</v>
      </c>
      <c r="C3069" t="s" s="9">
        <v>64</v>
      </c>
      <c r="D3069" t="s" s="9">
        <v>42</v>
      </c>
      <c r="E3069" t="s" s="9">
        <v>71</v>
      </c>
      <c r="F3069" s="10">
        <v>854</v>
      </c>
      <c r="G3069" s="10">
        <v>5458063</v>
      </c>
      <c r="H3069" s="11" cm="1">
        <f t="array" ref="H3069">F3069/G3069*100000</f>
        <v>15.6465764502901</v>
      </c>
    </row>
    <row r="3070" ht="13" customHeight="1">
      <c r="A3070" s="8">
        <v>7</v>
      </c>
      <c r="B3070" t="s" s="9">
        <v>39</v>
      </c>
      <c r="C3070" t="s" s="9">
        <v>64</v>
      </c>
      <c r="D3070" t="s" s="9">
        <v>42</v>
      </c>
      <c r="E3070" t="s" s="9">
        <v>71</v>
      </c>
      <c r="F3070" s="10">
        <v>1338</v>
      </c>
      <c r="G3070" s="10">
        <v>5458063</v>
      </c>
      <c r="H3070" s="11" cm="1">
        <f t="array" ref="H3070">F3070/G3070*100000</f>
        <v>24.5141912066607</v>
      </c>
    </row>
    <row r="3071" ht="13" customHeight="1">
      <c r="A3071" s="8">
        <v>8</v>
      </c>
      <c r="B3071" t="s" s="9">
        <v>37</v>
      </c>
      <c r="C3071" t="s" s="9">
        <v>64</v>
      </c>
      <c r="D3071" t="s" s="9">
        <v>42</v>
      </c>
      <c r="E3071" t="s" s="9">
        <v>71</v>
      </c>
      <c r="F3071" s="10">
        <v>862</v>
      </c>
      <c r="G3071" s="10">
        <v>5458063</v>
      </c>
      <c r="H3071" s="11" cm="1">
        <f t="array" ref="H3071">F3071/G3071*100000</f>
        <v>15.7931485950235</v>
      </c>
    </row>
    <row r="3072" ht="13" customHeight="1">
      <c r="A3072" s="8">
        <v>9</v>
      </c>
      <c r="B3072" t="s" s="9">
        <v>41</v>
      </c>
      <c r="C3072" t="s" s="9">
        <v>64</v>
      </c>
      <c r="D3072" t="s" s="9">
        <v>42</v>
      </c>
      <c r="E3072" t="s" s="9">
        <v>71</v>
      </c>
      <c r="F3072" s="10">
        <v>675</v>
      </c>
      <c r="G3072" s="10">
        <v>5458063</v>
      </c>
      <c r="H3072" s="11" cm="1">
        <f t="array" ref="H3072">F3072/G3072*100000</f>
        <v>12.3670247118804</v>
      </c>
    </row>
    <row r="3073" ht="13" customHeight="1">
      <c r="A3073" s="8">
        <v>10</v>
      </c>
      <c r="B3073" t="s" s="9">
        <v>36</v>
      </c>
      <c r="C3073" t="s" s="9">
        <v>64</v>
      </c>
      <c r="D3073" t="s" s="9">
        <v>42</v>
      </c>
      <c r="E3073" t="s" s="9">
        <v>71</v>
      </c>
      <c r="F3073" s="10">
        <v>539</v>
      </c>
      <c r="G3073" s="10">
        <v>5458063</v>
      </c>
      <c r="H3073" s="11" cm="1">
        <f t="array" ref="H3073">F3073/G3073*100000</f>
        <v>9.87529825141263</v>
      </c>
    </row>
    <row r="3074" ht="13" customHeight="1">
      <c r="A3074" s="8">
        <v>1</v>
      </c>
      <c r="B3074" t="s" s="9">
        <v>30</v>
      </c>
      <c r="C3074" t="s" s="9">
        <v>64</v>
      </c>
      <c r="D3074" t="s" s="9">
        <v>43</v>
      </c>
      <c r="E3074" t="s" s="9">
        <v>71</v>
      </c>
      <c r="F3074" s="10">
        <v>5162</v>
      </c>
      <c r="G3074" s="10">
        <v>3817144</v>
      </c>
      <c r="H3074" s="11" cm="1">
        <f t="array" ref="H3074">F3074/G3074*100000</f>
        <v>135.231995439522</v>
      </c>
    </row>
    <row r="3075" ht="13" customHeight="1">
      <c r="A3075" s="8">
        <v>2</v>
      </c>
      <c r="B3075" t="s" s="9">
        <v>34</v>
      </c>
      <c r="C3075" t="s" s="9">
        <v>64</v>
      </c>
      <c r="D3075" t="s" s="9">
        <v>43</v>
      </c>
      <c r="E3075" t="s" s="9">
        <v>71</v>
      </c>
      <c r="F3075" s="10">
        <v>2121</v>
      </c>
      <c r="G3075" s="10">
        <v>3817144</v>
      </c>
      <c r="H3075" s="11" cm="1">
        <f t="array" ref="H3075">F3075/G3075*100000</f>
        <v>55.5651031242206</v>
      </c>
    </row>
    <row r="3076" ht="13" customHeight="1">
      <c r="A3076" s="8">
        <v>3</v>
      </c>
      <c r="B3076" t="s" s="9">
        <v>35</v>
      </c>
      <c r="C3076" t="s" s="9">
        <v>64</v>
      </c>
      <c r="D3076" t="s" s="9">
        <v>43</v>
      </c>
      <c r="E3076" t="s" s="9">
        <v>71</v>
      </c>
      <c r="F3076" s="10">
        <v>1244</v>
      </c>
      <c r="G3076" s="10">
        <v>3817144</v>
      </c>
      <c r="H3076" s="11" cm="1">
        <f t="array" ref="H3076">F3076/G3076*100000</f>
        <v>32.5898106018531</v>
      </c>
    </row>
    <row r="3077" ht="13" customHeight="1">
      <c r="A3077" s="8">
        <v>4</v>
      </c>
      <c r="B3077" t="s" s="9">
        <v>35</v>
      </c>
      <c r="C3077" t="s" s="9">
        <v>64</v>
      </c>
      <c r="D3077" t="s" s="9">
        <v>43</v>
      </c>
      <c r="E3077" t="s" s="9">
        <v>71</v>
      </c>
      <c r="F3077" s="10">
        <v>751</v>
      </c>
      <c r="G3077" s="10">
        <v>3817144</v>
      </c>
      <c r="H3077" s="11" cm="1">
        <f t="array" ref="H3077">F3077/G3077*100000</f>
        <v>19.6743953070673</v>
      </c>
    </row>
    <row r="3078" ht="13" customHeight="1">
      <c r="A3078" s="8">
        <v>5</v>
      </c>
      <c r="B3078" t="s" s="9">
        <v>36</v>
      </c>
      <c r="C3078" t="s" s="9">
        <v>64</v>
      </c>
      <c r="D3078" t="s" s="9">
        <v>43</v>
      </c>
      <c r="E3078" t="s" s="9">
        <v>71</v>
      </c>
      <c r="F3078" s="10">
        <v>967</v>
      </c>
      <c r="G3078" s="10">
        <v>3817144</v>
      </c>
      <c r="H3078" s="11" cm="1">
        <f t="array" ref="H3078">F3078/G3078*100000</f>
        <v>25.333076247582</v>
      </c>
    </row>
    <row r="3079" ht="13" customHeight="1">
      <c r="A3079" s="8">
        <v>6</v>
      </c>
      <c r="B3079" t="s" s="9">
        <v>39</v>
      </c>
      <c r="C3079" t="s" s="9">
        <v>64</v>
      </c>
      <c r="D3079" t="s" s="9">
        <v>43</v>
      </c>
      <c r="E3079" t="s" s="9">
        <v>71</v>
      </c>
      <c r="F3079" s="10">
        <v>1127</v>
      </c>
      <c r="G3079" s="10">
        <v>3817144</v>
      </c>
      <c r="H3079" s="11" cm="1">
        <f t="array" ref="H3079">F3079/G3079*100000</f>
        <v>29.5246917590743</v>
      </c>
    </row>
    <row r="3080" ht="13" customHeight="1">
      <c r="A3080" s="8">
        <v>7</v>
      </c>
      <c r="B3080" t="s" s="9">
        <v>45</v>
      </c>
      <c r="C3080" t="s" s="9">
        <v>64</v>
      </c>
      <c r="D3080" t="s" s="9">
        <v>43</v>
      </c>
      <c r="E3080" t="s" s="9">
        <v>71</v>
      </c>
      <c r="F3080" s="10">
        <v>687</v>
      </c>
      <c r="G3080" s="10">
        <v>3817144</v>
      </c>
      <c r="H3080" s="11" cm="1">
        <f t="array" ref="H3080">F3080/G3080*100000</f>
        <v>17.9977491024703</v>
      </c>
    </row>
    <row r="3081" ht="13" customHeight="1">
      <c r="A3081" s="8">
        <v>8</v>
      </c>
      <c r="B3081" t="s" s="9">
        <v>37</v>
      </c>
      <c r="C3081" t="s" s="9">
        <v>64</v>
      </c>
      <c r="D3081" t="s" s="9">
        <v>43</v>
      </c>
      <c r="E3081" t="s" s="9">
        <v>71</v>
      </c>
      <c r="F3081" s="10">
        <v>675</v>
      </c>
      <c r="G3081" s="10">
        <v>3817144</v>
      </c>
      <c r="H3081" s="11" cm="1">
        <f t="array" ref="H3081">F3081/G3081*100000</f>
        <v>17.6833779391084</v>
      </c>
    </row>
    <row r="3082" ht="13" customHeight="1">
      <c r="A3082" s="8">
        <v>9</v>
      </c>
      <c r="B3082" t="s" s="9">
        <v>36</v>
      </c>
      <c r="C3082" t="s" s="9">
        <v>64</v>
      </c>
      <c r="D3082" t="s" s="9">
        <v>43</v>
      </c>
      <c r="E3082" t="s" s="9">
        <v>71</v>
      </c>
      <c r="F3082" s="10">
        <v>527</v>
      </c>
      <c r="G3082" s="10">
        <v>3817144</v>
      </c>
      <c r="H3082" s="11" cm="1">
        <f t="array" ref="H3082">F3082/G3082*100000</f>
        <v>13.806133590978</v>
      </c>
    </row>
    <row r="3083" ht="13" customHeight="1">
      <c r="A3083" s="8">
        <v>10</v>
      </c>
      <c r="B3083" t="s" s="9">
        <v>30</v>
      </c>
      <c r="C3083" t="s" s="9">
        <v>64</v>
      </c>
      <c r="D3083" t="s" s="9">
        <v>43</v>
      </c>
      <c r="E3083" t="s" s="9">
        <v>71</v>
      </c>
      <c r="F3083" s="10">
        <v>537</v>
      </c>
      <c r="G3083" s="10">
        <v>3817144</v>
      </c>
      <c r="H3083" s="11" cm="1">
        <f t="array" ref="H3083">F3083/G3083*100000</f>
        <v>14.0681095604462</v>
      </c>
    </row>
    <row r="3084" ht="13" customHeight="1">
      <c r="A3084" s="8">
        <v>1</v>
      </c>
      <c r="B3084" t="s" s="9">
        <v>30</v>
      </c>
      <c r="C3084" t="s" s="9">
        <v>64</v>
      </c>
      <c r="D3084" t="s" s="9">
        <v>44</v>
      </c>
      <c r="E3084" t="s" s="9">
        <v>71</v>
      </c>
      <c r="F3084" s="10">
        <v>12015</v>
      </c>
      <c r="G3084" s="10">
        <v>13239670</v>
      </c>
      <c r="H3084" s="11" cm="1">
        <f t="array" ref="H3084">F3084/G3084*100000</f>
        <v>90.7499960346444</v>
      </c>
    </row>
    <row r="3085" ht="13" customHeight="1">
      <c r="A3085" s="8">
        <v>2</v>
      </c>
      <c r="B3085" t="s" s="9">
        <v>34</v>
      </c>
      <c r="C3085" t="s" s="9">
        <v>64</v>
      </c>
      <c r="D3085" t="s" s="9">
        <v>44</v>
      </c>
      <c r="E3085" t="s" s="9">
        <v>71</v>
      </c>
      <c r="F3085" s="10">
        <v>12247</v>
      </c>
      <c r="G3085" s="10">
        <v>13239670</v>
      </c>
      <c r="H3085" s="11" cm="1">
        <f t="array" ref="H3085">F3085/G3085*100000</f>
        <v>92.5023055710603</v>
      </c>
    </row>
    <row r="3086" ht="13" customHeight="1">
      <c r="A3086" s="8">
        <v>3</v>
      </c>
      <c r="B3086" t="s" s="9">
        <v>35</v>
      </c>
      <c r="C3086" t="s" s="9">
        <v>64</v>
      </c>
      <c r="D3086" t="s" s="9">
        <v>44</v>
      </c>
      <c r="E3086" t="s" s="9">
        <v>71</v>
      </c>
      <c r="F3086" s="10">
        <v>8233</v>
      </c>
      <c r="G3086" s="10">
        <v>13239670</v>
      </c>
      <c r="H3086" s="11" cm="1">
        <f t="array" ref="H3086">F3086/G3086*100000</f>
        <v>62.1843293677259</v>
      </c>
    </row>
    <row r="3087" ht="13" customHeight="1">
      <c r="A3087" s="8">
        <v>4</v>
      </c>
      <c r="B3087" t="s" s="9">
        <v>37</v>
      </c>
      <c r="C3087" t="s" s="9">
        <v>64</v>
      </c>
      <c r="D3087" t="s" s="9">
        <v>44</v>
      </c>
      <c r="E3087" t="s" s="9">
        <v>71</v>
      </c>
      <c r="F3087" s="10">
        <v>3848</v>
      </c>
      <c r="G3087" s="10">
        <v>13239670</v>
      </c>
      <c r="H3087" s="11" cm="1">
        <f t="array" ref="H3087">F3087/G3087*100000</f>
        <v>29.0641685177954</v>
      </c>
    </row>
    <row r="3088" ht="13" customHeight="1">
      <c r="A3088" s="8">
        <v>5</v>
      </c>
      <c r="B3088" t="s" s="9">
        <v>39</v>
      </c>
      <c r="C3088" t="s" s="9">
        <v>64</v>
      </c>
      <c r="D3088" t="s" s="9">
        <v>44</v>
      </c>
      <c r="E3088" t="s" s="9">
        <v>71</v>
      </c>
      <c r="F3088" s="10">
        <v>3056</v>
      </c>
      <c r="G3088" s="10">
        <v>13239670</v>
      </c>
      <c r="H3088" s="11" cm="1">
        <f t="array" ref="H3088">F3088/G3088*100000</f>
        <v>23.082146307272</v>
      </c>
    </row>
    <row r="3089" ht="13" customHeight="1">
      <c r="A3089" s="8">
        <v>6</v>
      </c>
      <c r="B3089" t="s" s="9">
        <v>30</v>
      </c>
      <c r="C3089" t="s" s="9">
        <v>64</v>
      </c>
      <c r="D3089" t="s" s="9">
        <v>44</v>
      </c>
      <c r="E3089" t="s" s="9">
        <v>71</v>
      </c>
      <c r="F3089" s="10">
        <v>1582</v>
      </c>
      <c r="G3089" s="10">
        <v>13239670</v>
      </c>
      <c r="H3089" s="11" cm="1">
        <f t="array" ref="H3089">F3089/G3089*100000</f>
        <v>11.9489383043535</v>
      </c>
    </row>
    <row r="3090" ht="13" customHeight="1">
      <c r="A3090" s="8">
        <v>7</v>
      </c>
      <c r="B3090" t="s" s="9">
        <v>37</v>
      </c>
      <c r="C3090" t="s" s="9">
        <v>64</v>
      </c>
      <c r="D3090" t="s" s="9">
        <v>44</v>
      </c>
      <c r="E3090" t="s" s="9">
        <v>71</v>
      </c>
      <c r="F3090" s="10">
        <v>1792</v>
      </c>
      <c r="G3090" s="10">
        <v>13239670</v>
      </c>
      <c r="H3090" s="11" cm="1">
        <f t="array" ref="H3090">F3090/G3090*100000</f>
        <v>13.5350805571438</v>
      </c>
    </row>
    <row r="3091" ht="13" customHeight="1">
      <c r="A3091" s="8">
        <v>8</v>
      </c>
      <c r="B3091" t="s" s="9">
        <v>36</v>
      </c>
      <c r="C3091" t="s" s="9">
        <v>64</v>
      </c>
      <c r="D3091" t="s" s="9">
        <v>44</v>
      </c>
      <c r="E3091" t="s" s="9">
        <v>71</v>
      </c>
      <c r="F3091" s="10">
        <v>1192</v>
      </c>
      <c r="G3091" s="10">
        <v>13239670</v>
      </c>
      <c r="H3091" s="11" cm="1">
        <f t="array" ref="H3091">F3091/G3091*100000</f>
        <v>9.00324554917154</v>
      </c>
    </row>
    <row r="3092" ht="13" customHeight="1">
      <c r="A3092" s="8">
        <v>9</v>
      </c>
      <c r="B3092" t="s" s="9">
        <v>45</v>
      </c>
      <c r="C3092" t="s" s="9">
        <v>64</v>
      </c>
      <c r="D3092" t="s" s="9">
        <v>44</v>
      </c>
      <c r="E3092" t="s" s="9">
        <v>71</v>
      </c>
      <c r="F3092" s="10">
        <v>1103</v>
      </c>
      <c r="G3092" s="10">
        <v>13239670</v>
      </c>
      <c r="H3092" s="11" cm="1">
        <f t="array" ref="H3092">F3092/G3092*100000</f>
        <v>8.33102335632233</v>
      </c>
    </row>
    <row r="3093" ht="13" customHeight="1">
      <c r="A3093" s="8">
        <v>10</v>
      </c>
      <c r="B3093" t="s" s="9">
        <v>30</v>
      </c>
      <c r="C3093" t="s" s="9">
        <v>64</v>
      </c>
      <c r="D3093" t="s" s="9">
        <v>44</v>
      </c>
      <c r="E3093" t="s" s="9">
        <v>71</v>
      </c>
      <c r="F3093" s="10">
        <v>811</v>
      </c>
      <c r="G3093" s="10">
        <v>13239670</v>
      </c>
      <c r="H3093" s="11" cm="1">
        <f t="array" ref="H3093">F3093/G3093*100000</f>
        <v>6.12553031910916</v>
      </c>
    </row>
    <row r="3094" ht="13" customHeight="1">
      <c r="A3094" s="8">
        <v>1</v>
      </c>
      <c r="B3094" t="s" s="9">
        <v>30</v>
      </c>
      <c r="C3094" t="s" s="9">
        <v>64</v>
      </c>
      <c r="D3094" t="s" s="9">
        <v>46</v>
      </c>
      <c r="E3094" t="s" s="9">
        <v>71</v>
      </c>
      <c r="F3094" s="10">
        <v>11769</v>
      </c>
      <c r="G3094" s="10">
        <v>17477569</v>
      </c>
      <c r="H3094" s="11" cm="1">
        <f t="array" ref="H3094">F3094/G3094*100000</f>
        <v>67.3377401628339</v>
      </c>
    </row>
    <row r="3095" ht="13" customHeight="1">
      <c r="A3095" s="8">
        <v>2</v>
      </c>
      <c r="B3095" t="s" s="9">
        <v>35</v>
      </c>
      <c r="C3095" t="s" s="9">
        <v>64</v>
      </c>
      <c r="D3095" t="s" s="9">
        <v>46</v>
      </c>
      <c r="E3095" t="s" s="9">
        <v>71</v>
      </c>
      <c r="F3095" s="10">
        <v>9577</v>
      </c>
      <c r="G3095" s="10">
        <v>17477569</v>
      </c>
      <c r="H3095" s="11" cm="1">
        <f t="array" ref="H3095">F3095/G3095*100000</f>
        <v>54.7959501690424</v>
      </c>
    </row>
    <row r="3096" ht="13" customHeight="1">
      <c r="A3096" s="8">
        <v>3</v>
      </c>
      <c r="B3096" t="s" s="9">
        <v>34</v>
      </c>
      <c r="C3096" t="s" s="9">
        <v>64</v>
      </c>
      <c r="D3096" t="s" s="9">
        <v>46</v>
      </c>
      <c r="E3096" t="s" s="9">
        <v>71</v>
      </c>
      <c r="F3096" s="10">
        <v>6573</v>
      </c>
      <c r="G3096" s="10">
        <v>17477569</v>
      </c>
      <c r="H3096" s="11" cm="1">
        <f t="array" ref="H3096">F3096/G3096*100000</f>
        <v>37.6082051228063</v>
      </c>
    </row>
    <row r="3097" ht="13" customHeight="1">
      <c r="A3097" s="8">
        <v>4</v>
      </c>
      <c r="B3097" t="s" s="9">
        <v>30</v>
      </c>
      <c r="C3097" t="s" s="9">
        <v>64</v>
      </c>
      <c r="D3097" t="s" s="9">
        <v>46</v>
      </c>
      <c r="E3097" t="s" s="9">
        <v>71</v>
      </c>
      <c r="F3097" s="10">
        <v>4820</v>
      </c>
      <c r="G3097" s="10">
        <v>17477569</v>
      </c>
      <c r="H3097" s="11" cm="1">
        <f t="array" ref="H3097">F3097/G3097*100000</f>
        <v>27.5782060994867</v>
      </c>
    </row>
    <row r="3098" ht="13" customHeight="1">
      <c r="A3098" s="8">
        <v>5</v>
      </c>
      <c r="B3098" t="s" s="9">
        <v>30</v>
      </c>
      <c r="C3098" t="s" s="9">
        <v>64</v>
      </c>
      <c r="D3098" t="s" s="9">
        <v>46</v>
      </c>
      <c r="E3098" t="s" s="9">
        <v>71</v>
      </c>
      <c r="F3098" s="10">
        <v>3741</v>
      </c>
      <c r="G3098" s="10">
        <v>17477569</v>
      </c>
      <c r="H3098" s="11" cm="1">
        <f t="array" ref="H3098">F3098/G3098*100000</f>
        <v>21.4045786344771</v>
      </c>
    </row>
    <row r="3099" ht="13" customHeight="1">
      <c r="A3099" s="8">
        <v>6</v>
      </c>
      <c r="B3099" t="s" s="9">
        <v>39</v>
      </c>
      <c r="C3099" t="s" s="9">
        <v>64</v>
      </c>
      <c r="D3099" t="s" s="9">
        <v>46</v>
      </c>
      <c r="E3099" t="s" s="9">
        <v>71</v>
      </c>
      <c r="F3099" s="10">
        <v>4691</v>
      </c>
      <c r="G3099" s="10">
        <v>17477569</v>
      </c>
      <c r="H3099" s="11" cm="1">
        <f t="array" ref="H3099">F3099/G3099*100000</f>
        <v>26.8401171810565</v>
      </c>
    </row>
    <row r="3100" ht="13" customHeight="1">
      <c r="A3100" s="8">
        <v>7</v>
      </c>
      <c r="B3100" t="s" s="9">
        <v>41</v>
      </c>
      <c r="C3100" t="s" s="9">
        <v>64</v>
      </c>
      <c r="D3100" t="s" s="9">
        <v>46</v>
      </c>
      <c r="E3100" t="s" s="9">
        <v>71</v>
      </c>
      <c r="F3100" s="10">
        <v>3479</v>
      </c>
      <c r="G3100" s="10">
        <v>17477569</v>
      </c>
      <c r="H3100" s="11" cm="1">
        <f t="array" ref="H3100">F3100/G3100*100000</f>
        <v>19.9055143195258</v>
      </c>
    </row>
    <row r="3101" ht="13" customHeight="1">
      <c r="A3101" s="8">
        <v>8</v>
      </c>
      <c r="B3101" t="s" s="9">
        <v>37</v>
      </c>
      <c r="C3101" t="s" s="9">
        <v>64</v>
      </c>
      <c r="D3101" t="s" s="9">
        <v>46</v>
      </c>
      <c r="E3101" t="s" s="9">
        <v>71</v>
      </c>
      <c r="F3101" s="10">
        <v>2213</v>
      </c>
      <c r="G3101" s="10">
        <v>17477569</v>
      </c>
      <c r="H3101" s="11" cm="1">
        <f t="array" ref="H3101">F3101/G3101*100000</f>
        <v>12.6619440037685</v>
      </c>
    </row>
    <row r="3102" ht="13" customHeight="1">
      <c r="A3102" s="8">
        <v>9</v>
      </c>
      <c r="B3102" t="s" s="9">
        <v>35</v>
      </c>
      <c r="C3102" t="s" s="9">
        <v>64</v>
      </c>
      <c r="D3102" t="s" s="9">
        <v>46</v>
      </c>
      <c r="E3102" t="s" s="9">
        <v>71</v>
      </c>
      <c r="F3102" s="10">
        <v>1184</v>
      </c>
      <c r="G3102" s="10">
        <v>17477569</v>
      </c>
      <c r="H3102" s="11" cm="1">
        <f t="array" ref="H3102">F3102/G3102*100000</f>
        <v>6.77439751489466</v>
      </c>
    </row>
    <row r="3103" ht="13" customHeight="1">
      <c r="A3103" s="8">
        <v>10</v>
      </c>
      <c r="B3103" t="s" s="9">
        <v>45</v>
      </c>
      <c r="C3103" t="s" s="9">
        <v>64</v>
      </c>
      <c r="D3103" t="s" s="9">
        <v>46</v>
      </c>
      <c r="E3103" t="s" s="9">
        <v>71</v>
      </c>
      <c r="F3103" s="10">
        <v>1046</v>
      </c>
      <c r="G3103" s="10">
        <v>17477569</v>
      </c>
      <c r="H3103" s="11" cm="1">
        <f t="array" ref="H3103">F3103/G3103*100000</f>
        <v>5.98481402075998</v>
      </c>
    </row>
    <row r="3104" ht="13" customHeight="1">
      <c r="A3104" s="8">
        <v>1</v>
      </c>
      <c r="B3104" t="s" s="9">
        <v>35</v>
      </c>
      <c r="C3104" t="s" s="9">
        <v>64</v>
      </c>
      <c r="D3104" t="s" s="9">
        <v>47</v>
      </c>
      <c r="E3104" t="s" s="9">
        <v>71</v>
      </c>
      <c r="F3104" s="10">
        <v>4171</v>
      </c>
      <c r="G3104" s="10">
        <v>3342831</v>
      </c>
      <c r="H3104" s="11" cm="1">
        <f t="array" ref="H3104">F3104/G3104*100000</f>
        <v>124.774480073925</v>
      </c>
    </row>
    <row r="3105" ht="13" customHeight="1">
      <c r="A3105" s="8">
        <v>2</v>
      </c>
      <c r="B3105" t="s" s="9">
        <v>30</v>
      </c>
      <c r="C3105" t="s" s="9">
        <v>64</v>
      </c>
      <c r="D3105" t="s" s="9">
        <v>47</v>
      </c>
      <c r="E3105" t="s" s="9">
        <v>71</v>
      </c>
      <c r="F3105" s="10">
        <v>2615</v>
      </c>
      <c r="G3105" s="10">
        <v>3342831</v>
      </c>
      <c r="H3105" s="11" cm="1">
        <f t="array" ref="H3105">F3105/G3105*100000</f>
        <v>78.2271075025929</v>
      </c>
    </row>
    <row r="3106" ht="13" customHeight="1">
      <c r="A3106" s="8">
        <v>3</v>
      </c>
      <c r="B3106" t="s" s="9">
        <v>34</v>
      </c>
      <c r="C3106" t="s" s="9">
        <v>64</v>
      </c>
      <c r="D3106" t="s" s="9">
        <v>47</v>
      </c>
      <c r="E3106" t="s" s="9">
        <v>71</v>
      </c>
      <c r="F3106" s="10">
        <v>874</v>
      </c>
      <c r="G3106" s="10">
        <v>3342831</v>
      </c>
      <c r="H3106" s="11" cm="1">
        <f t="array" ref="H3106">F3106/G3106*100000</f>
        <v>26.1455036165454</v>
      </c>
    </row>
    <row r="3107" ht="13" customHeight="1">
      <c r="A3107" s="8">
        <v>4</v>
      </c>
      <c r="B3107" t="s" s="9">
        <v>39</v>
      </c>
      <c r="C3107" t="s" s="9">
        <v>64</v>
      </c>
      <c r="D3107" t="s" s="9">
        <v>47</v>
      </c>
      <c r="E3107" t="s" s="9">
        <v>71</v>
      </c>
      <c r="F3107" s="10">
        <v>888</v>
      </c>
      <c r="G3107" s="10">
        <v>3342831</v>
      </c>
      <c r="H3107" s="11" cm="1">
        <f t="array" ref="H3107">F3107/G3107*100000</f>
        <v>26.5643103106319</v>
      </c>
    </row>
    <row r="3108" ht="13" customHeight="1">
      <c r="A3108" s="8">
        <v>5</v>
      </c>
      <c r="B3108" t="s" s="9">
        <v>35</v>
      </c>
      <c r="C3108" t="s" s="9">
        <v>64</v>
      </c>
      <c r="D3108" t="s" s="9">
        <v>47</v>
      </c>
      <c r="E3108" t="s" s="9">
        <v>71</v>
      </c>
      <c r="F3108" s="10">
        <v>355</v>
      </c>
      <c r="G3108" s="10">
        <v>3342831</v>
      </c>
      <c r="H3108" s="11" cm="1">
        <f t="array" ref="H3108">F3108/G3108*100000</f>
        <v>10.6197411714801</v>
      </c>
    </row>
    <row r="3109" ht="13" customHeight="1">
      <c r="A3109" s="8">
        <v>6</v>
      </c>
      <c r="B3109" t="s" s="9">
        <v>45</v>
      </c>
      <c r="C3109" t="s" s="9">
        <v>64</v>
      </c>
      <c r="D3109" t="s" s="9">
        <v>47</v>
      </c>
      <c r="E3109" t="s" s="9">
        <v>71</v>
      </c>
      <c r="F3109" s="10">
        <v>366</v>
      </c>
      <c r="G3109" s="10">
        <v>3342831</v>
      </c>
      <c r="H3109" s="11" cm="1">
        <f t="array" ref="H3109">F3109/G3109*100000</f>
        <v>10.9488035739767</v>
      </c>
    </row>
    <row r="3110" ht="13" customHeight="1">
      <c r="A3110" s="8">
        <v>7</v>
      </c>
      <c r="B3110" t="s" s="9">
        <v>30</v>
      </c>
      <c r="C3110" t="s" s="9">
        <v>64</v>
      </c>
      <c r="D3110" t="s" s="9">
        <v>47</v>
      </c>
      <c r="E3110" t="s" s="9">
        <v>71</v>
      </c>
      <c r="F3110" s="10">
        <v>338</v>
      </c>
      <c r="G3110" s="10">
        <v>3342831</v>
      </c>
      <c r="H3110" s="11" cm="1">
        <f t="array" ref="H3110">F3110/G3110*100000</f>
        <v>10.1111901858036</v>
      </c>
    </row>
    <row r="3111" ht="13" customHeight="1">
      <c r="A3111" s="8">
        <v>8</v>
      </c>
      <c r="B3111" t="s" s="9">
        <v>36</v>
      </c>
      <c r="C3111" t="s" s="9">
        <v>64</v>
      </c>
      <c r="D3111" t="s" s="9">
        <v>47</v>
      </c>
      <c r="E3111" t="s" s="9">
        <v>71</v>
      </c>
      <c r="F3111" s="10">
        <v>279</v>
      </c>
      <c r="G3111" s="10">
        <v>3342831</v>
      </c>
      <c r="H3111" s="11" cm="1">
        <f t="array" ref="H3111">F3111/G3111*100000</f>
        <v>8.346219117867459</v>
      </c>
    </row>
    <row r="3112" ht="13" customHeight="1">
      <c r="A3112" s="8">
        <v>9</v>
      </c>
      <c r="B3112" t="s" s="9">
        <v>36</v>
      </c>
      <c r="C3112" t="s" s="9">
        <v>64</v>
      </c>
      <c r="D3112" t="s" s="9">
        <v>47</v>
      </c>
      <c r="E3112" t="s" s="9">
        <v>71</v>
      </c>
      <c r="F3112" s="10">
        <v>313</v>
      </c>
      <c r="G3112" s="10">
        <v>3342831</v>
      </c>
      <c r="H3112" s="11" cm="1">
        <f t="array" ref="H3112">F3112/G3112*100000</f>
        <v>9.363321089220481</v>
      </c>
    </row>
    <row r="3113" ht="13" customHeight="1">
      <c r="A3113" s="8">
        <v>10</v>
      </c>
      <c r="B3113" t="s" s="9">
        <v>37</v>
      </c>
      <c r="C3113" t="s" s="9">
        <v>64</v>
      </c>
      <c r="D3113" t="s" s="9">
        <v>47</v>
      </c>
      <c r="E3113" t="s" s="9">
        <v>71</v>
      </c>
      <c r="F3113" s="10">
        <v>310</v>
      </c>
      <c r="G3113" s="10">
        <v>3342831</v>
      </c>
      <c r="H3113" s="11" cm="1">
        <f t="array" ref="H3113">F3113/G3113*100000</f>
        <v>9.273576797630509</v>
      </c>
    </row>
    <row r="3114" ht="13" customHeight="1">
      <c r="A3114" s="8">
        <v>1</v>
      </c>
      <c r="B3114" t="s" s="9">
        <v>30</v>
      </c>
      <c r="C3114" t="s" s="9">
        <v>64</v>
      </c>
      <c r="D3114" t="s" s="9">
        <v>49</v>
      </c>
      <c r="E3114" t="s" s="9">
        <v>71</v>
      </c>
      <c r="F3114" s="10">
        <v>6542</v>
      </c>
      <c r="G3114" s="10">
        <v>6397690</v>
      </c>
      <c r="H3114" s="11" cm="1">
        <f t="array" ref="H3114">F3114/G3114*100000</f>
        <v>102.255657901524</v>
      </c>
    </row>
    <row r="3115" ht="13" customHeight="1">
      <c r="A3115" s="8">
        <v>2</v>
      </c>
      <c r="B3115" t="s" s="9">
        <v>35</v>
      </c>
      <c r="C3115" t="s" s="9">
        <v>64</v>
      </c>
      <c r="D3115" t="s" s="9">
        <v>49</v>
      </c>
      <c r="E3115" t="s" s="9">
        <v>71</v>
      </c>
      <c r="F3115" s="10">
        <v>4456</v>
      </c>
      <c r="G3115" s="10">
        <v>6397690</v>
      </c>
      <c r="H3115" s="11" cm="1">
        <f t="array" ref="H3115">F3115/G3115*100000</f>
        <v>69.65013934717059</v>
      </c>
    </row>
    <row r="3116" ht="13" customHeight="1">
      <c r="A3116" s="8">
        <v>3</v>
      </c>
      <c r="B3116" t="s" s="9">
        <v>34</v>
      </c>
      <c r="C3116" t="s" s="9">
        <v>64</v>
      </c>
      <c r="D3116" t="s" s="9">
        <v>49</v>
      </c>
      <c r="E3116" t="s" s="9">
        <v>71</v>
      </c>
      <c r="F3116" s="10">
        <v>4687</v>
      </c>
      <c r="G3116" s="10">
        <v>6397690</v>
      </c>
      <c r="H3116" s="11" cm="1">
        <f t="array" ref="H3116">F3116/G3116*100000</f>
        <v>73.260817576344</v>
      </c>
    </row>
    <row r="3117" ht="13" customHeight="1">
      <c r="A3117" s="8">
        <v>4</v>
      </c>
      <c r="B3117" t="s" s="9">
        <v>39</v>
      </c>
      <c r="C3117" t="s" s="9">
        <v>64</v>
      </c>
      <c r="D3117" t="s" s="9">
        <v>49</v>
      </c>
      <c r="E3117" t="s" s="9">
        <v>71</v>
      </c>
      <c r="F3117" s="10">
        <v>1950</v>
      </c>
      <c r="G3117" s="10">
        <v>6397690</v>
      </c>
      <c r="H3117" s="11" cm="1">
        <f t="array" ref="H3117">F3117/G3117*100000</f>
        <v>30.4797512852295</v>
      </c>
    </row>
    <row r="3118" ht="13" customHeight="1">
      <c r="A3118" s="8">
        <v>5</v>
      </c>
      <c r="B3118" t="s" s="9">
        <v>36</v>
      </c>
      <c r="C3118" t="s" s="9">
        <v>64</v>
      </c>
      <c r="D3118" t="s" s="9">
        <v>49</v>
      </c>
      <c r="E3118" t="s" s="9">
        <v>71</v>
      </c>
      <c r="F3118" s="10">
        <v>1104</v>
      </c>
      <c r="G3118" s="10">
        <v>6397690</v>
      </c>
      <c r="H3118" s="11" cm="1">
        <f t="array" ref="H3118">F3118/G3118*100000</f>
        <v>17.2562284199453</v>
      </c>
    </row>
    <row r="3119" ht="13" customHeight="1">
      <c r="A3119" s="8">
        <v>6</v>
      </c>
      <c r="B3119" t="s" s="9">
        <v>30</v>
      </c>
      <c r="C3119" t="s" s="9">
        <v>64</v>
      </c>
      <c r="D3119" t="s" s="9">
        <v>49</v>
      </c>
      <c r="E3119" t="s" s="9">
        <v>71</v>
      </c>
      <c r="F3119" s="10">
        <v>710</v>
      </c>
      <c r="G3119" s="10">
        <v>6397690</v>
      </c>
      <c r="H3119" s="11" cm="1">
        <f t="array" ref="H3119">F3119/G3119*100000</f>
        <v>11.0977555961605</v>
      </c>
    </row>
    <row r="3120" ht="13" customHeight="1">
      <c r="A3120" s="8">
        <v>7</v>
      </c>
      <c r="B3120" t="s" s="9">
        <v>35</v>
      </c>
      <c r="C3120" t="s" s="9">
        <v>64</v>
      </c>
      <c r="D3120" t="s" s="9">
        <v>49</v>
      </c>
      <c r="E3120" t="s" s="9">
        <v>71</v>
      </c>
      <c r="F3120" s="10">
        <v>868</v>
      </c>
      <c r="G3120" s="10">
        <v>6397690</v>
      </c>
      <c r="H3120" s="11" cm="1">
        <f t="array" ref="H3120">F3120/G3120*100000</f>
        <v>13.5673969823483</v>
      </c>
    </row>
    <row r="3121" ht="13" customHeight="1">
      <c r="A3121" s="8">
        <v>8</v>
      </c>
      <c r="B3121" t="s" s="9">
        <v>30</v>
      </c>
      <c r="C3121" t="s" s="9">
        <v>64</v>
      </c>
      <c r="D3121" t="s" s="9">
        <v>49</v>
      </c>
      <c r="E3121" t="s" s="9">
        <v>71</v>
      </c>
      <c r="F3121" s="10">
        <v>935</v>
      </c>
      <c r="G3121" s="10">
        <v>6397690</v>
      </c>
      <c r="H3121" s="11" cm="1">
        <f t="array" ref="H3121">F3121/G3121*100000</f>
        <v>14.6146499752254</v>
      </c>
    </row>
    <row r="3122" ht="13" customHeight="1">
      <c r="A3122" s="8">
        <v>9</v>
      </c>
      <c r="B3122" t="s" s="9">
        <v>36</v>
      </c>
      <c r="C3122" t="s" s="9">
        <v>64</v>
      </c>
      <c r="D3122" t="s" s="9">
        <v>49</v>
      </c>
      <c r="E3122" t="s" s="9">
        <v>71</v>
      </c>
      <c r="F3122" s="10">
        <v>901</v>
      </c>
      <c r="G3122" s="10">
        <v>6397690</v>
      </c>
      <c r="H3122" s="11" cm="1">
        <f t="array" ref="H3122">F3122/G3122*100000</f>
        <v>14.0832081579445</v>
      </c>
    </row>
    <row r="3123" ht="13" customHeight="1">
      <c r="A3123" s="8">
        <v>10</v>
      </c>
      <c r="B3123" t="s" s="9">
        <v>37</v>
      </c>
      <c r="C3123" t="s" s="9">
        <v>64</v>
      </c>
      <c r="D3123" t="s" s="9">
        <v>49</v>
      </c>
      <c r="E3123" t="s" s="9">
        <v>71</v>
      </c>
      <c r="F3123" s="10">
        <v>1105</v>
      </c>
      <c r="G3123" s="10">
        <v>6397690</v>
      </c>
      <c r="H3123" s="11" cm="1">
        <f t="array" ref="H3123">F3123/G3123*100000</f>
        <v>17.2718590616301</v>
      </c>
    </row>
    <row r="3124" ht="13.65" customHeight="1">
      <c r="A3124" s="8">
        <v>1</v>
      </c>
      <c r="B3124" t="s" s="9">
        <v>30</v>
      </c>
      <c r="C3124" t="s" s="9">
        <v>64</v>
      </c>
      <c r="D3124" t="s" s="9">
        <v>51</v>
      </c>
      <c r="E3124" t="s" s="9">
        <v>71</v>
      </c>
      <c r="F3124" s="10">
        <v>2105</v>
      </c>
      <c r="G3124" s="12"/>
      <c r="H3124" s="13"/>
    </row>
    <row r="3125" ht="13.65" customHeight="1">
      <c r="A3125" s="8">
        <v>2</v>
      </c>
      <c r="B3125" t="s" s="9">
        <v>35</v>
      </c>
      <c r="C3125" t="s" s="9">
        <v>64</v>
      </c>
      <c r="D3125" t="s" s="9">
        <v>51</v>
      </c>
      <c r="E3125" t="s" s="9">
        <v>71</v>
      </c>
      <c r="F3125" s="10">
        <v>1649</v>
      </c>
      <c r="G3125" s="14"/>
      <c r="H3125" s="15"/>
    </row>
    <row r="3126" ht="13.65" customHeight="1">
      <c r="A3126" s="8">
        <v>3</v>
      </c>
      <c r="B3126" t="s" s="9">
        <v>34</v>
      </c>
      <c r="C3126" t="s" s="9">
        <v>64</v>
      </c>
      <c r="D3126" t="s" s="9">
        <v>51</v>
      </c>
      <c r="E3126" t="s" s="9">
        <v>71</v>
      </c>
      <c r="F3126" s="10">
        <v>1865</v>
      </c>
      <c r="G3126" s="14"/>
      <c r="H3126" s="15"/>
    </row>
    <row r="3127" ht="13.65" customHeight="1">
      <c r="A3127" s="8">
        <v>4</v>
      </c>
      <c r="B3127" t="s" s="9">
        <v>30</v>
      </c>
      <c r="C3127" t="s" s="9">
        <v>64</v>
      </c>
      <c r="D3127" t="s" s="9">
        <v>51</v>
      </c>
      <c r="E3127" t="s" s="9">
        <v>71</v>
      </c>
      <c r="F3127" s="10">
        <v>903</v>
      </c>
      <c r="G3127" s="14"/>
      <c r="H3127" s="15"/>
    </row>
    <row r="3128" ht="13.65" customHeight="1">
      <c r="A3128" s="8">
        <v>5</v>
      </c>
      <c r="B3128" t="s" s="9">
        <v>39</v>
      </c>
      <c r="C3128" t="s" s="9">
        <v>64</v>
      </c>
      <c r="D3128" t="s" s="9">
        <v>51</v>
      </c>
      <c r="E3128" t="s" s="9">
        <v>71</v>
      </c>
      <c r="F3128" s="10">
        <v>703</v>
      </c>
      <c r="G3128" s="14"/>
      <c r="H3128" s="15"/>
    </row>
    <row r="3129" ht="13.65" customHeight="1">
      <c r="A3129" s="8">
        <v>6</v>
      </c>
      <c r="B3129" t="s" s="9">
        <v>45</v>
      </c>
      <c r="C3129" t="s" s="9">
        <v>64</v>
      </c>
      <c r="D3129" t="s" s="9">
        <v>51</v>
      </c>
      <c r="E3129" t="s" s="9">
        <v>71</v>
      </c>
      <c r="F3129" s="10">
        <v>495</v>
      </c>
      <c r="G3129" s="14"/>
      <c r="H3129" s="15"/>
    </row>
    <row r="3130" ht="13.65" customHeight="1">
      <c r="A3130" s="8">
        <v>7</v>
      </c>
      <c r="B3130" t="s" s="9">
        <v>35</v>
      </c>
      <c r="C3130" t="s" s="9">
        <v>64</v>
      </c>
      <c r="D3130" t="s" s="9">
        <v>51</v>
      </c>
      <c r="E3130" t="s" s="9">
        <v>71</v>
      </c>
      <c r="F3130" s="10">
        <v>338</v>
      </c>
      <c r="G3130" s="14"/>
      <c r="H3130" s="15"/>
    </row>
    <row r="3131" ht="13.65" customHeight="1">
      <c r="A3131" s="8">
        <v>8</v>
      </c>
      <c r="B3131" t="s" s="9">
        <v>37</v>
      </c>
      <c r="C3131" t="s" s="9">
        <v>64</v>
      </c>
      <c r="D3131" t="s" s="9">
        <v>51</v>
      </c>
      <c r="E3131" t="s" s="9">
        <v>71</v>
      </c>
      <c r="F3131" s="10">
        <v>582</v>
      </c>
      <c r="G3131" s="14"/>
      <c r="H3131" s="15"/>
    </row>
    <row r="3132" ht="13.65" customHeight="1">
      <c r="A3132" s="8">
        <v>9</v>
      </c>
      <c r="B3132" t="s" s="9">
        <v>41</v>
      </c>
      <c r="C3132" t="s" s="9">
        <v>64</v>
      </c>
      <c r="D3132" t="s" s="9">
        <v>51</v>
      </c>
      <c r="E3132" t="s" s="9">
        <v>71</v>
      </c>
      <c r="F3132" s="10">
        <v>511</v>
      </c>
      <c r="G3132" s="14"/>
      <c r="H3132" s="15"/>
    </row>
    <row r="3133" ht="13.65" customHeight="1">
      <c r="A3133" s="8">
        <v>10</v>
      </c>
      <c r="B3133" t="s" s="9">
        <v>30</v>
      </c>
      <c r="C3133" t="s" s="9">
        <v>64</v>
      </c>
      <c r="D3133" t="s" s="9">
        <v>51</v>
      </c>
      <c r="E3133" t="s" s="9">
        <v>71</v>
      </c>
      <c r="F3133" s="10">
        <v>267</v>
      </c>
      <c r="G3133" s="14"/>
      <c r="H3133" s="15"/>
    </row>
    <row r="3134" ht="13.65" customHeight="1">
      <c r="A3134" s="8">
        <v>1</v>
      </c>
      <c r="B3134" t="s" s="9">
        <v>35</v>
      </c>
      <c r="C3134" t="s" s="9">
        <v>64</v>
      </c>
      <c r="D3134" t="s" s="9">
        <v>52</v>
      </c>
      <c r="E3134" t="s" s="9">
        <v>71</v>
      </c>
      <c r="F3134" s="10">
        <v>11692</v>
      </c>
      <c r="G3134" s="14"/>
      <c r="H3134" s="15"/>
    </row>
    <row r="3135" ht="13.65" customHeight="1">
      <c r="A3135" s="8">
        <v>2</v>
      </c>
      <c r="B3135" t="s" s="9">
        <v>30</v>
      </c>
      <c r="C3135" t="s" s="9">
        <v>64</v>
      </c>
      <c r="D3135" t="s" s="9">
        <v>52</v>
      </c>
      <c r="E3135" t="s" s="9">
        <v>71</v>
      </c>
      <c r="F3135" s="10">
        <v>3661</v>
      </c>
      <c r="G3135" s="14"/>
      <c r="H3135" s="15"/>
    </row>
    <row r="3136" ht="13.65" customHeight="1">
      <c r="A3136" s="8">
        <v>3</v>
      </c>
      <c r="B3136" t="s" s="9">
        <v>34</v>
      </c>
      <c r="C3136" t="s" s="9">
        <v>64</v>
      </c>
      <c r="D3136" t="s" s="9">
        <v>52</v>
      </c>
      <c r="E3136" t="s" s="9">
        <v>71</v>
      </c>
      <c r="F3136" s="10">
        <v>4000</v>
      </c>
      <c r="G3136" s="14"/>
      <c r="H3136" s="15"/>
    </row>
    <row r="3137" ht="13.65" customHeight="1">
      <c r="A3137" s="8">
        <v>4</v>
      </c>
      <c r="B3137" t="s" s="9">
        <v>30</v>
      </c>
      <c r="C3137" t="s" s="9">
        <v>64</v>
      </c>
      <c r="D3137" t="s" s="9">
        <v>52</v>
      </c>
      <c r="E3137" t="s" s="9">
        <v>71</v>
      </c>
      <c r="F3137" s="10">
        <v>1148</v>
      </c>
      <c r="G3137" s="14"/>
      <c r="H3137" s="15"/>
    </row>
    <row r="3138" ht="13.65" customHeight="1">
      <c r="A3138" s="8">
        <v>5</v>
      </c>
      <c r="B3138" t="s" s="9">
        <v>39</v>
      </c>
      <c r="C3138" t="s" s="9">
        <v>64</v>
      </c>
      <c r="D3138" t="s" s="9">
        <v>52</v>
      </c>
      <c r="E3138" t="s" s="9">
        <v>71</v>
      </c>
      <c r="F3138" s="10">
        <v>1585</v>
      </c>
      <c r="G3138" s="14"/>
      <c r="H3138" s="15"/>
    </row>
    <row r="3139" ht="13.65" customHeight="1">
      <c r="A3139" s="8">
        <v>6</v>
      </c>
      <c r="B3139" t="s" s="9">
        <v>35</v>
      </c>
      <c r="C3139" t="s" s="9">
        <v>64</v>
      </c>
      <c r="D3139" t="s" s="9">
        <v>52</v>
      </c>
      <c r="E3139" t="s" s="9">
        <v>71</v>
      </c>
      <c r="F3139" s="10">
        <v>789</v>
      </c>
      <c r="G3139" s="14"/>
      <c r="H3139" s="15"/>
    </row>
    <row r="3140" ht="13.65" customHeight="1">
      <c r="A3140" s="8">
        <v>7</v>
      </c>
      <c r="B3140" t="s" s="9">
        <v>36</v>
      </c>
      <c r="C3140" t="s" s="9">
        <v>64</v>
      </c>
      <c r="D3140" t="s" s="9">
        <v>52</v>
      </c>
      <c r="E3140" t="s" s="9">
        <v>71</v>
      </c>
      <c r="F3140" s="10">
        <v>978</v>
      </c>
      <c r="G3140" s="14"/>
      <c r="H3140" s="15"/>
    </row>
    <row r="3141" ht="13.65" customHeight="1">
      <c r="A3141" s="8">
        <v>8</v>
      </c>
      <c r="B3141" t="s" s="9">
        <v>37</v>
      </c>
      <c r="C3141" t="s" s="9">
        <v>64</v>
      </c>
      <c r="D3141" t="s" s="9">
        <v>52</v>
      </c>
      <c r="E3141" t="s" s="9">
        <v>71</v>
      </c>
      <c r="F3141" s="10">
        <v>915</v>
      </c>
      <c r="G3141" s="14"/>
      <c r="H3141" s="15"/>
    </row>
    <row r="3142" ht="13.65" customHeight="1">
      <c r="A3142" s="8">
        <v>9</v>
      </c>
      <c r="B3142" t="s" s="9">
        <v>36</v>
      </c>
      <c r="C3142" t="s" s="9">
        <v>64</v>
      </c>
      <c r="D3142" t="s" s="9">
        <v>52</v>
      </c>
      <c r="E3142" t="s" s="9">
        <v>71</v>
      </c>
      <c r="F3142" s="10">
        <v>553</v>
      </c>
      <c r="G3142" s="14"/>
      <c r="H3142" s="15"/>
    </row>
    <row r="3143" ht="13.65" customHeight="1">
      <c r="A3143" s="8">
        <v>10</v>
      </c>
      <c r="B3143" t="s" s="9">
        <v>45</v>
      </c>
      <c r="C3143" t="s" s="9">
        <v>64</v>
      </c>
      <c r="D3143" t="s" s="9">
        <v>52</v>
      </c>
      <c r="E3143" t="s" s="9">
        <v>71</v>
      </c>
      <c r="F3143" s="10">
        <v>432</v>
      </c>
      <c r="G3143" s="16"/>
      <c r="H3143" s="17"/>
    </row>
    <row r="3144" ht="13" customHeight="1">
      <c r="A3144" s="8">
        <v>1</v>
      </c>
      <c r="B3144" t="s" s="9">
        <v>30</v>
      </c>
      <c r="C3144" t="s" s="9">
        <v>64</v>
      </c>
      <c r="D3144" t="s" s="9">
        <v>53</v>
      </c>
      <c r="E3144" t="s" s="9">
        <v>71</v>
      </c>
      <c r="F3144" s="10">
        <v>2596</v>
      </c>
      <c r="G3144" s="10">
        <v>5049226</v>
      </c>
      <c r="H3144" s="11" cm="1">
        <f t="array" ref="H3144">F3144/G3144*100000</f>
        <v>51.413820652908</v>
      </c>
    </row>
    <row r="3145" ht="13" customHeight="1">
      <c r="A3145" s="8">
        <v>2</v>
      </c>
      <c r="B3145" t="s" s="9">
        <v>41</v>
      </c>
      <c r="C3145" t="s" s="9">
        <v>64</v>
      </c>
      <c r="D3145" t="s" s="9">
        <v>53</v>
      </c>
      <c r="E3145" t="s" s="9">
        <v>71</v>
      </c>
      <c r="F3145" s="10">
        <v>1892</v>
      </c>
      <c r="G3145" s="10">
        <v>5049226</v>
      </c>
      <c r="H3145" s="11" cm="1">
        <f t="array" ref="H3145">F3145/G3145*100000</f>
        <v>37.4710896283906</v>
      </c>
    </row>
    <row r="3146" ht="13" customHeight="1">
      <c r="A3146" s="8">
        <v>3</v>
      </c>
      <c r="B3146" t="s" s="9">
        <v>35</v>
      </c>
      <c r="C3146" t="s" s="9">
        <v>64</v>
      </c>
      <c r="D3146" t="s" s="9">
        <v>53</v>
      </c>
      <c r="E3146" t="s" s="9">
        <v>71</v>
      </c>
      <c r="F3146" s="10">
        <v>1503</v>
      </c>
      <c r="G3146" s="10">
        <v>5049226</v>
      </c>
      <c r="H3146" s="11" cm="1">
        <f t="array" ref="H3146">F3146/G3146*100000</f>
        <v>29.7669385367183</v>
      </c>
    </row>
    <row r="3147" ht="13" customHeight="1">
      <c r="A3147" s="8">
        <v>4</v>
      </c>
      <c r="B3147" t="s" s="9">
        <v>34</v>
      </c>
      <c r="C3147" t="s" s="9">
        <v>64</v>
      </c>
      <c r="D3147" t="s" s="9">
        <v>53</v>
      </c>
      <c r="E3147" t="s" s="9">
        <v>71</v>
      </c>
      <c r="F3147" s="10">
        <v>1586</v>
      </c>
      <c r="G3147" s="10">
        <v>5049226</v>
      </c>
      <c r="H3147" s="11" cm="1">
        <f t="array" ref="H3147">F3147/G3147*100000</f>
        <v>31.4107548364838</v>
      </c>
    </row>
    <row r="3148" ht="13" customHeight="1">
      <c r="A3148" s="8">
        <v>5</v>
      </c>
      <c r="B3148" t="s" s="9">
        <v>30</v>
      </c>
      <c r="C3148" t="s" s="9">
        <v>64</v>
      </c>
      <c r="D3148" t="s" s="9">
        <v>53</v>
      </c>
      <c r="E3148" t="s" s="9">
        <v>71</v>
      </c>
      <c r="F3148" s="10">
        <v>1058</v>
      </c>
      <c r="G3148" s="10">
        <v>5049226</v>
      </c>
      <c r="H3148" s="11" cm="1">
        <f t="array" ref="H3148">F3148/G3148*100000</f>
        <v>20.9537065680958</v>
      </c>
    </row>
    <row r="3149" ht="13" customHeight="1">
      <c r="A3149" s="8">
        <v>6</v>
      </c>
      <c r="B3149" t="s" s="9">
        <v>39</v>
      </c>
      <c r="C3149" t="s" s="9">
        <v>64</v>
      </c>
      <c r="D3149" t="s" s="9">
        <v>53</v>
      </c>
      <c r="E3149" t="s" s="9">
        <v>71</v>
      </c>
      <c r="F3149" s="10">
        <v>952</v>
      </c>
      <c r="G3149" s="10">
        <v>5049226</v>
      </c>
      <c r="H3149" s="11" cm="1">
        <f t="array" ref="H3149">F3149/G3149*100000</f>
        <v>18.8543749081542</v>
      </c>
    </row>
    <row r="3150" ht="13" customHeight="1">
      <c r="A3150" s="8">
        <v>7</v>
      </c>
      <c r="B3150" t="s" s="9">
        <v>35</v>
      </c>
      <c r="C3150" t="s" s="9">
        <v>64</v>
      </c>
      <c r="D3150" t="s" s="9">
        <v>53</v>
      </c>
      <c r="E3150" t="s" s="9">
        <v>71</v>
      </c>
      <c r="F3150" s="10">
        <v>487</v>
      </c>
      <c r="G3150" s="10">
        <v>5049226</v>
      </c>
      <c r="H3150" s="11" cm="1">
        <f t="array" ref="H3150">F3150/G3150*100000</f>
        <v>9.645042626335201</v>
      </c>
    </row>
    <row r="3151" ht="13" customHeight="1">
      <c r="A3151" s="8">
        <v>8</v>
      </c>
      <c r="B3151" t="s" s="9">
        <v>30</v>
      </c>
      <c r="C3151" t="s" s="9">
        <v>64</v>
      </c>
      <c r="D3151" t="s" s="9">
        <v>53</v>
      </c>
      <c r="E3151" t="s" s="9">
        <v>71</v>
      </c>
      <c r="F3151" s="10">
        <v>654</v>
      </c>
      <c r="G3151" s="10">
        <v>5049226</v>
      </c>
      <c r="H3151" s="11" cm="1">
        <f t="array" ref="H3151">F3151/G3151*100000</f>
        <v>12.9524802415261</v>
      </c>
    </row>
    <row r="3152" ht="13" customHeight="1">
      <c r="A3152" s="8">
        <v>9</v>
      </c>
      <c r="B3152" t="s" s="9">
        <v>37</v>
      </c>
      <c r="C3152" t="s" s="9">
        <v>64</v>
      </c>
      <c r="D3152" t="s" s="9">
        <v>53</v>
      </c>
      <c r="E3152" t="s" s="9">
        <v>71</v>
      </c>
      <c r="F3152" s="10">
        <v>434</v>
      </c>
      <c r="G3152" s="10">
        <v>5049226</v>
      </c>
      <c r="H3152" s="11" cm="1">
        <f t="array" ref="H3152">F3152/G3152*100000</f>
        <v>8.59537679636443</v>
      </c>
    </row>
    <row r="3153" ht="13" customHeight="1">
      <c r="A3153" s="8">
        <v>10</v>
      </c>
      <c r="B3153" t="s" s="9">
        <v>36</v>
      </c>
      <c r="C3153" t="s" s="9">
        <v>64</v>
      </c>
      <c r="D3153" t="s" s="9">
        <v>53</v>
      </c>
      <c r="E3153" t="s" s="9">
        <v>71</v>
      </c>
      <c r="F3153" s="10">
        <v>389</v>
      </c>
      <c r="G3153" s="10">
        <v>5049226</v>
      </c>
      <c r="H3153" s="11" cm="1">
        <f t="array" ref="H3153">F3153/G3153*100000</f>
        <v>7.70415109167227</v>
      </c>
    </row>
    <row r="3154" ht="13" customHeight="1">
      <c r="A3154" s="8">
        <v>1</v>
      </c>
      <c r="B3154" t="s" s="9">
        <v>30</v>
      </c>
      <c r="C3154" t="s" s="9">
        <v>64</v>
      </c>
      <c r="D3154" t="s" s="9">
        <v>54</v>
      </c>
      <c r="E3154" t="s" s="9">
        <v>71</v>
      </c>
      <c r="F3154" s="10">
        <v>2307</v>
      </c>
      <c r="G3154" s="10">
        <v>3901529</v>
      </c>
      <c r="H3154" s="11" cm="1">
        <f t="array" ref="H3154">F3154/G3154*100000</f>
        <v>59.1306639012551</v>
      </c>
    </row>
    <row r="3155" ht="13" customHeight="1">
      <c r="A3155" s="8">
        <v>2</v>
      </c>
      <c r="B3155" t="s" s="9">
        <v>35</v>
      </c>
      <c r="C3155" t="s" s="9">
        <v>64</v>
      </c>
      <c r="D3155" t="s" s="9">
        <v>54</v>
      </c>
      <c r="E3155" t="s" s="9">
        <v>71</v>
      </c>
      <c r="F3155" s="10">
        <v>1278</v>
      </c>
      <c r="G3155" s="10">
        <v>3901529</v>
      </c>
      <c r="H3155" s="11" cm="1">
        <f t="array" ref="H3155">F3155/G3155*100000</f>
        <v>32.7563885850906</v>
      </c>
    </row>
    <row r="3156" ht="13" customHeight="1">
      <c r="A3156" s="8">
        <v>3</v>
      </c>
      <c r="B3156" t="s" s="9">
        <v>34</v>
      </c>
      <c r="C3156" t="s" s="9">
        <v>64</v>
      </c>
      <c r="D3156" t="s" s="9">
        <v>54</v>
      </c>
      <c r="E3156" t="s" s="9">
        <v>71</v>
      </c>
      <c r="F3156" s="10">
        <v>1101</v>
      </c>
      <c r="G3156" s="10">
        <v>3901529</v>
      </c>
      <c r="H3156" s="11" cm="1">
        <f t="array" ref="H3156">F3156/G3156*100000</f>
        <v>28.2197056589865</v>
      </c>
    </row>
    <row r="3157" ht="13" customHeight="1">
      <c r="A3157" s="8">
        <v>4</v>
      </c>
      <c r="B3157" t="s" s="9">
        <v>41</v>
      </c>
      <c r="C3157" t="s" s="9">
        <v>64</v>
      </c>
      <c r="D3157" t="s" s="9">
        <v>54</v>
      </c>
      <c r="E3157" t="s" s="9">
        <v>71</v>
      </c>
      <c r="F3157" s="10">
        <v>746</v>
      </c>
      <c r="G3157" s="10">
        <v>3901529</v>
      </c>
      <c r="H3157" s="11" cm="1">
        <f t="array" ref="H3157">F3157/G3157*100000</f>
        <v>19.1207088297947</v>
      </c>
    </row>
    <row r="3158" ht="13" customHeight="1">
      <c r="A3158" s="8">
        <v>5</v>
      </c>
      <c r="B3158" t="s" s="9">
        <v>39</v>
      </c>
      <c r="C3158" t="s" s="9">
        <v>64</v>
      </c>
      <c r="D3158" t="s" s="9">
        <v>54</v>
      </c>
      <c r="E3158" t="s" s="9">
        <v>71</v>
      </c>
      <c r="F3158" s="10">
        <v>520</v>
      </c>
      <c r="G3158" s="10">
        <v>3901529</v>
      </c>
      <c r="H3158" s="11" cm="1">
        <f t="array" ref="H3158">F3158/G3158*100000</f>
        <v>13.3281080314923</v>
      </c>
    </row>
    <row r="3159" ht="13" customHeight="1">
      <c r="A3159" s="8">
        <v>6</v>
      </c>
      <c r="B3159" t="s" s="9">
        <v>39</v>
      </c>
      <c r="C3159" t="s" s="9">
        <v>64</v>
      </c>
      <c r="D3159" t="s" s="9">
        <v>54</v>
      </c>
      <c r="E3159" t="s" s="9">
        <v>71</v>
      </c>
      <c r="F3159" s="10">
        <v>519</v>
      </c>
      <c r="G3159" s="10">
        <v>3901529</v>
      </c>
      <c r="H3159" s="11" cm="1">
        <f t="array" ref="H3159">F3159/G3159*100000</f>
        <v>13.3024770545086</v>
      </c>
    </row>
    <row r="3160" ht="13" customHeight="1">
      <c r="A3160" s="8">
        <v>7</v>
      </c>
      <c r="B3160" t="s" s="9">
        <v>30</v>
      </c>
      <c r="C3160" t="s" s="9">
        <v>64</v>
      </c>
      <c r="D3160" t="s" s="9">
        <v>54</v>
      </c>
      <c r="E3160" t="s" s="9">
        <v>71</v>
      </c>
      <c r="F3160" s="10">
        <v>339</v>
      </c>
      <c r="G3160" s="10">
        <v>3901529</v>
      </c>
      <c r="H3160" s="11" cm="1">
        <f t="array" ref="H3160">F3160/G3160*100000</f>
        <v>8.68890119745361</v>
      </c>
    </row>
    <row r="3161" ht="13" customHeight="1">
      <c r="A3161" s="8">
        <v>8</v>
      </c>
      <c r="B3161" t="s" s="9">
        <v>41</v>
      </c>
      <c r="C3161" t="s" s="9">
        <v>64</v>
      </c>
      <c r="D3161" t="s" s="9">
        <v>54</v>
      </c>
      <c r="E3161" t="s" s="9">
        <v>71</v>
      </c>
      <c r="F3161" s="10">
        <v>392</v>
      </c>
      <c r="G3161" s="10">
        <v>3901529</v>
      </c>
      <c r="H3161" s="11" cm="1">
        <f t="array" ref="H3161">F3161/G3161*100000</f>
        <v>10.0473429775865</v>
      </c>
    </row>
    <row r="3162" ht="13" customHeight="1">
      <c r="A3162" s="8">
        <v>9</v>
      </c>
      <c r="B3162" t="s" s="9">
        <v>45</v>
      </c>
      <c r="C3162" t="s" s="9">
        <v>64</v>
      </c>
      <c r="D3162" t="s" s="9">
        <v>54</v>
      </c>
      <c r="E3162" t="s" s="9">
        <v>71</v>
      </c>
      <c r="F3162" s="10">
        <v>262</v>
      </c>
      <c r="G3162" s="10">
        <v>3901529</v>
      </c>
      <c r="H3162" s="11" cm="1">
        <f t="array" ref="H3162">F3162/G3162*100000</f>
        <v>6.71531596971341</v>
      </c>
    </row>
    <row r="3163" ht="13" customHeight="1">
      <c r="A3163" s="8">
        <v>10</v>
      </c>
      <c r="B3163" t="s" s="9">
        <v>45</v>
      </c>
      <c r="C3163" t="s" s="9">
        <v>64</v>
      </c>
      <c r="D3163" t="s" s="9">
        <v>54</v>
      </c>
      <c r="E3163" t="s" s="9">
        <v>71</v>
      </c>
      <c r="F3163" s="10">
        <v>260</v>
      </c>
      <c r="G3163" s="10">
        <v>3901529</v>
      </c>
      <c r="H3163" s="11" cm="1">
        <f t="array" ref="H3163">F3163/G3163*100000</f>
        <v>6.66405401574613</v>
      </c>
    </row>
    <row r="3164" ht="13" customHeight="1">
      <c r="A3164" s="8">
        <v>1</v>
      </c>
      <c r="B3164" t="s" s="9">
        <v>30</v>
      </c>
      <c r="C3164" t="s" s="9">
        <v>64</v>
      </c>
      <c r="D3164" t="s" s="9">
        <v>55</v>
      </c>
      <c r="E3164" t="s" s="9">
        <v>71</v>
      </c>
      <c r="F3164" s="10">
        <v>4045</v>
      </c>
      <c r="G3164" s="10">
        <v>5273604</v>
      </c>
      <c r="H3164" s="11" cm="1">
        <f t="array" ref="H3164">F3164/G3164*100000</f>
        <v>76.702763423268</v>
      </c>
    </row>
    <row r="3165" ht="13" customHeight="1">
      <c r="A3165" s="8">
        <v>2</v>
      </c>
      <c r="B3165" t="s" s="9">
        <v>35</v>
      </c>
      <c r="C3165" t="s" s="9">
        <v>64</v>
      </c>
      <c r="D3165" t="s" s="9">
        <v>55</v>
      </c>
      <c r="E3165" t="s" s="9">
        <v>71</v>
      </c>
      <c r="F3165" s="10">
        <v>3732</v>
      </c>
      <c r="G3165" s="10">
        <v>5273604</v>
      </c>
      <c r="H3165" s="11" cm="1">
        <f t="array" ref="H3165">F3165/G3165*100000</f>
        <v>70.7675434105405</v>
      </c>
    </row>
    <row r="3166" ht="13" customHeight="1">
      <c r="A3166" s="8">
        <v>3</v>
      </c>
      <c r="B3166" t="s" s="9">
        <v>35</v>
      </c>
      <c r="C3166" t="s" s="9">
        <v>64</v>
      </c>
      <c r="D3166" t="s" s="9">
        <v>55</v>
      </c>
      <c r="E3166" t="s" s="9">
        <v>71</v>
      </c>
      <c r="F3166" s="10">
        <v>3001</v>
      </c>
      <c r="G3166" s="10">
        <v>5273604</v>
      </c>
      <c r="H3166" s="11" cm="1">
        <f t="array" ref="H3166">F3166/G3166*100000</f>
        <v>56.9060551380043</v>
      </c>
    </row>
    <row r="3167" ht="13" customHeight="1">
      <c r="A3167" s="8">
        <v>4</v>
      </c>
      <c r="B3167" t="s" s="9">
        <v>34</v>
      </c>
      <c r="C3167" t="s" s="9">
        <v>64</v>
      </c>
      <c r="D3167" t="s" s="9">
        <v>55</v>
      </c>
      <c r="E3167" t="s" s="9">
        <v>71</v>
      </c>
      <c r="F3167" s="10">
        <v>1944</v>
      </c>
      <c r="G3167" s="10">
        <v>5273604</v>
      </c>
      <c r="H3167" s="11" cm="1">
        <f t="array" ref="H3167">F3167/G3167*100000</f>
        <v>36.8628361173877</v>
      </c>
    </row>
    <row r="3168" ht="13" customHeight="1">
      <c r="A3168" s="8">
        <v>5</v>
      </c>
      <c r="B3168" t="s" s="9">
        <v>30</v>
      </c>
      <c r="C3168" t="s" s="9">
        <v>64</v>
      </c>
      <c r="D3168" t="s" s="9">
        <v>55</v>
      </c>
      <c r="E3168" t="s" s="9">
        <v>71</v>
      </c>
      <c r="F3168" s="10">
        <v>1146</v>
      </c>
      <c r="G3168" s="10">
        <v>5273604</v>
      </c>
      <c r="H3168" s="11" cm="1">
        <f t="array" ref="H3168">F3168/G3168*100000</f>
        <v>21.7308694395711</v>
      </c>
    </row>
    <row r="3169" ht="13" customHeight="1">
      <c r="A3169" s="8">
        <v>6</v>
      </c>
      <c r="B3169" t="s" s="9">
        <v>41</v>
      </c>
      <c r="C3169" t="s" s="9">
        <v>64</v>
      </c>
      <c r="D3169" t="s" s="9">
        <v>55</v>
      </c>
      <c r="E3169" t="s" s="9">
        <v>71</v>
      </c>
      <c r="F3169" s="10">
        <v>501</v>
      </c>
      <c r="G3169" s="10">
        <v>5273604</v>
      </c>
      <c r="H3169" s="11" cm="1">
        <f t="array" ref="H3169">F3169/G3169*100000</f>
        <v>9.50014449321565</v>
      </c>
    </row>
    <row r="3170" ht="13" customHeight="1">
      <c r="A3170" s="8">
        <v>7</v>
      </c>
      <c r="B3170" t="s" s="9">
        <v>39</v>
      </c>
      <c r="C3170" t="s" s="9">
        <v>64</v>
      </c>
      <c r="D3170" t="s" s="9">
        <v>55</v>
      </c>
      <c r="E3170" t="s" s="9">
        <v>71</v>
      </c>
      <c r="F3170" s="10">
        <v>990</v>
      </c>
      <c r="G3170" s="10">
        <v>5273604</v>
      </c>
      <c r="H3170" s="11" cm="1">
        <f t="array" ref="H3170">F3170/G3170*100000</f>
        <v>18.7727406153363</v>
      </c>
    </row>
    <row r="3171" ht="13" customHeight="1">
      <c r="A3171" s="8">
        <v>8</v>
      </c>
      <c r="B3171" t="s" s="9">
        <v>36</v>
      </c>
      <c r="C3171" t="s" s="9">
        <v>64</v>
      </c>
      <c r="D3171" t="s" s="9">
        <v>55</v>
      </c>
      <c r="E3171" t="s" s="9">
        <v>71</v>
      </c>
      <c r="F3171" s="10">
        <v>723</v>
      </c>
      <c r="G3171" s="10">
        <v>5273604</v>
      </c>
      <c r="H3171" s="11" cm="1">
        <f t="array" ref="H3171">F3171/G3171*100000</f>
        <v>13.7097893584729</v>
      </c>
    </row>
    <row r="3172" ht="13" customHeight="1">
      <c r="A3172" s="8">
        <v>9</v>
      </c>
      <c r="B3172" t="s" s="9">
        <v>36</v>
      </c>
      <c r="C3172" t="s" s="9">
        <v>64</v>
      </c>
      <c r="D3172" t="s" s="9">
        <v>55</v>
      </c>
      <c r="E3172" t="s" s="9">
        <v>71</v>
      </c>
      <c r="F3172" s="10">
        <v>608</v>
      </c>
      <c r="G3172" s="10">
        <v>5273604</v>
      </c>
      <c r="H3172" s="11" cm="1">
        <f t="array" ref="H3172">F3172/G3172*100000</f>
        <v>11.5291174688126</v>
      </c>
    </row>
    <row r="3173" ht="13" customHeight="1">
      <c r="A3173" s="8">
        <v>10</v>
      </c>
      <c r="B3173" t="s" s="9">
        <v>45</v>
      </c>
      <c r="C3173" t="s" s="9">
        <v>64</v>
      </c>
      <c r="D3173" t="s" s="9">
        <v>55</v>
      </c>
      <c r="E3173" t="s" s="9">
        <v>71</v>
      </c>
      <c r="F3173" s="10">
        <v>553</v>
      </c>
      <c r="G3173" s="10">
        <v>5273604</v>
      </c>
      <c r="H3173" s="11" cm="1">
        <f t="array" ref="H3173">F3173/G3173*100000</f>
        <v>10.4861874346272</v>
      </c>
    </row>
    <row r="3174" ht="13" customHeight="1">
      <c r="A3174" s="8">
        <v>1</v>
      </c>
      <c r="B3174" t="s" s="9">
        <v>35</v>
      </c>
      <c r="C3174" t="s" s="9">
        <v>64</v>
      </c>
      <c r="D3174" t="s" s="9">
        <v>56</v>
      </c>
      <c r="E3174" t="s" s="9">
        <v>71</v>
      </c>
      <c r="F3174" s="10">
        <v>3435</v>
      </c>
      <c r="G3174" s="10">
        <v>5691183</v>
      </c>
      <c r="H3174" s="11" cm="1">
        <f t="array" ref="H3174">F3174/G3174*100000</f>
        <v>60.3565199010469</v>
      </c>
    </row>
    <row r="3175" ht="13" customHeight="1">
      <c r="A3175" s="8">
        <v>2</v>
      </c>
      <c r="B3175" t="s" s="9">
        <v>34</v>
      </c>
      <c r="C3175" t="s" s="9">
        <v>64</v>
      </c>
      <c r="D3175" t="s" s="9">
        <v>56</v>
      </c>
      <c r="E3175" t="s" s="9">
        <v>71</v>
      </c>
      <c r="F3175" s="10">
        <v>2207</v>
      </c>
      <c r="G3175" s="10">
        <v>5691183</v>
      </c>
      <c r="H3175" s="11" cm="1">
        <f t="array" ref="H3175">F3175/G3175*100000</f>
        <v>38.7792836744136</v>
      </c>
    </row>
    <row r="3176" ht="13" customHeight="1">
      <c r="A3176" s="8">
        <v>3</v>
      </c>
      <c r="B3176" t="s" s="9">
        <v>30</v>
      </c>
      <c r="C3176" t="s" s="9">
        <v>64</v>
      </c>
      <c r="D3176" t="s" s="9">
        <v>56</v>
      </c>
      <c r="E3176" t="s" s="9">
        <v>71</v>
      </c>
      <c r="F3176" s="10">
        <v>1476</v>
      </c>
      <c r="G3176" s="10">
        <v>5691183</v>
      </c>
      <c r="H3176" s="11" cm="1">
        <f t="array" ref="H3176">F3176/G3176*100000</f>
        <v>25.9348539662141</v>
      </c>
    </row>
    <row r="3177" ht="13" customHeight="1">
      <c r="A3177" s="8">
        <v>4</v>
      </c>
      <c r="B3177" t="s" s="9">
        <v>37</v>
      </c>
      <c r="C3177" t="s" s="9">
        <v>64</v>
      </c>
      <c r="D3177" t="s" s="9">
        <v>56</v>
      </c>
      <c r="E3177" t="s" s="9">
        <v>71</v>
      </c>
      <c r="F3177" s="10">
        <v>1170</v>
      </c>
      <c r="G3177" s="10">
        <v>5691183</v>
      </c>
      <c r="H3177" s="11" cm="1">
        <f t="array" ref="H3177">F3177/G3177*100000</f>
        <v>20.5581159488282</v>
      </c>
    </row>
    <row r="3178" ht="13" customHeight="1">
      <c r="A3178" s="8">
        <v>5</v>
      </c>
      <c r="B3178" t="s" s="9">
        <v>35</v>
      </c>
      <c r="C3178" t="s" s="9">
        <v>64</v>
      </c>
      <c r="D3178" t="s" s="9">
        <v>56</v>
      </c>
      <c r="E3178" t="s" s="9">
        <v>71</v>
      </c>
      <c r="F3178" s="10">
        <v>426</v>
      </c>
      <c r="G3178" s="10">
        <v>5691183</v>
      </c>
      <c r="H3178" s="11" cm="1">
        <f t="array" ref="H3178">F3178/G3178*100000</f>
        <v>7.48526273008617</v>
      </c>
    </row>
    <row r="3179" ht="13" customHeight="1">
      <c r="A3179" s="8">
        <v>6</v>
      </c>
      <c r="B3179" t="s" s="9">
        <v>30</v>
      </c>
      <c r="C3179" t="s" s="9">
        <v>64</v>
      </c>
      <c r="D3179" t="s" s="9">
        <v>56</v>
      </c>
      <c r="E3179" t="s" s="9">
        <v>71</v>
      </c>
      <c r="F3179" s="10">
        <v>432</v>
      </c>
      <c r="G3179" s="10">
        <v>5691183</v>
      </c>
      <c r="H3179" s="11" cm="1">
        <f t="array" ref="H3179">F3179/G3179*100000</f>
        <v>7.59068896572119</v>
      </c>
    </row>
    <row r="3180" ht="13" customHeight="1">
      <c r="A3180" s="8">
        <v>7</v>
      </c>
      <c r="B3180" t="s" s="9">
        <v>30</v>
      </c>
      <c r="C3180" t="s" s="9">
        <v>64</v>
      </c>
      <c r="D3180" t="s" s="9">
        <v>56</v>
      </c>
      <c r="E3180" t="s" s="9">
        <v>71</v>
      </c>
      <c r="F3180" s="10">
        <v>359</v>
      </c>
      <c r="G3180" s="10">
        <v>5691183</v>
      </c>
      <c r="H3180" s="11" cm="1">
        <f t="array" ref="H3180">F3180/G3180*100000</f>
        <v>6.30800309882849</v>
      </c>
    </row>
    <row r="3181" ht="13" customHeight="1">
      <c r="A3181" s="8">
        <v>8</v>
      </c>
      <c r="B3181" t="s" s="9">
        <v>39</v>
      </c>
      <c r="C3181" t="s" s="9">
        <v>64</v>
      </c>
      <c r="D3181" t="s" s="9">
        <v>56</v>
      </c>
      <c r="E3181" t="s" s="9">
        <v>71</v>
      </c>
      <c r="F3181" s="10">
        <v>400</v>
      </c>
      <c r="G3181" s="10">
        <v>5691183</v>
      </c>
      <c r="H3181" s="11" cm="1">
        <f t="array" ref="H3181">F3181/G3181*100000</f>
        <v>7.0284157090011</v>
      </c>
    </row>
    <row r="3182" ht="13" customHeight="1">
      <c r="A3182" s="8">
        <v>9</v>
      </c>
      <c r="B3182" t="s" s="9">
        <v>36</v>
      </c>
      <c r="C3182" t="s" s="9">
        <v>64</v>
      </c>
      <c r="D3182" t="s" s="9">
        <v>56</v>
      </c>
      <c r="E3182" t="s" s="9">
        <v>71</v>
      </c>
      <c r="F3182" s="10">
        <v>268</v>
      </c>
      <c r="G3182" s="10">
        <v>5691183</v>
      </c>
      <c r="H3182" s="11" cm="1">
        <f t="array" ref="H3182">F3182/G3182*100000</f>
        <v>4.70903852503074</v>
      </c>
    </row>
    <row r="3183" ht="13" customHeight="1">
      <c r="A3183" s="8">
        <v>10</v>
      </c>
      <c r="B3183" t="s" s="9">
        <v>30</v>
      </c>
      <c r="C3183" t="s" s="9">
        <v>64</v>
      </c>
      <c r="D3183" t="s" s="9">
        <v>56</v>
      </c>
      <c r="E3183" t="s" s="9">
        <v>71</v>
      </c>
      <c r="F3183" s="10">
        <v>160</v>
      </c>
      <c r="G3183" s="10">
        <v>5691183</v>
      </c>
      <c r="H3183" s="11" cm="1">
        <f t="array" ref="H3183">F3183/G3183*100000</f>
        <v>2.81136628360044</v>
      </c>
    </row>
    <row r="3184" ht="13" customHeight="1">
      <c r="A3184" s="8">
        <v>1</v>
      </c>
      <c r="B3184" t="s" s="9">
        <v>35</v>
      </c>
      <c r="C3184" t="s" s="9">
        <v>64</v>
      </c>
      <c r="D3184" t="s" s="9">
        <v>57</v>
      </c>
      <c r="E3184" t="s" s="9">
        <v>71</v>
      </c>
      <c r="F3184" s="10">
        <v>4989</v>
      </c>
      <c r="G3184" s="10">
        <v>5214931</v>
      </c>
      <c r="H3184" s="11" cm="1">
        <f t="array" ref="H3184">F3184/G3184*100000</f>
        <v>95.6676128600743</v>
      </c>
    </row>
    <row r="3185" ht="13" customHeight="1">
      <c r="A3185" s="8">
        <v>2</v>
      </c>
      <c r="B3185" t="s" s="9">
        <v>30</v>
      </c>
      <c r="C3185" t="s" s="9">
        <v>64</v>
      </c>
      <c r="D3185" t="s" s="9">
        <v>57</v>
      </c>
      <c r="E3185" t="s" s="9">
        <v>71</v>
      </c>
      <c r="F3185" s="10">
        <v>604</v>
      </c>
      <c r="G3185" s="10">
        <v>5214931</v>
      </c>
      <c r="H3185" s="11" cm="1">
        <f t="array" ref="H3185">F3185/G3185*100000</f>
        <v>11.5821283157917</v>
      </c>
    </row>
    <row r="3186" ht="13" customHeight="1">
      <c r="A3186" s="8">
        <v>3</v>
      </c>
      <c r="B3186" t="s" s="9">
        <v>34</v>
      </c>
      <c r="C3186" t="s" s="9">
        <v>64</v>
      </c>
      <c r="D3186" t="s" s="9">
        <v>57</v>
      </c>
      <c r="E3186" t="s" s="9">
        <v>71</v>
      </c>
      <c r="F3186" s="10">
        <v>159</v>
      </c>
      <c r="G3186" s="10">
        <v>5214931</v>
      </c>
      <c r="H3186" s="11" cm="1">
        <f t="array" ref="H3186">F3186/G3186*100000</f>
        <v>3.04893775200477</v>
      </c>
    </row>
    <row r="3187" ht="13" customHeight="1">
      <c r="A3187" s="8">
        <v>4</v>
      </c>
      <c r="B3187" t="s" s="9">
        <v>30</v>
      </c>
      <c r="C3187" t="s" s="9">
        <v>64</v>
      </c>
      <c r="D3187" t="s" s="9">
        <v>57</v>
      </c>
      <c r="E3187" t="s" s="9">
        <v>71</v>
      </c>
      <c r="F3187" s="10">
        <v>80</v>
      </c>
      <c r="G3187" s="10">
        <v>5214931</v>
      </c>
      <c r="H3187" s="11" cm="1">
        <f t="array" ref="H3187">F3187/G3187*100000</f>
        <v>1.53405673056844</v>
      </c>
    </row>
    <row r="3188" ht="13" customHeight="1">
      <c r="A3188" s="8">
        <v>5</v>
      </c>
      <c r="B3188" t="s" s="9">
        <v>41</v>
      </c>
      <c r="C3188" t="s" s="9">
        <v>64</v>
      </c>
      <c r="D3188" t="s" s="9">
        <v>57</v>
      </c>
      <c r="E3188" t="s" s="9">
        <v>71</v>
      </c>
      <c r="F3188" s="10">
        <v>67</v>
      </c>
      <c r="G3188" s="10">
        <v>5214931</v>
      </c>
      <c r="H3188" s="11" cm="1">
        <f t="array" ref="H3188">F3188/G3188*100000</f>
        <v>1.28477251185107</v>
      </c>
    </row>
    <row r="3189" ht="13" customHeight="1">
      <c r="A3189" s="8">
        <v>6</v>
      </c>
      <c r="B3189" t="s" s="9">
        <v>30</v>
      </c>
      <c r="C3189" t="s" s="9">
        <v>64</v>
      </c>
      <c r="D3189" t="s" s="9">
        <v>57</v>
      </c>
      <c r="E3189" t="s" s="9">
        <v>71</v>
      </c>
      <c r="F3189" s="10">
        <v>72</v>
      </c>
      <c r="G3189" s="10">
        <v>5214931</v>
      </c>
      <c r="H3189" s="11" cm="1">
        <f t="array" ref="H3189">F3189/G3189*100000</f>
        <v>1.3806510575116</v>
      </c>
    </row>
    <row r="3190" ht="13" customHeight="1">
      <c r="A3190" s="8">
        <v>7</v>
      </c>
      <c r="B3190" t="s" s="9">
        <v>45</v>
      </c>
      <c r="C3190" t="s" s="9">
        <v>64</v>
      </c>
      <c r="D3190" t="s" s="9">
        <v>57</v>
      </c>
      <c r="E3190" t="s" s="9">
        <v>71</v>
      </c>
      <c r="F3190" s="10">
        <v>59</v>
      </c>
      <c r="G3190" s="10">
        <v>5214931</v>
      </c>
      <c r="H3190" s="11" cm="1">
        <f t="array" ref="H3190">F3190/G3190*100000</f>
        <v>1.13136683879422</v>
      </c>
    </row>
    <row r="3191" ht="13" customHeight="1">
      <c r="A3191" s="8">
        <v>8</v>
      </c>
      <c r="B3191" t="s" s="9">
        <v>45</v>
      </c>
      <c r="C3191" t="s" s="9">
        <v>64</v>
      </c>
      <c r="D3191" t="s" s="9">
        <v>57</v>
      </c>
      <c r="E3191" t="s" s="9">
        <v>71</v>
      </c>
      <c r="F3191" s="10">
        <v>45</v>
      </c>
      <c r="G3191" s="10">
        <v>5214931</v>
      </c>
      <c r="H3191" s="11" cm="1">
        <f t="array" ref="H3191">F3191/G3191*100000</f>
        <v>0.862906910944747</v>
      </c>
    </row>
    <row r="3192" ht="13" customHeight="1">
      <c r="A3192" s="8">
        <v>9</v>
      </c>
      <c r="B3192" t="s" s="9">
        <v>30</v>
      </c>
      <c r="C3192" t="s" s="9">
        <v>64</v>
      </c>
      <c r="D3192" t="s" s="9">
        <v>57</v>
      </c>
      <c r="E3192" t="s" s="9">
        <v>71</v>
      </c>
      <c r="F3192" s="10">
        <v>48</v>
      </c>
      <c r="G3192" s="10">
        <v>5214931</v>
      </c>
      <c r="H3192" s="11" cm="1">
        <f t="array" ref="H3192">F3192/G3192*100000</f>
        <v>0.920434038341063</v>
      </c>
    </row>
    <row r="3193" ht="13" customHeight="1">
      <c r="A3193" s="8">
        <v>10</v>
      </c>
      <c r="B3193" t="s" s="9">
        <v>39</v>
      </c>
      <c r="C3193" t="s" s="9">
        <v>64</v>
      </c>
      <c r="D3193" t="s" s="9">
        <v>57</v>
      </c>
      <c r="E3193" t="s" s="9">
        <v>71</v>
      </c>
      <c r="F3193" s="10">
        <v>39</v>
      </c>
      <c r="G3193" s="10">
        <v>5214931</v>
      </c>
      <c r="H3193" s="11" cm="1">
        <f t="array" ref="H3193">F3193/G3193*100000</f>
        <v>0.747852656152114</v>
      </c>
    </row>
    <row r="3194" ht="13" customHeight="1">
      <c r="A3194" s="8">
        <v>1</v>
      </c>
      <c r="B3194" t="s" s="9">
        <v>30</v>
      </c>
      <c r="C3194" t="s" s="9">
        <v>64</v>
      </c>
      <c r="D3194" t="s" s="9">
        <v>20</v>
      </c>
      <c r="E3194" t="s" s="9">
        <v>71</v>
      </c>
      <c r="F3194" s="10">
        <v>2128</v>
      </c>
      <c r="G3194" s="10">
        <v>2889689</v>
      </c>
      <c r="H3194" s="11" cm="1">
        <f t="array" ref="H3194">F3194/G3194*100000</f>
        <v>73.64114269736289</v>
      </c>
    </row>
    <row r="3195" ht="13" customHeight="1">
      <c r="A3195" s="8">
        <v>2</v>
      </c>
      <c r="B3195" t="s" s="9">
        <v>35</v>
      </c>
      <c r="C3195" t="s" s="9">
        <v>64</v>
      </c>
      <c r="D3195" t="s" s="9">
        <v>20</v>
      </c>
      <c r="E3195" t="s" s="9">
        <v>71</v>
      </c>
      <c r="F3195" s="10">
        <v>1955</v>
      </c>
      <c r="G3195" s="10">
        <v>2889689</v>
      </c>
      <c r="H3195" s="11" cm="1">
        <f t="array" ref="H3195">F3195/G3195*100000</f>
        <v>67.6543392731882</v>
      </c>
    </row>
    <row r="3196" ht="13" customHeight="1">
      <c r="A3196" s="8">
        <v>3</v>
      </c>
      <c r="B3196" t="s" s="9">
        <v>34</v>
      </c>
      <c r="C3196" t="s" s="9">
        <v>64</v>
      </c>
      <c r="D3196" t="s" s="9">
        <v>20</v>
      </c>
      <c r="E3196" t="s" s="9">
        <v>71</v>
      </c>
      <c r="F3196" s="10">
        <v>1022</v>
      </c>
      <c r="G3196" s="10">
        <v>2889689</v>
      </c>
      <c r="H3196" s="11" cm="1">
        <f t="array" ref="H3196">F3196/G3196*100000</f>
        <v>35.3671277428125</v>
      </c>
    </row>
    <row r="3197" ht="13" customHeight="1">
      <c r="A3197" s="8">
        <v>4</v>
      </c>
      <c r="B3197" t="s" s="9">
        <v>35</v>
      </c>
      <c r="C3197" t="s" s="9">
        <v>64</v>
      </c>
      <c r="D3197" t="s" s="9">
        <v>20</v>
      </c>
      <c r="E3197" t="s" s="9">
        <v>71</v>
      </c>
      <c r="F3197" s="10">
        <v>727</v>
      </c>
      <c r="G3197" s="10">
        <v>2889689</v>
      </c>
      <c r="H3197" s="11" cm="1">
        <f t="array" ref="H3197">F3197/G3197*100000</f>
        <v>25.1584167015897</v>
      </c>
    </row>
    <row r="3198" ht="13" customHeight="1">
      <c r="A3198" s="8">
        <v>5</v>
      </c>
      <c r="B3198" t="s" s="9">
        <v>30</v>
      </c>
      <c r="C3198" t="s" s="9">
        <v>64</v>
      </c>
      <c r="D3198" t="s" s="9">
        <v>20</v>
      </c>
      <c r="E3198" t="s" s="9">
        <v>71</v>
      </c>
      <c r="F3198" s="10">
        <v>535</v>
      </c>
      <c r="G3198" s="10">
        <v>2889689</v>
      </c>
      <c r="H3198" s="11" cm="1">
        <f t="array" ref="H3198">F3198/G3198*100000</f>
        <v>18.5141030747599</v>
      </c>
    </row>
    <row r="3199" ht="13" customHeight="1">
      <c r="A3199" s="8">
        <v>6</v>
      </c>
      <c r="B3199" t="s" s="9">
        <v>39</v>
      </c>
      <c r="C3199" t="s" s="9">
        <v>64</v>
      </c>
      <c r="D3199" t="s" s="9">
        <v>20</v>
      </c>
      <c r="E3199" t="s" s="9">
        <v>71</v>
      </c>
      <c r="F3199" s="10">
        <v>648</v>
      </c>
      <c r="G3199" s="10">
        <v>2889689</v>
      </c>
      <c r="H3199" s="11" cm="1">
        <f t="array" ref="H3199">F3199/G3199*100000</f>
        <v>22.4245584905504</v>
      </c>
    </row>
    <row r="3200" ht="13" customHeight="1">
      <c r="A3200" s="8">
        <v>7</v>
      </c>
      <c r="B3200" t="s" s="9">
        <v>36</v>
      </c>
      <c r="C3200" t="s" s="9">
        <v>64</v>
      </c>
      <c r="D3200" t="s" s="9">
        <v>20</v>
      </c>
      <c r="E3200" t="s" s="9">
        <v>71</v>
      </c>
      <c r="F3200" s="10">
        <v>460</v>
      </c>
      <c r="G3200" s="10">
        <v>2889689</v>
      </c>
      <c r="H3200" s="11" cm="1">
        <f t="array" ref="H3200">F3200/G3200*100000</f>
        <v>15.9186680642796</v>
      </c>
    </row>
    <row r="3201" ht="13" customHeight="1">
      <c r="A3201" s="8">
        <v>8</v>
      </c>
      <c r="B3201" t="s" s="9">
        <v>37</v>
      </c>
      <c r="C3201" t="s" s="9">
        <v>64</v>
      </c>
      <c r="D3201" t="s" s="9">
        <v>20</v>
      </c>
      <c r="E3201" t="s" s="9">
        <v>71</v>
      </c>
      <c r="F3201" s="10">
        <v>384</v>
      </c>
      <c r="G3201" s="10">
        <v>2889689</v>
      </c>
      <c r="H3201" s="11" cm="1">
        <f t="array" ref="H3201">F3201/G3201*100000</f>
        <v>13.2886272536595</v>
      </c>
    </row>
    <row r="3202" ht="13" customHeight="1">
      <c r="A3202" s="8">
        <v>9</v>
      </c>
      <c r="B3202" t="s" s="9">
        <v>37</v>
      </c>
      <c r="C3202" t="s" s="9">
        <v>64</v>
      </c>
      <c r="D3202" t="s" s="9">
        <v>20</v>
      </c>
      <c r="E3202" t="s" s="9">
        <v>71</v>
      </c>
      <c r="F3202" s="10">
        <v>454</v>
      </c>
      <c r="G3202" s="10">
        <v>2889689</v>
      </c>
      <c r="H3202" s="11" cm="1">
        <f t="array" ref="H3202">F3202/G3202*100000</f>
        <v>15.7110332634412</v>
      </c>
    </row>
    <row r="3203" ht="13" customHeight="1">
      <c r="A3203" s="8">
        <v>10</v>
      </c>
      <c r="B3203" t="s" s="9">
        <v>39</v>
      </c>
      <c r="C3203" t="s" s="9">
        <v>64</v>
      </c>
      <c r="D3203" t="s" s="9">
        <v>20</v>
      </c>
      <c r="E3203" t="s" s="9">
        <v>71</v>
      </c>
      <c r="F3203" s="10">
        <v>425</v>
      </c>
      <c r="G3203" s="10">
        <v>2889689</v>
      </c>
      <c r="H3203" s="11" cm="1">
        <f t="array" ref="H3203">F3203/G3203*100000</f>
        <v>14.7074650593887</v>
      </c>
    </row>
    <row r="3204" ht="13" customHeight="1">
      <c r="A3204" s="8">
        <v>1</v>
      </c>
      <c r="B3204" t="s" s="9">
        <v>30</v>
      </c>
      <c r="C3204" t="s" s="9">
        <v>64</v>
      </c>
      <c r="D3204" t="s" s="9">
        <v>21</v>
      </c>
      <c r="E3204" t="s" s="9">
        <v>71</v>
      </c>
      <c r="F3204" s="10">
        <v>2673</v>
      </c>
      <c r="G3204" s="10">
        <v>4635519</v>
      </c>
      <c r="H3204" s="11" cm="1">
        <f t="array" ref="H3204">F3204/G3204*100000</f>
        <v>57.663446099563</v>
      </c>
    </row>
    <row r="3205" ht="13" customHeight="1">
      <c r="A3205" s="8">
        <v>2</v>
      </c>
      <c r="B3205" t="s" s="9">
        <v>34</v>
      </c>
      <c r="C3205" t="s" s="9">
        <v>64</v>
      </c>
      <c r="D3205" t="s" s="9">
        <v>21</v>
      </c>
      <c r="E3205" t="s" s="9">
        <v>71</v>
      </c>
      <c r="F3205" s="10">
        <v>1548</v>
      </c>
      <c r="G3205" s="10">
        <v>4635519</v>
      </c>
      <c r="H3205" s="11" cm="1">
        <f t="array" ref="H3205">F3205/G3205*100000</f>
        <v>33.3943189532823</v>
      </c>
    </row>
    <row r="3206" ht="13" customHeight="1">
      <c r="A3206" s="8">
        <v>3</v>
      </c>
      <c r="B3206" t="s" s="9">
        <v>36</v>
      </c>
      <c r="C3206" t="s" s="9">
        <v>64</v>
      </c>
      <c r="D3206" t="s" s="9">
        <v>21</v>
      </c>
      <c r="E3206" t="s" s="9">
        <v>71</v>
      </c>
      <c r="F3206" s="10">
        <v>818</v>
      </c>
      <c r="G3206" s="10">
        <v>4635519</v>
      </c>
      <c r="H3206" s="11" cm="1">
        <f t="array" ref="H3206">F3206/G3206*100000</f>
        <v>17.646352005029</v>
      </c>
    </row>
    <row r="3207" ht="13" customHeight="1">
      <c r="A3207" s="8">
        <v>4</v>
      </c>
      <c r="B3207" t="s" s="9">
        <v>35</v>
      </c>
      <c r="C3207" t="s" s="9">
        <v>64</v>
      </c>
      <c r="D3207" t="s" s="9">
        <v>21</v>
      </c>
      <c r="E3207" t="s" s="9">
        <v>71</v>
      </c>
      <c r="F3207" s="10">
        <v>605</v>
      </c>
      <c r="G3207" s="10">
        <v>4635519</v>
      </c>
      <c r="H3207" s="11" cm="1">
        <f t="array" ref="H3207">F3207/G3207*100000</f>
        <v>13.0513972653332</v>
      </c>
    </row>
    <row r="3208" ht="13" customHeight="1">
      <c r="A3208" s="8">
        <v>5</v>
      </c>
      <c r="B3208" t="s" s="9">
        <v>36</v>
      </c>
      <c r="C3208" t="s" s="9">
        <v>64</v>
      </c>
      <c r="D3208" t="s" s="9">
        <v>21</v>
      </c>
      <c r="E3208" t="s" s="9">
        <v>71</v>
      </c>
      <c r="F3208" s="10">
        <v>528</v>
      </c>
      <c r="G3208" s="10">
        <v>4635519</v>
      </c>
      <c r="H3208" s="11" cm="1">
        <f t="array" ref="H3208">F3208/G3208*100000</f>
        <v>11.3903103406544</v>
      </c>
    </row>
    <row r="3209" ht="13" customHeight="1">
      <c r="A3209" s="8">
        <v>6</v>
      </c>
      <c r="B3209" t="s" s="9">
        <v>30</v>
      </c>
      <c r="C3209" t="s" s="9">
        <v>64</v>
      </c>
      <c r="D3209" t="s" s="9">
        <v>21</v>
      </c>
      <c r="E3209" t="s" s="9">
        <v>71</v>
      </c>
      <c r="F3209" s="10">
        <v>506</v>
      </c>
      <c r="G3209" s="10">
        <v>4635519</v>
      </c>
      <c r="H3209" s="11" cm="1">
        <f t="array" ref="H3209">F3209/G3209*100000</f>
        <v>10.9157140764605</v>
      </c>
    </row>
    <row r="3210" ht="13" customHeight="1">
      <c r="A3210" s="8">
        <v>7</v>
      </c>
      <c r="B3210" t="s" s="9">
        <v>45</v>
      </c>
      <c r="C3210" t="s" s="9">
        <v>64</v>
      </c>
      <c r="D3210" t="s" s="9">
        <v>21</v>
      </c>
      <c r="E3210" t="s" s="9">
        <v>71</v>
      </c>
      <c r="F3210" s="10">
        <v>339</v>
      </c>
      <c r="G3210" s="10">
        <v>4635519</v>
      </c>
      <c r="H3210" s="11" cm="1">
        <f t="array" ref="H3210">F3210/G3210*100000</f>
        <v>7.31309698007925</v>
      </c>
    </row>
    <row r="3211" ht="13" customHeight="1">
      <c r="A3211" s="8">
        <v>8</v>
      </c>
      <c r="B3211" t="s" s="9">
        <v>45</v>
      </c>
      <c r="C3211" t="s" s="9">
        <v>64</v>
      </c>
      <c r="D3211" t="s" s="9">
        <v>21</v>
      </c>
      <c r="E3211" t="s" s="9">
        <v>71</v>
      </c>
      <c r="F3211" s="10">
        <v>341</v>
      </c>
      <c r="G3211" s="10">
        <v>4635519</v>
      </c>
      <c r="H3211" s="11" cm="1">
        <f t="array" ref="H3211">F3211/G3211*100000</f>
        <v>7.35624209500597</v>
      </c>
    </row>
    <row r="3212" ht="13" customHeight="1">
      <c r="A3212" s="8">
        <v>9</v>
      </c>
      <c r="B3212" t="s" s="9">
        <v>34</v>
      </c>
      <c r="C3212" t="s" s="9">
        <v>64</v>
      </c>
      <c r="D3212" t="s" s="9">
        <v>21</v>
      </c>
      <c r="E3212" t="s" s="9">
        <v>71</v>
      </c>
      <c r="F3212" s="10">
        <v>365</v>
      </c>
      <c r="G3212" s="10">
        <v>4635519</v>
      </c>
      <c r="H3212" s="11" cm="1">
        <f t="array" ref="H3212">F3212/G3212*100000</f>
        <v>7.87398347412663</v>
      </c>
    </row>
    <row r="3213" ht="13" customHeight="1">
      <c r="A3213" s="8">
        <v>10</v>
      </c>
      <c r="B3213" t="s" s="9">
        <v>30</v>
      </c>
      <c r="C3213" t="s" s="9">
        <v>64</v>
      </c>
      <c r="D3213" t="s" s="9">
        <v>21</v>
      </c>
      <c r="E3213" t="s" s="9">
        <v>71</v>
      </c>
      <c r="F3213" s="10">
        <v>329</v>
      </c>
      <c r="G3213" s="10">
        <v>4635519</v>
      </c>
      <c r="H3213" s="11" cm="1">
        <f t="array" ref="H3213">F3213/G3213*100000</f>
        <v>7.09737140544565</v>
      </c>
    </row>
    <row r="3214" ht="13.65" customHeight="1">
      <c r="A3214" s="8">
        <v>1</v>
      </c>
      <c r="B3214" t="s" s="9">
        <v>30</v>
      </c>
      <c r="C3214" t="s" s="9">
        <v>64</v>
      </c>
      <c r="D3214" t="s" s="9">
        <v>58</v>
      </c>
      <c r="E3214" t="s" s="9">
        <v>71</v>
      </c>
      <c r="F3214" s="10">
        <v>3912</v>
      </c>
      <c r="G3214" s="12"/>
      <c r="H3214" s="13"/>
    </row>
    <row r="3215" ht="13.65" customHeight="1">
      <c r="A3215" s="8">
        <v>2</v>
      </c>
      <c r="B3215" t="s" s="9">
        <v>35</v>
      </c>
      <c r="C3215" t="s" s="9">
        <v>64</v>
      </c>
      <c r="D3215" t="s" s="9">
        <v>58</v>
      </c>
      <c r="E3215" t="s" s="9">
        <v>71</v>
      </c>
      <c r="F3215" s="10">
        <v>3829</v>
      </c>
      <c r="G3215" s="14"/>
      <c r="H3215" s="15"/>
    </row>
    <row r="3216" ht="13.65" customHeight="1">
      <c r="A3216" s="8">
        <v>3</v>
      </c>
      <c r="B3216" t="s" s="9">
        <v>35</v>
      </c>
      <c r="C3216" t="s" s="9">
        <v>64</v>
      </c>
      <c r="D3216" t="s" s="9">
        <v>58</v>
      </c>
      <c r="E3216" t="s" s="9">
        <v>71</v>
      </c>
      <c r="F3216" s="10">
        <v>1566</v>
      </c>
      <c r="G3216" s="14"/>
      <c r="H3216" s="15"/>
    </row>
    <row r="3217" ht="13.65" customHeight="1">
      <c r="A3217" s="8">
        <v>4</v>
      </c>
      <c r="B3217" t="s" s="9">
        <v>30</v>
      </c>
      <c r="C3217" t="s" s="9">
        <v>64</v>
      </c>
      <c r="D3217" t="s" s="9">
        <v>58</v>
      </c>
      <c r="E3217" t="s" s="9">
        <v>71</v>
      </c>
      <c r="F3217" s="10">
        <v>729</v>
      </c>
      <c r="G3217" s="14"/>
      <c r="H3217" s="15"/>
    </row>
    <row r="3218" ht="13.65" customHeight="1">
      <c r="A3218" s="8">
        <v>5</v>
      </c>
      <c r="B3218" t="s" s="9">
        <v>34</v>
      </c>
      <c r="C3218" t="s" s="9">
        <v>64</v>
      </c>
      <c r="D3218" t="s" s="9">
        <v>58</v>
      </c>
      <c r="E3218" t="s" s="9">
        <v>71</v>
      </c>
      <c r="F3218" s="10">
        <v>857</v>
      </c>
      <c r="G3218" s="14"/>
      <c r="H3218" s="15"/>
    </row>
    <row r="3219" ht="13.65" customHeight="1">
      <c r="A3219" s="8">
        <v>6</v>
      </c>
      <c r="B3219" t="s" s="9">
        <v>30</v>
      </c>
      <c r="C3219" t="s" s="9">
        <v>64</v>
      </c>
      <c r="D3219" t="s" s="9">
        <v>58</v>
      </c>
      <c r="E3219" t="s" s="9">
        <v>71</v>
      </c>
      <c r="F3219" s="10">
        <v>441</v>
      </c>
      <c r="G3219" s="14"/>
      <c r="H3219" s="15"/>
    </row>
    <row r="3220" ht="13.65" customHeight="1">
      <c r="A3220" s="8">
        <v>7</v>
      </c>
      <c r="B3220" t="s" s="9">
        <v>36</v>
      </c>
      <c r="C3220" t="s" s="9">
        <v>64</v>
      </c>
      <c r="D3220" t="s" s="9">
        <v>58</v>
      </c>
      <c r="E3220" t="s" s="9">
        <v>71</v>
      </c>
      <c r="F3220" s="10">
        <v>467</v>
      </c>
      <c r="G3220" s="14"/>
      <c r="H3220" s="15"/>
    </row>
    <row r="3221" ht="13.65" customHeight="1">
      <c r="A3221" s="8">
        <v>8</v>
      </c>
      <c r="B3221" t="s" s="9">
        <v>36</v>
      </c>
      <c r="C3221" t="s" s="9">
        <v>64</v>
      </c>
      <c r="D3221" t="s" s="9">
        <v>58</v>
      </c>
      <c r="E3221" t="s" s="9">
        <v>71</v>
      </c>
      <c r="F3221" s="10">
        <v>463</v>
      </c>
      <c r="G3221" s="14"/>
      <c r="H3221" s="15"/>
    </row>
    <row r="3222" ht="13.65" customHeight="1">
      <c r="A3222" s="8">
        <v>9</v>
      </c>
      <c r="B3222" t="s" s="9">
        <v>30</v>
      </c>
      <c r="C3222" t="s" s="9">
        <v>64</v>
      </c>
      <c r="D3222" t="s" s="9">
        <v>58</v>
      </c>
      <c r="E3222" t="s" s="9">
        <v>71</v>
      </c>
      <c r="F3222" s="10">
        <v>386</v>
      </c>
      <c r="G3222" s="14"/>
      <c r="H3222" s="15"/>
    </row>
    <row r="3223" ht="13.65" customHeight="1">
      <c r="A3223" s="8">
        <v>10</v>
      </c>
      <c r="B3223" t="s" s="9">
        <v>39</v>
      </c>
      <c r="C3223" t="s" s="9">
        <v>64</v>
      </c>
      <c r="D3223" t="s" s="9">
        <v>58</v>
      </c>
      <c r="E3223" t="s" s="9">
        <v>71</v>
      </c>
      <c r="F3223" s="10">
        <v>445</v>
      </c>
      <c r="G3223" s="16"/>
      <c r="H3223" s="17"/>
    </row>
    <row r="3224" ht="13" customHeight="1">
      <c r="A3224" s="8">
        <v>1</v>
      </c>
      <c r="B3224" t="s" s="9">
        <v>34</v>
      </c>
      <c r="C3224" t="s" s="9">
        <v>65</v>
      </c>
      <c r="D3224" t="s" s="9">
        <v>32</v>
      </c>
      <c r="E3224" t="s" s="9">
        <v>71</v>
      </c>
      <c r="F3224" s="10">
        <v>15847</v>
      </c>
      <c r="G3224" s="10">
        <v>14521657</v>
      </c>
      <c r="H3224" s="11" cm="1">
        <f t="array" ref="H3224">F3224/G3224*100000</f>
        <v>109.126665090630</v>
      </c>
    </row>
    <row r="3225" ht="13" customHeight="1">
      <c r="A3225" s="8">
        <v>2</v>
      </c>
      <c r="B3225" t="s" s="9">
        <v>30</v>
      </c>
      <c r="C3225" t="s" s="9">
        <v>65</v>
      </c>
      <c r="D3225" t="s" s="9">
        <v>32</v>
      </c>
      <c r="E3225" t="s" s="9">
        <v>71</v>
      </c>
      <c r="F3225" s="10">
        <v>13784</v>
      </c>
      <c r="G3225" s="10">
        <v>14521657</v>
      </c>
      <c r="H3225" s="11" cm="1">
        <f t="array" ref="H3225">F3225/G3225*100000</f>
        <v>94.9202973186875</v>
      </c>
    </row>
    <row r="3226" ht="13" customHeight="1">
      <c r="A3226" s="8">
        <v>3</v>
      </c>
      <c r="B3226" t="s" s="9">
        <v>35</v>
      </c>
      <c r="C3226" t="s" s="9">
        <v>65</v>
      </c>
      <c r="D3226" t="s" s="9">
        <v>32</v>
      </c>
      <c r="E3226" t="s" s="9">
        <v>71</v>
      </c>
      <c r="F3226" s="10">
        <v>8519</v>
      </c>
      <c r="G3226" s="10">
        <v>14521657</v>
      </c>
      <c r="H3226" s="11" cm="1">
        <f t="array" ref="H3226">F3226/G3226*100000</f>
        <v>58.6641042409967</v>
      </c>
    </row>
    <row r="3227" ht="13" customHeight="1">
      <c r="A3227" s="8">
        <v>4</v>
      </c>
      <c r="B3227" t="s" s="9">
        <v>37</v>
      </c>
      <c r="C3227" t="s" s="9">
        <v>65</v>
      </c>
      <c r="D3227" t="s" s="9">
        <v>32</v>
      </c>
      <c r="E3227" t="s" s="9">
        <v>71</v>
      </c>
      <c r="F3227" s="10">
        <v>5196</v>
      </c>
      <c r="G3227" s="10">
        <v>14521657</v>
      </c>
      <c r="H3227" s="11" cm="1">
        <f t="array" ref="H3227">F3227/G3227*100000</f>
        <v>35.781040689778</v>
      </c>
    </row>
    <row r="3228" ht="13" customHeight="1">
      <c r="A3228" s="8">
        <v>5</v>
      </c>
      <c r="B3228" t="s" s="9">
        <v>37</v>
      </c>
      <c r="C3228" t="s" s="9">
        <v>65</v>
      </c>
      <c r="D3228" t="s" s="9">
        <v>32</v>
      </c>
      <c r="E3228" t="s" s="9">
        <v>71</v>
      </c>
      <c r="F3228" s="10">
        <v>3514</v>
      </c>
      <c r="G3228" s="10">
        <v>14521657</v>
      </c>
      <c r="H3228" s="11" cm="1">
        <f t="array" ref="H3228">F3228/G3228*100000</f>
        <v>24.1983404510932</v>
      </c>
    </row>
    <row r="3229" ht="13" customHeight="1">
      <c r="A3229" s="8">
        <v>6</v>
      </c>
      <c r="B3229" t="s" s="9">
        <v>39</v>
      </c>
      <c r="C3229" t="s" s="9">
        <v>65</v>
      </c>
      <c r="D3229" t="s" s="9">
        <v>32</v>
      </c>
      <c r="E3229" t="s" s="9">
        <v>71</v>
      </c>
      <c r="F3229" s="10">
        <v>4098</v>
      </c>
      <c r="G3229" s="10">
        <v>14521657</v>
      </c>
      <c r="H3229" s="11" cm="1">
        <f t="array" ref="H3229">F3229/G3229*100000</f>
        <v>28.2199200821229</v>
      </c>
    </row>
    <row r="3230" ht="13" customHeight="1">
      <c r="A3230" s="8">
        <v>7</v>
      </c>
      <c r="B3230" t="s" s="9">
        <v>36</v>
      </c>
      <c r="C3230" t="s" s="9">
        <v>65</v>
      </c>
      <c r="D3230" t="s" s="9">
        <v>32</v>
      </c>
      <c r="E3230" t="s" s="9">
        <v>71</v>
      </c>
      <c r="F3230" s="10">
        <v>2060</v>
      </c>
      <c r="G3230" s="10">
        <v>14521657</v>
      </c>
      <c r="H3230" s="11" cm="1">
        <f t="array" ref="H3230">F3230/G3230*100000</f>
        <v>14.1857089724678</v>
      </c>
    </row>
    <row r="3231" ht="13" customHeight="1">
      <c r="A3231" s="8">
        <v>8</v>
      </c>
      <c r="B3231" t="s" s="9">
        <v>35</v>
      </c>
      <c r="C3231" t="s" s="9">
        <v>65</v>
      </c>
      <c r="D3231" t="s" s="9">
        <v>32</v>
      </c>
      <c r="E3231" t="s" s="9">
        <v>71</v>
      </c>
      <c r="F3231" s="10">
        <v>2041</v>
      </c>
      <c r="G3231" s="10">
        <v>14521657</v>
      </c>
      <c r="H3231" s="11" cm="1">
        <f t="array" ref="H3231">F3231/G3231*100000</f>
        <v>14.0548699091295</v>
      </c>
    </row>
    <row r="3232" ht="13" customHeight="1">
      <c r="A3232" s="8">
        <v>9</v>
      </c>
      <c r="B3232" t="s" s="9">
        <v>30</v>
      </c>
      <c r="C3232" t="s" s="9">
        <v>65</v>
      </c>
      <c r="D3232" t="s" s="9">
        <v>32</v>
      </c>
      <c r="E3232" t="s" s="9">
        <v>71</v>
      </c>
      <c r="F3232" s="10">
        <v>1515</v>
      </c>
      <c r="G3232" s="10">
        <v>14521657</v>
      </c>
      <c r="H3232" s="11" cm="1">
        <f t="array" ref="H3232">F3232/G3232*100000</f>
        <v>10.4326937346062</v>
      </c>
    </row>
    <row r="3233" ht="13" customHeight="1">
      <c r="A3233" s="8">
        <v>10</v>
      </c>
      <c r="B3233" t="s" s="9">
        <v>30</v>
      </c>
      <c r="C3233" t="s" s="9">
        <v>65</v>
      </c>
      <c r="D3233" t="s" s="9">
        <v>32</v>
      </c>
      <c r="E3233" t="s" s="9">
        <v>71</v>
      </c>
      <c r="F3233" s="10">
        <v>1904</v>
      </c>
      <c r="G3233" s="10">
        <v>14521657</v>
      </c>
      <c r="H3233" s="11" cm="1">
        <f t="array" ref="H3233">F3233/G3233*100000</f>
        <v>13.1114513997955</v>
      </c>
    </row>
    <row r="3234" ht="13" customHeight="1">
      <c r="A3234" s="8">
        <v>1</v>
      </c>
      <c r="B3234" t="s" s="9">
        <v>30</v>
      </c>
      <c r="C3234" t="s" s="9">
        <v>65</v>
      </c>
      <c r="D3234" t="s" s="9">
        <v>38</v>
      </c>
      <c r="E3234" t="s" s="9">
        <v>71</v>
      </c>
      <c r="F3234" s="10">
        <v>7058</v>
      </c>
      <c r="G3234" s="10">
        <v>1874281</v>
      </c>
      <c r="H3234" s="11" cm="1">
        <f t="array" ref="H3234">F3234/G3234*100000</f>
        <v>376.571069119305</v>
      </c>
    </row>
    <row r="3235" ht="13" customHeight="1">
      <c r="A3235" s="8">
        <v>2</v>
      </c>
      <c r="B3235" t="s" s="9">
        <v>34</v>
      </c>
      <c r="C3235" t="s" s="9">
        <v>65</v>
      </c>
      <c r="D3235" t="s" s="9">
        <v>38</v>
      </c>
      <c r="E3235" t="s" s="9">
        <v>71</v>
      </c>
      <c r="F3235" s="10">
        <v>4549</v>
      </c>
      <c r="G3235" s="10">
        <v>1874281</v>
      </c>
      <c r="H3235" s="11" cm="1">
        <f t="array" ref="H3235">F3235/G3235*100000</f>
        <v>242.706403148727</v>
      </c>
    </row>
    <row r="3236" ht="13" customHeight="1">
      <c r="A3236" s="8">
        <v>3</v>
      </c>
      <c r="B3236" t="s" s="9">
        <v>35</v>
      </c>
      <c r="C3236" t="s" s="9">
        <v>65</v>
      </c>
      <c r="D3236" t="s" s="9">
        <v>38</v>
      </c>
      <c r="E3236" t="s" s="9">
        <v>71</v>
      </c>
      <c r="F3236" s="10">
        <v>736</v>
      </c>
      <c r="G3236" s="10">
        <v>1874281</v>
      </c>
      <c r="H3236" s="11" cm="1">
        <f t="array" ref="H3236">F3236/G3236*100000</f>
        <v>39.268391452509</v>
      </c>
    </row>
    <row r="3237" ht="13" customHeight="1">
      <c r="A3237" s="8">
        <v>4</v>
      </c>
      <c r="B3237" t="s" s="9">
        <v>37</v>
      </c>
      <c r="C3237" t="s" s="9">
        <v>65</v>
      </c>
      <c r="D3237" t="s" s="9">
        <v>38</v>
      </c>
      <c r="E3237" t="s" s="9">
        <v>71</v>
      </c>
      <c r="F3237" s="10">
        <v>1219</v>
      </c>
      <c r="G3237" s="10">
        <v>1874281</v>
      </c>
      <c r="H3237" s="11" cm="1">
        <f t="array" ref="H3237">F3237/G3237*100000</f>
        <v>65.03827334321799</v>
      </c>
    </row>
    <row r="3238" ht="13" customHeight="1">
      <c r="A3238" s="8">
        <v>5</v>
      </c>
      <c r="B3238" t="s" s="9">
        <v>41</v>
      </c>
      <c r="C3238" t="s" s="9">
        <v>65</v>
      </c>
      <c r="D3238" t="s" s="9">
        <v>38</v>
      </c>
      <c r="E3238" t="s" s="9">
        <v>71</v>
      </c>
      <c r="F3238" s="10">
        <v>1082</v>
      </c>
      <c r="G3238" s="10">
        <v>1874281</v>
      </c>
      <c r="H3238" s="11" cm="1">
        <f t="array" ref="H3238">F3238/G3238*100000</f>
        <v>57.728803738607</v>
      </c>
    </row>
    <row r="3239" ht="13" customHeight="1">
      <c r="A3239" s="8">
        <v>6</v>
      </c>
      <c r="B3239" t="s" s="9">
        <v>35</v>
      </c>
      <c r="C3239" t="s" s="9">
        <v>65</v>
      </c>
      <c r="D3239" t="s" s="9">
        <v>38</v>
      </c>
      <c r="E3239" t="s" s="9">
        <v>71</v>
      </c>
      <c r="F3239" s="10">
        <v>765</v>
      </c>
      <c r="G3239" s="10">
        <v>1874281</v>
      </c>
      <c r="H3239" s="11" cm="1">
        <f t="array" ref="H3239">F3239/G3239*100000</f>
        <v>40.8156514418062</v>
      </c>
    </row>
    <row r="3240" ht="13" customHeight="1">
      <c r="A3240" s="8">
        <v>7</v>
      </c>
      <c r="B3240" t="s" s="9">
        <v>39</v>
      </c>
      <c r="C3240" t="s" s="9">
        <v>65</v>
      </c>
      <c r="D3240" t="s" s="9">
        <v>38</v>
      </c>
      <c r="E3240" t="s" s="9">
        <v>71</v>
      </c>
      <c r="F3240" s="10">
        <v>961</v>
      </c>
      <c r="G3240" s="10">
        <v>1874281</v>
      </c>
      <c r="H3240" s="11" cm="1">
        <f t="array" ref="H3240">F3240/G3240*100000</f>
        <v>51.2729948177461</v>
      </c>
    </row>
    <row r="3241" ht="13" customHeight="1">
      <c r="A3241" s="8">
        <v>8</v>
      </c>
      <c r="B3241" t="s" s="9">
        <v>30</v>
      </c>
      <c r="C3241" t="s" s="9">
        <v>65</v>
      </c>
      <c r="D3241" t="s" s="9">
        <v>38</v>
      </c>
      <c r="E3241" t="s" s="9">
        <v>71</v>
      </c>
      <c r="F3241" s="10">
        <v>685</v>
      </c>
      <c r="G3241" s="10">
        <v>1874281</v>
      </c>
      <c r="H3241" s="11" cm="1">
        <f t="array" ref="H3241">F3241/G3241*100000</f>
        <v>36.5473480230552</v>
      </c>
    </row>
    <row r="3242" ht="13" customHeight="1">
      <c r="A3242" s="8">
        <v>9</v>
      </c>
      <c r="B3242" t="s" s="9">
        <v>39</v>
      </c>
      <c r="C3242" t="s" s="9">
        <v>65</v>
      </c>
      <c r="D3242" t="s" s="9">
        <v>38</v>
      </c>
      <c r="E3242" t="s" s="9">
        <v>71</v>
      </c>
      <c r="F3242" s="10">
        <v>853</v>
      </c>
      <c r="G3242" s="10">
        <v>1874281</v>
      </c>
      <c r="H3242" s="11" cm="1">
        <f t="array" ref="H3242">F3242/G3242*100000</f>
        <v>45.5107852024323</v>
      </c>
    </row>
    <row r="3243" ht="13" customHeight="1">
      <c r="A3243" s="8">
        <v>10</v>
      </c>
      <c r="B3243" t="s" s="9">
        <v>37</v>
      </c>
      <c r="C3243" t="s" s="9">
        <v>65</v>
      </c>
      <c r="D3243" t="s" s="9">
        <v>38</v>
      </c>
      <c r="E3243" t="s" s="9">
        <v>71</v>
      </c>
      <c r="F3243" s="10">
        <v>792</v>
      </c>
      <c r="G3243" s="10">
        <v>1874281</v>
      </c>
      <c r="H3243" s="11" cm="1">
        <f t="array" ref="H3243">F3243/G3243*100000</f>
        <v>42.2562038456347</v>
      </c>
    </row>
    <row r="3244" ht="13" customHeight="1">
      <c r="A3244" s="8">
        <v>1</v>
      </c>
      <c r="B3244" t="s" s="9">
        <v>30</v>
      </c>
      <c r="C3244" t="s" s="9">
        <v>65</v>
      </c>
      <c r="D3244" t="s" s="9">
        <v>42</v>
      </c>
      <c r="E3244" t="s" s="9">
        <v>71</v>
      </c>
      <c r="F3244" s="10">
        <v>3050</v>
      </c>
      <c r="G3244" s="10">
        <v>5458063</v>
      </c>
      <c r="H3244" s="11" cm="1">
        <f t="array" ref="H3244">F3244/G3244*100000</f>
        <v>55.8806301796077</v>
      </c>
    </row>
    <row r="3245" ht="13" customHeight="1">
      <c r="A3245" s="8">
        <v>2</v>
      </c>
      <c r="B3245" t="s" s="9">
        <v>35</v>
      </c>
      <c r="C3245" t="s" s="9">
        <v>65</v>
      </c>
      <c r="D3245" t="s" s="9">
        <v>42</v>
      </c>
      <c r="E3245" t="s" s="9">
        <v>71</v>
      </c>
      <c r="F3245" s="10">
        <v>2476</v>
      </c>
      <c r="G3245" s="10">
        <v>5458063</v>
      </c>
      <c r="H3245" s="11" cm="1">
        <f t="array" ref="H3245">F3245/G3245*100000</f>
        <v>45.3640787949864</v>
      </c>
    </row>
    <row r="3246" ht="13" customHeight="1">
      <c r="A3246" s="8">
        <v>3</v>
      </c>
      <c r="B3246" t="s" s="9">
        <v>34</v>
      </c>
      <c r="C3246" t="s" s="9">
        <v>65</v>
      </c>
      <c r="D3246" t="s" s="9">
        <v>42</v>
      </c>
      <c r="E3246" t="s" s="9">
        <v>71</v>
      </c>
      <c r="F3246" s="10">
        <v>2260</v>
      </c>
      <c r="G3246" s="10">
        <v>5458063</v>
      </c>
      <c r="H3246" s="11" cm="1">
        <f t="array" ref="H3246">F3246/G3246*100000</f>
        <v>41.4066308871847</v>
      </c>
    </row>
    <row r="3247" ht="13" customHeight="1">
      <c r="A3247" s="8">
        <v>4</v>
      </c>
      <c r="B3247" t="s" s="9">
        <v>39</v>
      </c>
      <c r="C3247" t="s" s="9">
        <v>65</v>
      </c>
      <c r="D3247" t="s" s="9">
        <v>42</v>
      </c>
      <c r="E3247" t="s" s="9">
        <v>71</v>
      </c>
      <c r="F3247" s="10">
        <v>1015</v>
      </c>
      <c r="G3247" s="10">
        <v>5458063</v>
      </c>
      <c r="H3247" s="11" cm="1">
        <f t="array" ref="H3247">F3247/G3247*100000</f>
        <v>18.5963408630498</v>
      </c>
    </row>
    <row r="3248" ht="13" customHeight="1">
      <c r="A3248" s="8">
        <v>5</v>
      </c>
      <c r="B3248" t="s" s="9">
        <v>30</v>
      </c>
      <c r="C3248" t="s" s="9">
        <v>65</v>
      </c>
      <c r="D3248" t="s" s="9">
        <v>42</v>
      </c>
      <c r="E3248" t="s" s="9">
        <v>71</v>
      </c>
      <c r="F3248" s="10">
        <v>741</v>
      </c>
      <c r="G3248" s="10">
        <v>5458063</v>
      </c>
      <c r="H3248" s="11" cm="1">
        <f t="array" ref="H3248">F3248/G3248*100000</f>
        <v>13.5762449059309</v>
      </c>
    </row>
    <row r="3249" ht="13" customHeight="1">
      <c r="A3249" s="8">
        <v>6</v>
      </c>
      <c r="B3249" t="s" s="9">
        <v>37</v>
      </c>
      <c r="C3249" t="s" s="9">
        <v>65</v>
      </c>
      <c r="D3249" t="s" s="9">
        <v>42</v>
      </c>
      <c r="E3249" t="s" s="9">
        <v>71</v>
      </c>
      <c r="F3249" s="10">
        <v>767</v>
      </c>
      <c r="G3249" s="10">
        <v>5458063</v>
      </c>
      <c r="H3249" s="11" cm="1">
        <f t="array" ref="H3249">F3249/G3249*100000</f>
        <v>14.0526043763145</v>
      </c>
    </row>
    <row r="3250" ht="13" customHeight="1">
      <c r="A3250" s="8">
        <v>7</v>
      </c>
      <c r="B3250" t="s" s="9">
        <v>36</v>
      </c>
      <c r="C3250" t="s" s="9">
        <v>65</v>
      </c>
      <c r="D3250" t="s" s="9">
        <v>42</v>
      </c>
      <c r="E3250" t="s" s="9">
        <v>71</v>
      </c>
      <c r="F3250" s="10">
        <v>447</v>
      </c>
      <c r="G3250" s="10">
        <v>5458063</v>
      </c>
      <c r="H3250" s="11" cm="1">
        <f t="array" ref="H3250">F3250/G3250*100000</f>
        <v>8.18971858697857</v>
      </c>
    </row>
    <row r="3251" ht="13" customHeight="1">
      <c r="A3251" s="8">
        <v>8</v>
      </c>
      <c r="B3251" t="s" s="9">
        <v>36</v>
      </c>
      <c r="C3251" t="s" s="9">
        <v>65</v>
      </c>
      <c r="D3251" t="s" s="9">
        <v>42</v>
      </c>
      <c r="E3251" t="s" s="9">
        <v>71</v>
      </c>
      <c r="F3251" s="10">
        <v>519</v>
      </c>
      <c r="G3251" s="10">
        <v>5458063</v>
      </c>
      <c r="H3251" s="11" cm="1">
        <f t="array" ref="H3251">F3251/G3251*100000</f>
        <v>9.50886788957914</v>
      </c>
    </row>
    <row r="3252" ht="13" customHeight="1">
      <c r="A3252" s="8">
        <v>9</v>
      </c>
      <c r="B3252" t="s" s="9">
        <v>35</v>
      </c>
      <c r="C3252" t="s" s="9">
        <v>65</v>
      </c>
      <c r="D3252" t="s" s="9">
        <v>42</v>
      </c>
      <c r="E3252" t="s" s="9">
        <v>71</v>
      </c>
      <c r="F3252" s="10">
        <v>326</v>
      </c>
      <c r="G3252" s="10">
        <v>5458063</v>
      </c>
      <c r="H3252" s="11" cm="1">
        <f t="array" ref="H3252">F3252/G3252*100000</f>
        <v>5.97281489788593</v>
      </c>
    </row>
    <row r="3253" ht="13" customHeight="1">
      <c r="A3253" s="8">
        <v>10</v>
      </c>
      <c r="B3253" t="s" s="9">
        <v>30</v>
      </c>
      <c r="C3253" t="s" s="9">
        <v>65</v>
      </c>
      <c r="D3253" t="s" s="9">
        <v>42</v>
      </c>
      <c r="E3253" t="s" s="9">
        <v>71</v>
      </c>
      <c r="F3253" s="10">
        <v>346</v>
      </c>
      <c r="G3253" s="10">
        <v>5458063</v>
      </c>
      <c r="H3253" s="11" cm="1">
        <f t="array" ref="H3253">F3253/G3253*100000</f>
        <v>6.33924525971943</v>
      </c>
    </row>
    <row r="3254" ht="13" customHeight="1">
      <c r="A3254" s="8">
        <v>1</v>
      </c>
      <c r="B3254" t="s" s="9">
        <v>30</v>
      </c>
      <c r="C3254" t="s" s="9">
        <v>65</v>
      </c>
      <c r="D3254" t="s" s="9">
        <v>43</v>
      </c>
      <c r="E3254" t="s" s="9">
        <v>71</v>
      </c>
      <c r="F3254" s="10">
        <v>3721</v>
      </c>
      <c r="G3254" s="10">
        <v>3817144</v>
      </c>
      <c r="H3254" s="11" cm="1">
        <f t="array" ref="H3254">F3254/G3254*100000</f>
        <v>97.4812582391442</v>
      </c>
    </row>
    <row r="3255" ht="13" customHeight="1">
      <c r="A3255" s="8">
        <v>2</v>
      </c>
      <c r="B3255" t="s" s="9">
        <v>34</v>
      </c>
      <c r="C3255" t="s" s="9">
        <v>65</v>
      </c>
      <c r="D3255" t="s" s="9">
        <v>43</v>
      </c>
      <c r="E3255" t="s" s="9">
        <v>71</v>
      </c>
      <c r="F3255" s="10">
        <v>1614</v>
      </c>
      <c r="G3255" s="10">
        <v>3817144</v>
      </c>
      <c r="H3255" s="11" cm="1">
        <f t="array" ref="H3255">F3255/G3255*100000</f>
        <v>42.2829214721792</v>
      </c>
    </row>
    <row r="3256" ht="13" customHeight="1">
      <c r="A3256" s="8">
        <v>3</v>
      </c>
      <c r="B3256" t="s" s="9">
        <v>39</v>
      </c>
      <c r="C3256" t="s" s="9">
        <v>65</v>
      </c>
      <c r="D3256" t="s" s="9">
        <v>43</v>
      </c>
      <c r="E3256" t="s" s="9">
        <v>71</v>
      </c>
      <c r="F3256" s="10">
        <v>937</v>
      </c>
      <c r="G3256" s="10">
        <v>3817144</v>
      </c>
      <c r="H3256" s="11" cm="1">
        <f t="array" ref="H3256">F3256/G3256*100000</f>
        <v>24.5471483391771</v>
      </c>
    </row>
    <row r="3257" ht="13" customHeight="1">
      <c r="A3257" s="8">
        <v>4</v>
      </c>
      <c r="B3257" t="s" s="9">
        <v>36</v>
      </c>
      <c r="C3257" t="s" s="9">
        <v>65</v>
      </c>
      <c r="D3257" t="s" s="9">
        <v>43</v>
      </c>
      <c r="E3257" t="s" s="9">
        <v>71</v>
      </c>
      <c r="F3257" s="10">
        <v>621</v>
      </c>
      <c r="G3257" s="10">
        <v>3817144</v>
      </c>
      <c r="H3257" s="11" cm="1">
        <f t="array" ref="H3257">F3257/G3257*100000</f>
        <v>16.2687077039797</v>
      </c>
    </row>
    <row r="3258" ht="13" customHeight="1">
      <c r="A3258" s="8">
        <v>5</v>
      </c>
      <c r="B3258" t="s" s="9">
        <v>30</v>
      </c>
      <c r="C3258" t="s" s="9">
        <v>65</v>
      </c>
      <c r="D3258" t="s" s="9">
        <v>43</v>
      </c>
      <c r="E3258" t="s" s="9">
        <v>71</v>
      </c>
      <c r="F3258" s="10">
        <v>480</v>
      </c>
      <c r="G3258" s="10">
        <v>3817144</v>
      </c>
      <c r="H3258" s="11" cm="1">
        <f t="array" ref="H3258">F3258/G3258*100000</f>
        <v>12.5748465344771</v>
      </c>
    </row>
    <row r="3259" ht="13" customHeight="1">
      <c r="A3259" s="8">
        <v>6</v>
      </c>
      <c r="B3259" t="s" s="9">
        <v>35</v>
      </c>
      <c r="C3259" t="s" s="9">
        <v>65</v>
      </c>
      <c r="D3259" t="s" s="9">
        <v>43</v>
      </c>
      <c r="E3259" t="s" s="9">
        <v>71</v>
      </c>
      <c r="F3259" s="10">
        <v>327</v>
      </c>
      <c r="G3259" s="10">
        <v>3817144</v>
      </c>
      <c r="H3259" s="11" cm="1">
        <f t="array" ref="H3259">F3259/G3259*100000</f>
        <v>8.566614201612509</v>
      </c>
    </row>
    <row r="3260" ht="13" customHeight="1">
      <c r="A3260" s="8">
        <v>7</v>
      </c>
      <c r="B3260" t="s" s="9">
        <v>37</v>
      </c>
      <c r="C3260" t="s" s="9">
        <v>65</v>
      </c>
      <c r="D3260" t="s" s="9">
        <v>43</v>
      </c>
      <c r="E3260" t="s" s="9">
        <v>71</v>
      </c>
      <c r="F3260" s="10">
        <v>552</v>
      </c>
      <c r="G3260" s="10">
        <v>3817144</v>
      </c>
      <c r="H3260" s="11" cm="1">
        <f t="array" ref="H3260">F3260/G3260*100000</f>
        <v>14.4610735146486</v>
      </c>
    </row>
    <row r="3261" ht="13" customHeight="1">
      <c r="A3261" s="8">
        <v>8</v>
      </c>
      <c r="B3261" t="s" s="9">
        <v>45</v>
      </c>
      <c r="C3261" t="s" s="9">
        <v>65</v>
      </c>
      <c r="D3261" t="s" s="9">
        <v>43</v>
      </c>
      <c r="E3261" t="s" s="9">
        <v>71</v>
      </c>
      <c r="F3261" s="10">
        <v>462</v>
      </c>
      <c r="G3261" s="10">
        <v>3817144</v>
      </c>
      <c r="H3261" s="11" cm="1">
        <f t="array" ref="H3261">F3261/G3261*100000</f>
        <v>12.1032897894342</v>
      </c>
    </row>
    <row r="3262" ht="13" customHeight="1">
      <c r="A3262" s="8">
        <v>9</v>
      </c>
      <c r="B3262" t="s" s="9">
        <v>30</v>
      </c>
      <c r="C3262" t="s" s="9">
        <v>65</v>
      </c>
      <c r="D3262" t="s" s="9">
        <v>43</v>
      </c>
      <c r="E3262" t="s" s="9">
        <v>71</v>
      </c>
      <c r="F3262" s="10">
        <v>500</v>
      </c>
      <c r="G3262" s="10">
        <v>3817144</v>
      </c>
      <c r="H3262" s="11" cm="1">
        <f t="array" ref="H3262">F3262/G3262*100000</f>
        <v>13.0987984734136</v>
      </c>
    </row>
    <row r="3263" ht="13" customHeight="1">
      <c r="A3263" s="8">
        <v>10</v>
      </c>
      <c r="B3263" t="s" s="9">
        <v>30</v>
      </c>
      <c r="C3263" t="s" s="9">
        <v>65</v>
      </c>
      <c r="D3263" t="s" s="9">
        <v>43</v>
      </c>
      <c r="E3263" t="s" s="9">
        <v>71</v>
      </c>
      <c r="F3263" s="10">
        <v>473</v>
      </c>
      <c r="G3263" s="10">
        <v>3817144</v>
      </c>
      <c r="H3263" s="11" cm="1">
        <f t="array" ref="H3263">F3263/G3263*100000</f>
        <v>12.3914633558493</v>
      </c>
    </row>
    <row r="3264" ht="13" customHeight="1">
      <c r="A3264" s="8">
        <v>1</v>
      </c>
      <c r="B3264" t="s" s="9">
        <v>30</v>
      </c>
      <c r="C3264" t="s" s="9">
        <v>65</v>
      </c>
      <c r="D3264" t="s" s="9">
        <v>44</v>
      </c>
      <c r="E3264" t="s" s="9">
        <v>71</v>
      </c>
      <c r="F3264" s="10">
        <v>12862</v>
      </c>
      <c r="G3264" s="10">
        <v>13239670</v>
      </c>
      <c r="H3264" s="11" cm="1">
        <f t="array" ref="H3264">F3264/G3264*100000</f>
        <v>97.14743645423189</v>
      </c>
    </row>
    <row r="3265" ht="13" customHeight="1">
      <c r="A3265" s="8">
        <v>2</v>
      </c>
      <c r="B3265" t="s" s="9">
        <v>34</v>
      </c>
      <c r="C3265" t="s" s="9">
        <v>65</v>
      </c>
      <c r="D3265" t="s" s="9">
        <v>44</v>
      </c>
      <c r="E3265" t="s" s="9">
        <v>71</v>
      </c>
      <c r="F3265" s="10">
        <v>8831</v>
      </c>
      <c r="G3265" s="10">
        <v>13239670</v>
      </c>
      <c r="H3265" s="11" cm="1">
        <f t="array" ref="H3265">F3265/G3265*100000</f>
        <v>66.7010582590049</v>
      </c>
    </row>
    <row r="3266" ht="13" customHeight="1">
      <c r="A3266" s="8">
        <v>3</v>
      </c>
      <c r="B3266" t="s" s="9">
        <v>35</v>
      </c>
      <c r="C3266" t="s" s="9">
        <v>65</v>
      </c>
      <c r="D3266" t="s" s="9">
        <v>44</v>
      </c>
      <c r="E3266" t="s" s="9">
        <v>71</v>
      </c>
      <c r="F3266" s="10">
        <v>4544</v>
      </c>
      <c r="G3266" s="10">
        <v>13239670</v>
      </c>
      <c r="H3266" s="11" cm="1">
        <f t="array" ref="H3266">F3266/G3266*100000</f>
        <v>34.3210971270432</v>
      </c>
    </row>
    <row r="3267" ht="13" customHeight="1">
      <c r="A3267" s="8">
        <v>4</v>
      </c>
      <c r="B3267" t="s" s="9">
        <v>37</v>
      </c>
      <c r="C3267" t="s" s="9">
        <v>65</v>
      </c>
      <c r="D3267" t="s" s="9">
        <v>44</v>
      </c>
      <c r="E3267" t="s" s="9">
        <v>71</v>
      </c>
      <c r="F3267" s="10">
        <v>3118</v>
      </c>
      <c r="G3267" s="10">
        <v>13239670</v>
      </c>
      <c r="H3267" s="11" cm="1">
        <f t="array" ref="H3267">F3267/G3267*100000</f>
        <v>23.5504359247625</v>
      </c>
    </row>
    <row r="3268" ht="13" customHeight="1">
      <c r="A3268" s="8">
        <v>5</v>
      </c>
      <c r="B3268" t="s" s="9">
        <v>39</v>
      </c>
      <c r="C3268" t="s" s="9">
        <v>65</v>
      </c>
      <c r="D3268" t="s" s="9">
        <v>44</v>
      </c>
      <c r="E3268" t="s" s="9">
        <v>71</v>
      </c>
      <c r="F3268" s="10">
        <v>2536</v>
      </c>
      <c r="G3268" s="10">
        <v>13239670</v>
      </c>
      <c r="H3268" s="11" cm="1">
        <f t="array" ref="H3268">F3268/G3268*100000</f>
        <v>19.1545559670294</v>
      </c>
    </row>
    <row r="3269" ht="13" customHeight="1">
      <c r="A3269" s="8">
        <v>6</v>
      </c>
      <c r="B3269" t="s" s="9">
        <v>30</v>
      </c>
      <c r="C3269" t="s" s="9">
        <v>65</v>
      </c>
      <c r="D3269" t="s" s="9">
        <v>44</v>
      </c>
      <c r="E3269" t="s" s="9">
        <v>71</v>
      </c>
      <c r="F3269" s="10">
        <v>1560</v>
      </c>
      <c r="G3269" s="10">
        <v>13239670</v>
      </c>
      <c r="H3269" s="11" cm="1">
        <f t="array" ref="H3269">F3269/G3269*100000</f>
        <v>11.7827710207279</v>
      </c>
    </row>
    <row r="3270" ht="13" customHeight="1">
      <c r="A3270" s="8">
        <v>7</v>
      </c>
      <c r="B3270" t="s" s="9">
        <v>36</v>
      </c>
      <c r="C3270" t="s" s="9">
        <v>65</v>
      </c>
      <c r="D3270" t="s" s="9">
        <v>44</v>
      </c>
      <c r="E3270" t="s" s="9">
        <v>71</v>
      </c>
      <c r="F3270" s="10">
        <v>1201</v>
      </c>
      <c r="G3270" s="10">
        <v>13239670</v>
      </c>
      <c r="H3270" s="11" cm="1">
        <f t="array" ref="H3270">F3270/G3270*100000</f>
        <v>9.07122307429113</v>
      </c>
    </row>
    <row r="3271" ht="13" customHeight="1">
      <c r="A3271" s="8">
        <v>8</v>
      </c>
      <c r="B3271" t="s" s="9">
        <v>37</v>
      </c>
      <c r="C3271" t="s" s="9">
        <v>65</v>
      </c>
      <c r="D3271" t="s" s="9">
        <v>44</v>
      </c>
      <c r="E3271" t="s" s="9">
        <v>71</v>
      </c>
      <c r="F3271" s="10">
        <v>1318</v>
      </c>
      <c r="G3271" s="10">
        <v>13239670</v>
      </c>
      <c r="H3271" s="11" cm="1">
        <f t="array" ref="H3271">F3271/G3271*100000</f>
        <v>9.954930900845721</v>
      </c>
    </row>
    <row r="3272" ht="13" customHeight="1">
      <c r="A3272" s="8">
        <v>9</v>
      </c>
      <c r="B3272" t="s" s="9">
        <v>45</v>
      </c>
      <c r="C3272" t="s" s="9">
        <v>65</v>
      </c>
      <c r="D3272" t="s" s="9">
        <v>44</v>
      </c>
      <c r="E3272" t="s" s="9">
        <v>71</v>
      </c>
      <c r="F3272" s="10">
        <v>1206</v>
      </c>
      <c r="G3272" s="10">
        <v>13239670</v>
      </c>
      <c r="H3272" s="11" cm="1">
        <f t="array" ref="H3272">F3272/G3272*100000</f>
        <v>9.10898836602423</v>
      </c>
    </row>
    <row r="3273" ht="13" customHeight="1">
      <c r="A3273" s="8">
        <v>10</v>
      </c>
      <c r="B3273" t="s" s="9">
        <v>30</v>
      </c>
      <c r="C3273" t="s" s="9">
        <v>65</v>
      </c>
      <c r="D3273" t="s" s="9">
        <v>44</v>
      </c>
      <c r="E3273" t="s" s="9">
        <v>71</v>
      </c>
      <c r="F3273" s="10">
        <v>1203</v>
      </c>
      <c r="G3273" s="10">
        <v>13239670</v>
      </c>
      <c r="H3273" s="11" cm="1">
        <f t="array" ref="H3273">F3273/G3273*100000</f>
        <v>9.086329190984371</v>
      </c>
    </row>
    <row r="3274" ht="13" customHeight="1">
      <c r="A3274" s="8">
        <v>1</v>
      </c>
      <c r="B3274" t="s" s="9">
        <v>30</v>
      </c>
      <c r="C3274" t="s" s="9">
        <v>65</v>
      </c>
      <c r="D3274" t="s" s="9">
        <v>46</v>
      </c>
      <c r="E3274" t="s" s="9">
        <v>71</v>
      </c>
      <c r="F3274" s="10">
        <v>13165</v>
      </c>
      <c r="G3274" s="10">
        <v>17477569</v>
      </c>
      <c r="H3274" s="11" cm="1">
        <f t="array" ref="H3274">F3274/G3274*100000</f>
        <v>75.3251210165441</v>
      </c>
    </row>
    <row r="3275" ht="13" customHeight="1">
      <c r="A3275" s="8">
        <v>2</v>
      </c>
      <c r="B3275" t="s" s="9">
        <v>35</v>
      </c>
      <c r="C3275" t="s" s="9">
        <v>65</v>
      </c>
      <c r="D3275" t="s" s="9">
        <v>46</v>
      </c>
      <c r="E3275" t="s" s="9">
        <v>71</v>
      </c>
      <c r="F3275" s="10">
        <v>5945</v>
      </c>
      <c r="G3275" s="10">
        <v>17477569</v>
      </c>
      <c r="H3275" s="11" cm="1">
        <f t="array" ref="H3275">F3275/G3275*100000</f>
        <v>34.0150280625412</v>
      </c>
    </row>
    <row r="3276" ht="13" customHeight="1">
      <c r="A3276" s="8">
        <v>3</v>
      </c>
      <c r="B3276" t="s" s="9">
        <v>30</v>
      </c>
      <c r="C3276" t="s" s="9">
        <v>65</v>
      </c>
      <c r="D3276" t="s" s="9">
        <v>46</v>
      </c>
      <c r="E3276" t="s" s="9">
        <v>71</v>
      </c>
      <c r="F3276" s="10">
        <v>5398</v>
      </c>
      <c r="G3276" s="10">
        <v>17477569</v>
      </c>
      <c r="H3276" s="11" cm="1">
        <f t="array" ref="H3276">F3276/G3276*100000</f>
        <v>30.885302183616</v>
      </c>
    </row>
    <row r="3277" ht="13" customHeight="1">
      <c r="A3277" s="8">
        <v>4</v>
      </c>
      <c r="B3277" t="s" s="9">
        <v>34</v>
      </c>
      <c r="C3277" t="s" s="9">
        <v>65</v>
      </c>
      <c r="D3277" t="s" s="9">
        <v>46</v>
      </c>
      <c r="E3277" t="s" s="9">
        <v>71</v>
      </c>
      <c r="F3277" s="10">
        <v>5258</v>
      </c>
      <c r="G3277" s="10">
        <v>17477569</v>
      </c>
      <c r="H3277" s="11" cm="1">
        <f t="array" ref="H3277">F3277/G3277*100000</f>
        <v>30.0842754504359</v>
      </c>
    </row>
    <row r="3278" ht="13" customHeight="1">
      <c r="A3278" s="8">
        <v>5</v>
      </c>
      <c r="B3278" t="s" s="9">
        <v>30</v>
      </c>
      <c r="C3278" t="s" s="9">
        <v>65</v>
      </c>
      <c r="D3278" t="s" s="9">
        <v>46</v>
      </c>
      <c r="E3278" t="s" s="9">
        <v>71</v>
      </c>
      <c r="F3278" s="10">
        <v>4043</v>
      </c>
      <c r="G3278" s="10">
        <v>17477569</v>
      </c>
      <c r="H3278" s="11" cm="1">
        <f t="array" ref="H3278">F3278/G3278*100000</f>
        <v>23.1325077303371</v>
      </c>
    </row>
    <row r="3279" ht="13" customHeight="1">
      <c r="A3279" s="8">
        <v>6</v>
      </c>
      <c r="B3279" t="s" s="9">
        <v>39</v>
      </c>
      <c r="C3279" t="s" s="9">
        <v>65</v>
      </c>
      <c r="D3279" t="s" s="9">
        <v>46</v>
      </c>
      <c r="E3279" t="s" s="9">
        <v>71</v>
      </c>
      <c r="F3279" s="10">
        <v>4403</v>
      </c>
      <c r="G3279" s="10">
        <v>17477569</v>
      </c>
      <c r="H3279" s="11" cm="1">
        <f t="array" ref="H3279">F3279/G3279*100000</f>
        <v>25.1922907585145</v>
      </c>
    </row>
    <row r="3280" ht="13" customHeight="1">
      <c r="A3280" s="8">
        <v>7</v>
      </c>
      <c r="B3280" t="s" s="9">
        <v>41</v>
      </c>
      <c r="C3280" t="s" s="9">
        <v>65</v>
      </c>
      <c r="D3280" t="s" s="9">
        <v>46</v>
      </c>
      <c r="E3280" t="s" s="9">
        <v>71</v>
      </c>
      <c r="F3280" s="10">
        <v>3294</v>
      </c>
      <c r="G3280" s="10">
        <v>17477569</v>
      </c>
      <c r="H3280" s="11" cm="1">
        <f t="array" ref="H3280">F3280/G3280*100000</f>
        <v>18.8470147078235</v>
      </c>
    </row>
    <row r="3281" ht="13" customHeight="1">
      <c r="A3281" s="8">
        <v>8</v>
      </c>
      <c r="B3281" t="s" s="9">
        <v>37</v>
      </c>
      <c r="C3281" t="s" s="9">
        <v>65</v>
      </c>
      <c r="D3281" t="s" s="9">
        <v>46</v>
      </c>
      <c r="E3281" t="s" s="9">
        <v>71</v>
      </c>
      <c r="F3281" s="10">
        <v>1977</v>
      </c>
      <c r="G3281" s="10">
        <v>17477569</v>
      </c>
      <c r="H3281" s="11" cm="1">
        <f t="array" ref="H3281">F3281/G3281*100000</f>
        <v>11.3116417964077</v>
      </c>
    </row>
    <row r="3282" ht="13" customHeight="1">
      <c r="A3282" s="8">
        <v>9</v>
      </c>
      <c r="B3282" t="s" s="9">
        <v>35</v>
      </c>
      <c r="C3282" t="s" s="9">
        <v>65</v>
      </c>
      <c r="D3282" t="s" s="9">
        <v>46</v>
      </c>
      <c r="E3282" t="s" s="9">
        <v>71</v>
      </c>
      <c r="F3282" s="10">
        <v>1290</v>
      </c>
      <c r="G3282" s="10">
        <v>17477569</v>
      </c>
      <c r="H3282" s="11" cm="1">
        <f t="array" ref="H3282">F3282/G3282*100000</f>
        <v>7.38088918430246</v>
      </c>
    </row>
    <row r="3283" ht="13" customHeight="1">
      <c r="A3283" s="8">
        <v>10</v>
      </c>
      <c r="B3283" t="s" s="9">
        <v>45</v>
      </c>
      <c r="C3283" t="s" s="9">
        <v>65</v>
      </c>
      <c r="D3283" t="s" s="9">
        <v>46</v>
      </c>
      <c r="E3283" t="s" s="9">
        <v>71</v>
      </c>
      <c r="F3283" s="10">
        <v>1468</v>
      </c>
      <c r="G3283" s="10">
        <v>17477569</v>
      </c>
      <c r="H3283" s="11" cm="1">
        <f t="array" ref="H3283">F3283/G3283*100000</f>
        <v>8.39933745934575</v>
      </c>
    </row>
    <row r="3284" ht="13" customHeight="1">
      <c r="A3284" s="8">
        <v>1</v>
      </c>
      <c r="B3284" t="s" s="9">
        <v>35</v>
      </c>
      <c r="C3284" t="s" s="9">
        <v>65</v>
      </c>
      <c r="D3284" t="s" s="9">
        <v>47</v>
      </c>
      <c r="E3284" t="s" s="9">
        <v>71</v>
      </c>
      <c r="F3284" s="10">
        <v>2979</v>
      </c>
      <c r="G3284" s="10">
        <v>3342831</v>
      </c>
      <c r="H3284" s="11" cm="1">
        <f t="array" ref="H3284">F3284/G3284*100000</f>
        <v>89.1160815488429</v>
      </c>
    </row>
    <row r="3285" ht="13" customHeight="1">
      <c r="A3285" s="8">
        <v>2</v>
      </c>
      <c r="B3285" t="s" s="9">
        <v>30</v>
      </c>
      <c r="C3285" t="s" s="9">
        <v>65</v>
      </c>
      <c r="D3285" t="s" s="9">
        <v>47</v>
      </c>
      <c r="E3285" t="s" s="9">
        <v>71</v>
      </c>
      <c r="F3285" s="10">
        <v>2815</v>
      </c>
      <c r="G3285" s="10">
        <v>3342831</v>
      </c>
      <c r="H3285" s="11" cm="1">
        <f t="array" ref="H3285">F3285/G3285*100000</f>
        <v>84.2100602752577</v>
      </c>
    </row>
    <row r="3286" ht="13" customHeight="1">
      <c r="A3286" s="8">
        <v>3</v>
      </c>
      <c r="B3286" t="s" s="9">
        <v>34</v>
      </c>
      <c r="C3286" t="s" s="9">
        <v>65</v>
      </c>
      <c r="D3286" t="s" s="9">
        <v>47</v>
      </c>
      <c r="E3286" t="s" s="9">
        <v>71</v>
      </c>
      <c r="F3286" s="10">
        <v>957</v>
      </c>
      <c r="G3286" s="10">
        <v>3342831</v>
      </c>
      <c r="H3286" s="11" cm="1">
        <f t="array" ref="H3286">F3286/G3286*100000</f>
        <v>28.6284290172013</v>
      </c>
    </row>
    <row r="3287" ht="13" customHeight="1">
      <c r="A3287" s="8">
        <v>4</v>
      </c>
      <c r="B3287" t="s" s="9">
        <v>45</v>
      </c>
      <c r="C3287" t="s" s="9">
        <v>65</v>
      </c>
      <c r="D3287" t="s" s="9">
        <v>47</v>
      </c>
      <c r="E3287" t="s" s="9">
        <v>71</v>
      </c>
      <c r="F3287" s="10">
        <v>612</v>
      </c>
      <c r="G3287" s="10">
        <v>3342831</v>
      </c>
      <c r="H3287" s="11" cm="1">
        <f t="array" ref="H3287">F3287/G3287*100000</f>
        <v>18.3078354843544</v>
      </c>
    </row>
    <row r="3288" ht="13" customHeight="1">
      <c r="A3288" s="8">
        <v>5</v>
      </c>
      <c r="B3288" t="s" s="9">
        <v>39</v>
      </c>
      <c r="C3288" t="s" s="9">
        <v>65</v>
      </c>
      <c r="D3288" t="s" s="9">
        <v>47</v>
      </c>
      <c r="E3288" t="s" s="9">
        <v>71</v>
      </c>
      <c r="F3288" s="10">
        <v>818</v>
      </c>
      <c r="G3288" s="10">
        <v>3342831</v>
      </c>
      <c r="H3288" s="11" cm="1">
        <f t="array" ref="H3288">F3288/G3288*100000</f>
        <v>24.4702768401992</v>
      </c>
    </row>
    <row r="3289" ht="13" customHeight="1">
      <c r="A3289" s="8">
        <v>6</v>
      </c>
      <c r="B3289" t="s" s="9">
        <v>35</v>
      </c>
      <c r="C3289" t="s" s="9">
        <v>65</v>
      </c>
      <c r="D3289" t="s" s="9">
        <v>47</v>
      </c>
      <c r="E3289" t="s" s="9">
        <v>71</v>
      </c>
      <c r="F3289" s="10">
        <v>300</v>
      </c>
      <c r="G3289" s="10">
        <v>3342831</v>
      </c>
      <c r="H3289" s="11" cm="1">
        <f t="array" ref="H3289">F3289/G3289*100000</f>
        <v>8.974429158997269</v>
      </c>
    </row>
    <row r="3290" ht="13" customHeight="1">
      <c r="A3290" s="8">
        <v>7</v>
      </c>
      <c r="B3290" t="s" s="9">
        <v>30</v>
      </c>
      <c r="C3290" t="s" s="9">
        <v>65</v>
      </c>
      <c r="D3290" t="s" s="9">
        <v>47</v>
      </c>
      <c r="E3290" t="s" s="9">
        <v>71</v>
      </c>
      <c r="F3290" s="10">
        <v>357</v>
      </c>
      <c r="G3290" s="10">
        <v>3342831</v>
      </c>
      <c r="H3290" s="11" cm="1">
        <f t="array" ref="H3290">F3290/G3290*100000</f>
        <v>10.6795706992068</v>
      </c>
    </row>
    <row r="3291" ht="13" customHeight="1">
      <c r="A3291" s="8">
        <v>8</v>
      </c>
      <c r="B3291" t="s" s="9">
        <v>36</v>
      </c>
      <c r="C3291" t="s" s="9">
        <v>65</v>
      </c>
      <c r="D3291" t="s" s="9">
        <v>47</v>
      </c>
      <c r="E3291" t="s" s="9">
        <v>71</v>
      </c>
      <c r="F3291" s="10">
        <v>241</v>
      </c>
      <c r="G3291" s="10">
        <v>3342831</v>
      </c>
      <c r="H3291" s="11" cm="1">
        <f t="array" ref="H3291">F3291/G3291*100000</f>
        <v>7.20945809106114</v>
      </c>
    </row>
    <row r="3292" ht="13" customHeight="1">
      <c r="A3292" s="8">
        <v>9</v>
      </c>
      <c r="B3292" t="s" s="9">
        <v>30</v>
      </c>
      <c r="C3292" t="s" s="9">
        <v>65</v>
      </c>
      <c r="D3292" t="s" s="9">
        <v>47</v>
      </c>
      <c r="E3292" t="s" s="9">
        <v>71</v>
      </c>
      <c r="F3292" s="10">
        <v>248</v>
      </c>
      <c r="G3292" s="10">
        <v>3342831</v>
      </c>
      <c r="H3292" s="11" cm="1">
        <f t="array" ref="H3292">F3292/G3292*100000</f>
        <v>7.41886143810441</v>
      </c>
    </row>
    <row r="3293" ht="13" customHeight="1">
      <c r="A3293" s="8">
        <v>10</v>
      </c>
      <c r="B3293" t="s" s="9">
        <v>36</v>
      </c>
      <c r="C3293" t="s" s="9">
        <v>65</v>
      </c>
      <c r="D3293" t="s" s="9">
        <v>47</v>
      </c>
      <c r="E3293" t="s" s="9">
        <v>71</v>
      </c>
      <c r="F3293" s="10">
        <v>308</v>
      </c>
      <c r="G3293" s="10">
        <v>3342831</v>
      </c>
      <c r="H3293" s="11" cm="1">
        <f t="array" ref="H3293">F3293/G3293*100000</f>
        <v>9.213747269903861</v>
      </c>
    </row>
    <row r="3294" ht="13" customHeight="1">
      <c r="A3294" s="8">
        <v>1</v>
      </c>
      <c r="B3294" t="s" s="9">
        <v>30</v>
      </c>
      <c r="C3294" t="s" s="9">
        <v>65</v>
      </c>
      <c r="D3294" t="s" s="9">
        <v>49</v>
      </c>
      <c r="E3294" t="s" s="9">
        <v>71</v>
      </c>
      <c r="F3294" s="10">
        <v>6174</v>
      </c>
      <c r="G3294" s="10">
        <v>6397690</v>
      </c>
      <c r="H3294" s="11" cm="1">
        <f t="array" ref="H3294">F3294/G3294*100000</f>
        <v>96.50358176154209</v>
      </c>
    </row>
    <row r="3295" ht="13" customHeight="1">
      <c r="A3295" s="8">
        <v>2</v>
      </c>
      <c r="B3295" t="s" s="9">
        <v>34</v>
      </c>
      <c r="C3295" t="s" s="9">
        <v>65</v>
      </c>
      <c r="D3295" t="s" s="9">
        <v>49</v>
      </c>
      <c r="E3295" t="s" s="9">
        <v>71</v>
      </c>
      <c r="F3295" s="10">
        <v>4412</v>
      </c>
      <c r="G3295" s="10">
        <v>6397690</v>
      </c>
      <c r="H3295" s="11" cm="1">
        <f t="array" ref="H3295">F3295/G3295*100000</f>
        <v>68.9623911130424</v>
      </c>
    </row>
    <row r="3296" ht="13" customHeight="1">
      <c r="A3296" s="8">
        <v>3</v>
      </c>
      <c r="B3296" t="s" s="9">
        <v>35</v>
      </c>
      <c r="C3296" t="s" s="9">
        <v>65</v>
      </c>
      <c r="D3296" t="s" s="9">
        <v>49</v>
      </c>
      <c r="E3296" t="s" s="9">
        <v>71</v>
      </c>
      <c r="F3296" s="10">
        <v>3332</v>
      </c>
      <c r="G3296" s="10">
        <v>6397690</v>
      </c>
      <c r="H3296" s="11" cm="1">
        <f t="array" ref="H3296">F3296/G3296*100000</f>
        <v>52.0812980935306</v>
      </c>
    </row>
    <row r="3297" ht="13" customHeight="1">
      <c r="A3297" s="8">
        <v>4</v>
      </c>
      <c r="B3297" t="s" s="9">
        <v>39</v>
      </c>
      <c r="C3297" t="s" s="9">
        <v>65</v>
      </c>
      <c r="D3297" t="s" s="9">
        <v>49</v>
      </c>
      <c r="E3297" t="s" s="9">
        <v>71</v>
      </c>
      <c r="F3297" s="10">
        <v>1997</v>
      </c>
      <c r="G3297" s="10">
        <v>6397690</v>
      </c>
      <c r="H3297" s="11" cm="1">
        <f t="array" ref="H3297">F3297/G3297*100000</f>
        <v>31.214391444412</v>
      </c>
    </row>
    <row r="3298" ht="13" customHeight="1">
      <c r="A3298" s="8">
        <v>5</v>
      </c>
      <c r="B3298" t="s" s="9">
        <v>30</v>
      </c>
      <c r="C3298" t="s" s="9">
        <v>65</v>
      </c>
      <c r="D3298" t="s" s="9">
        <v>49</v>
      </c>
      <c r="E3298" t="s" s="9">
        <v>71</v>
      </c>
      <c r="F3298" s="10">
        <v>1245</v>
      </c>
      <c r="G3298" s="10">
        <v>6397690</v>
      </c>
      <c r="H3298" s="11" cm="1">
        <f t="array" ref="H3298">F3298/G3298*100000</f>
        <v>19.4601488974927</v>
      </c>
    </row>
    <row r="3299" ht="13" customHeight="1">
      <c r="A3299" s="8">
        <v>6</v>
      </c>
      <c r="B3299" t="s" s="9">
        <v>36</v>
      </c>
      <c r="C3299" t="s" s="9">
        <v>65</v>
      </c>
      <c r="D3299" t="s" s="9">
        <v>49</v>
      </c>
      <c r="E3299" t="s" s="9">
        <v>71</v>
      </c>
      <c r="F3299" s="10">
        <v>1118</v>
      </c>
      <c r="G3299" s="10">
        <v>6397690</v>
      </c>
      <c r="H3299" s="11" cm="1">
        <f t="array" ref="H3299">F3299/G3299*100000</f>
        <v>17.4750574035316</v>
      </c>
    </row>
    <row r="3300" ht="13" customHeight="1">
      <c r="A3300" s="8">
        <v>7</v>
      </c>
      <c r="B3300" t="s" s="9">
        <v>36</v>
      </c>
      <c r="C3300" t="s" s="9">
        <v>65</v>
      </c>
      <c r="D3300" t="s" s="9">
        <v>49</v>
      </c>
      <c r="E3300" t="s" s="9">
        <v>71</v>
      </c>
      <c r="F3300" s="10">
        <v>1177</v>
      </c>
      <c r="G3300" s="10">
        <v>6397690</v>
      </c>
      <c r="H3300" s="11" cm="1">
        <f t="array" ref="H3300">F3300/G3300*100000</f>
        <v>18.3972652629308</v>
      </c>
    </row>
    <row r="3301" ht="13" customHeight="1">
      <c r="A3301" s="8">
        <v>8</v>
      </c>
      <c r="B3301" t="s" s="9">
        <v>37</v>
      </c>
      <c r="C3301" t="s" s="9">
        <v>65</v>
      </c>
      <c r="D3301" t="s" s="9">
        <v>49</v>
      </c>
      <c r="E3301" t="s" s="9">
        <v>71</v>
      </c>
      <c r="F3301" s="10">
        <v>1212</v>
      </c>
      <c r="G3301" s="10">
        <v>6397690</v>
      </c>
      <c r="H3301" s="11" cm="1">
        <f t="array" ref="H3301">F3301/G3301*100000</f>
        <v>18.9443377218965</v>
      </c>
    </row>
    <row r="3302" ht="13" customHeight="1">
      <c r="A3302" s="8">
        <v>9</v>
      </c>
      <c r="B3302" t="s" s="9">
        <v>35</v>
      </c>
      <c r="C3302" t="s" s="9">
        <v>65</v>
      </c>
      <c r="D3302" t="s" s="9">
        <v>49</v>
      </c>
      <c r="E3302" t="s" s="9">
        <v>71</v>
      </c>
      <c r="F3302" s="10">
        <v>752</v>
      </c>
      <c r="G3302" s="10">
        <v>6397690</v>
      </c>
      <c r="H3302" s="11" cm="1">
        <f t="array" ref="H3302">F3302/G3302*100000</f>
        <v>11.7542425469193</v>
      </c>
    </row>
    <row r="3303" ht="13" customHeight="1">
      <c r="A3303" s="8">
        <v>10</v>
      </c>
      <c r="B3303" t="s" s="9">
        <v>30</v>
      </c>
      <c r="C3303" t="s" s="9">
        <v>65</v>
      </c>
      <c r="D3303" t="s" s="9">
        <v>49</v>
      </c>
      <c r="E3303" t="s" s="9">
        <v>71</v>
      </c>
      <c r="F3303" s="10">
        <v>883</v>
      </c>
      <c r="G3303" s="10">
        <v>6397690</v>
      </c>
      <c r="H3303" s="11" cm="1">
        <f t="array" ref="H3303">F3303/G3303*100000</f>
        <v>13.8018566076193</v>
      </c>
    </row>
    <row r="3304" ht="13.65" customHeight="1">
      <c r="A3304" s="8">
        <v>1</v>
      </c>
      <c r="B3304" t="s" s="9">
        <v>30</v>
      </c>
      <c r="C3304" t="s" s="9">
        <v>65</v>
      </c>
      <c r="D3304" t="s" s="9">
        <v>51</v>
      </c>
      <c r="E3304" t="s" s="9">
        <v>71</v>
      </c>
      <c r="F3304" s="10">
        <v>3158</v>
      </c>
      <c r="G3304" s="12"/>
      <c r="H3304" s="13"/>
    </row>
    <row r="3305" ht="13.65" customHeight="1">
      <c r="A3305" s="8">
        <v>2</v>
      </c>
      <c r="B3305" t="s" s="9">
        <v>34</v>
      </c>
      <c r="C3305" t="s" s="9">
        <v>65</v>
      </c>
      <c r="D3305" t="s" s="9">
        <v>51</v>
      </c>
      <c r="E3305" t="s" s="9">
        <v>71</v>
      </c>
      <c r="F3305" s="10">
        <v>2438</v>
      </c>
      <c r="G3305" s="14"/>
      <c r="H3305" s="15"/>
    </row>
    <row r="3306" ht="13.65" customHeight="1">
      <c r="A3306" s="8">
        <v>3</v>
      </c>
      <c r="B3306" t="s" s="9">
        <v>35</v>
      </c>
      <c r="C3306" t="s" s="9">
        <v>65</v>
      </c>
      <c r="D3306" t="s" s="9">
        <v>51</v>
      </c>
      <c r="E3306" t="s" s="9">
        <v>71</v>
      </c>
      <c r="F3306" s="10">
        <v>1540</v>
      </c>
      <c r="G3306" s="14"/>
      <c r="H3306" s="15"/>
    </row>
    <row r="3307" ht="13.65" customHeight="1">
      <c r="A3307" s="8">
        <v>4</v>
      </c>
      <c r="B3307" t="s" s="9">
        <v>45</v>
      </c>
      <c r="C3307" t="s" s="9">
        <v>65</v>
      </c>
      <c r="D3307" t="s" s="9">
        <v>51</v>
      </c>
      <c r="E3307" t="s" s="9">
        <v>71</v>
      </c>
      <c r="F3307" s="10">
        <v>1225</v>
      </c>
      <c r="G3307" s="14"/>
      <c r="H3307" s="15"/>
    </row>
    <row r="3308" ht="13.65" customHeight="1">
      <c r="A3308" s="8">
        <v>5</v>
      </c>
      <c r="B3308" t="s" s="9">
        <v>30</v>
      </c>
      <c r="C3308" t="s" s="9">
        <v>65</v>
      </c>
      <c r="D3308" t="s" s="9">
        <v>51</v>
      </c>
      <c r="E3308" t="s" s="9">
        <v>71</v>
      </c>
      <c r="F3308" s="10">
        <v>1331</v>
      </c>
      <c r="G3308" s="14"/>
      <c r="H3308" s="15"/>
    </row>
    <row r="3309" ht="13.65" customHeight="1">
      <c r="A3309" s="8">
        <v>6</v>
      </c>
      <c r="B3309" t="s" s="9">
        <v>39</v>
      </c>
      <c r="C3309" t="s" s="9">
        <v>65</v>
      </c>
      <c r="D3309" t="s" s="9">
        <v>51</v>
      </c>
      <c r="E3309" t="s" s="9">
        <v>71</v>
      </c>
      <c r="F3309" s="10">
        <v>1059</v>
      </c>
      <c r="G3309" s="14"/>
      <c r="H3309" s="15"/>
    </row>
    <row r="3310" ht="13.65" customHeight="1">
      <c r="A3310" s="8">
        <v>7</v>
      </c>
      <c r="B3310" t="s" s="9">
        <v>35</v>
      </c>
      <c r="C3310" t="s" s="9">
        <v>65</v>
      </c>
      <c r="D3310" t="s" s="9">
        <v>51</v>
      </c>
      <c r="E3310" t="s" s="9">
        <v>71</v>
      </c>
      <c r="F3310" s="10">
        <v>484</v>
      </c>
      <c r="G3310" s="14"/>
      <c r="H3310" s="15"/>
    </row>
    <row r="3311" ht="13.65" customHeight="1">
      <c r="A3311" s="8">
        <v>8</v>
      </c>
      <c r="B3311" t="s" s="9">
        <v>41</v>
      </c>
      <c r="C3311" t="s" s="9">
        <v>65</v>
      </c>
      <c r="D3311" t="s" s="9">
        <v>51</v>
      </c>
      <c r="E3311" t="s" s="9">
        <v>71</v>
      </c>
      <c r="F3311" s="10">
        <v>778</v>
      </c>
      <c r="G3311" s="14"/>
      <c r="H3311" s="15"/>
    </row>
    <row r="3312" ht="13.65" customHeight="1">
      <c r="A3312" s="8">
        <v>9</v>
      </c>
      <c r="B3312" t="s" s="9">
        <v>37</v>
      </c>
      <c r="C3312" t="s" s="9">
        <v>65</v>
      </c>
      <c r="D3312" t="s" s="9">
        <v>51</v>
      </c>
      <c r="E3312" t="s" s="9">
        <v>71</v>
      </c>
      <c r="F3312" s="10">
        <v>671</v>
      </c>
      <c r="G3312" s="14"/>
      <c r="H3312" s="15"/>
    </row>
    <row r="3313" ht="13.65" customHeight="1">
      <c r="A3313" s="8">
        <v>10</v>
      </c>
      <c r="B3313" t="s" s="9">
        <v>30</v>
      </c>
      <c r="C3313" t="s" s="9">
        <v>65</v>
      </c>
      <c r="D3313" t="s" s="9">
        <v>51</v>
      </c>
      <c r="E3313" t="s" s="9">
        <v>71</v>
      </c>
      <c r="F3313" s="10">
        <v>540</v>
      </c>
      <c r="G3313" s="14"/>
      <c r="H3313" s="15"/>
    </row>
    <row r="3314" ht="13.65" customHeight="1">
      <c r="A3314" s="8">
        <v>1</v>
      </c>
      <c r="B3314" t="s" s="9">
        <v>35</v>
      </c>
      <c r="C3314" t="s" s="9">
        <v>65</v>
      </c>
      <c r="D3314" t="s" s="9">
        <v>52</v>
      </c>
      <c r="E3314" t="s" s="9">
        <v>71</v>
      </c>
      <c r="F3314" s="10">
        <v>7463</v>
      </c>
      <c r="G3314" s="14"/>
      <c r="H3314" s="15"/>
    </row>
    <row r="3315" ht="13.65" customHeight="1">
      <c r="A3315" s="8">
        <v>2</v>
      </c>
      <c r="B3315" t="s" s="9">
        <v>30</v>
      </c>
      <c r="C3315" t="s" s="9">
        <v>65</v>
      </c>
      <c r="D3315" t="s" s="9">
        <v>52</v>
      </c>
      <c r="E3315" t="s" s="9">
        <v>71</v>
      </c>
      <c r="F3315" s="10">
        <v>3797</v>
      </c>
      <c r="G3315" s="14"/>
      <c r="H3315" s="15"/>
    </row>
    <row r="3316" ht="13.65" customHeight="1">
      <c r="A3316" s="8">
        <v>3</v>
      </c>
      <c r="B3316" t="s" s="9">
        <v>34</v>
      </c>
      <c r="C3316" t="s" s="9">
        <v>65</v>
      </c>
      <c r="D3316" t="s" s="9">
        <v>52</v>
      </c>
      <c r="E3316" t="s" s="9">
        <v>71</v>
      </c>
      <c r="F3316" s="10">
        <v>2403</v>
      </c>
      <c r="G3316" s="14"/>
      <c r="H3316" s="15"/>
    </row>
    <row r="3317" ht="13.65" customHeight="1">
      <c r="A3317" s="8">
        <v>4</v>
      </c>
      <c r="B3317" t="s" s="9">
        <v>30</v>
      </c>
      <c r="C3317" t="s" s="9">
        <v>65</v>
      </c>
      <c r="D3317" t="s" s="9">
        <v>52</v>
      </c>
      <c r="E3317" t="s" s="9">
        <v>71</v>
      </c>
      <c r="F3317" s="10">
        <v>1377</v>
      </c>
      <c r="G3317" s="14"/>
      <c r="H3317" s="15"/>
    </row>
    <row r="3318" ht="13.65" customHeight="1">
      <c r="A3318" s="8">
        <v>5</v>
      </c>
      <c r="B3318" t="s" s="9">
        <v>39</v>
      </c>
      <c r="C3318" t="s" s="9">
        <v>65</v>
      </c>
      <c r="D3318" t="s" s="9">
        <v>52</v>
      </c>
      <c r="E3318" t="s" s="9">
        <v>71</v>
      </c>
      <c r="F3318" s="10">
        <v>1442</v>
      </c>
      <c r="G3318" s="14"/>
      <c r="H3318" s="15"/>
    </row>
    <row r="3319" ht="13.65" customHeight="1">
      <c r="A3319" s="8">
        <v>6</v>
      </c>
      <c r="B3319" t="s" s="9">
        <v>35</v>
      </c>
      <c r="C3319" t="s" s="9">
        <v>65</v>
      </c>
      <c r="D3319" t="s" s="9">
        <v>52</v>
      </c>
      <c r="E3319" t="s" s="9">
        <v>71</v>
      </c>
      <c r="F3319" s="10">
        <v>792</v>
      </c>
      <c r="G3319" s="14"/>
      <c r="H3319" s="15"/>
    </row>
    <row r="3320" ht="13.65" customHeight="1">
      <c r="A3320" s="8">
        <v>7</v>
      </c>
      <c r="B3320" t="s" s="9">
        <v>36</v>
      </c>
      <c r="C3320" t="s" s="9">
        <v>65</v>
      </c>
      <c r="D3320" t="s" s="9">
        <v>52</v>
      </c>
      <c r="E3320" t="s" s="9">
        <v>71</v>
      </c>
      <c r="F3320" s="10">
        <v>884</v>
      </c>
      <c r="G3320" s="14"/>
      <c r="H3320" s="15"/>
    </row>
    <row r="3321" ht="13.65" customHeight="1">
      <c r="A3321" s="8">
        <v>8</v>
      </c>
      <c r="B3321" t="s" s="9">
        <v>30</v>
      </c>
      <c r="C3321" t="s" s="9">
        <v>65</v>
      </c>
      <c r="D3321" t="s" s="9">
        <v>52</v>
      </c>
      <c r="E3321" t="s" s="9">
        <v>71</v>
      </c>
      <c r="F3321" s="10">
        <v>691</v>
      </c>
      <c r="G3321" s="14"/>
      <c r="H3321" s="15"/>
    </row>
    <row r="3322" ht="13.65" customHeight="1">
      <c r="A3322" s="8">
        <v>9</v>
      </c>
      <c r="B3322" t="s" s="9">
        <v>30</v>
      </c>
      <c r="C3322" t="s" s="9">
        <v>65</v>
      </c>
      <c r="D3322" t="s" s="9">
        <v>52</v>
      </c>
      <c r="E3322" t="s" s="9">
        <v>71</v>
      </c>
      <c r="F3322" s="10">
        <v>627</v>
      </c>
      <c r="G3322" s="14"/>
      <c r="H3322" s="15"/>
    </row>
    <row r="3323" ht="13.65" customHeight="1">
      <c r="A3323" s="8">
        <v>10</v>
      </c>
      <c r="B3323" t="s" s="9">
        <v>37</v>
      </c>
      <c r="C3323" t="s" s="9">
        <v>65</v>
      </c>
      <c r="D3323" t="s" s="9">
        <v>52</v>
      </c>
      <c r="E3323" t="s" s="9">
        <v>71</v>
      </c>
      <c r="F3323" s="10">
        <v>678</v>
      </c>
      <c r="G3323" s="16"/>
      <c r="H3323" s="17"/>
    </row>
    <row r="3324" ht="13" customHeight="1">
      <c r="A3324" s="8">
        <v>1</v>
      </c>
      <c r="B3324" t="s" s="9">
        <v>30</v>
      </c>
      <c r="C3324" t="s" s="9">
        <v>65</v>
      </c>
      <c r="D3324" t="s" s="9">
        <v>53</v>
      </c>
      <c r="E3324" t="s" s="9">
        <v>71</v>
      </c>
      <c r="F3324" s="10">
        <v>4267</v>
      </c>
      <c r="G3324" s="10">
        <v>5049226</v>
      </c>
      <c r="H3324" s="11" cm="1">
        <f t="array" ref="H3324">F3324/G3324*100000</f>
        <v>84.50800182047701</v>
      </c>
    </row>
    <row r="3325" ht="13" customHeight="1">
      <c r="A3325" s="8">
        <v>2</v>
      </c>
      <c r="B3325" t="s" s="9">
        <v>30</v>
      </c>
      <c r="C3325" t="s" s="9">
        <v>65</v>
      </c>
      <c r="D3325" t="s" s="9">
        <v>53</v>
      </c>
      <c r="E3325" t="s" s="9">
        <v>71</v>
      </c>
      <c r="F3325" s="10">
        <v>1976</v>
      </c>
      <c r="G3325" s="10">
        <v>5049226</v>
      </c>
      <c r="H3325" s="11" cm="1">
        <f t="array" ref="H3325">F3325/G3325*100000</f>
        <v>39.1347109438159</v>
      </c>
    </row>
    <row r="3326" ht="13" customHeight="1">
      <c r="A3326" s="8">
        <v>3</v>
      </c>
      <c r="B3326" t="s" s="9">
        <v>34</v>
      </c>
      <c r="C3326" t="s" s="9">
        <v>65</v>
      </c>
      <c r="D3326" t="s" s="9">
        <v>53</v>
      </c>
      <c r="E3326" t="s" s="9">
        <v>71</v>
      </c>
      <c r="F3326" s="10">
        <v>2288</v>
      </c>
      <c r="G3326" s="10">
        <v>5049226</v>
      </c>
      <c r="H3326" s="11" cm="1">
        <f t="array" ref="H3326">F3326/G3326*100000</f>
        <v>45.3138758296816</v>
      </c>
    </row>
    <row r="3327" ht="13" customHeight="1">
      <c r="A3327" s="8">
        <v>4</v>
      </c>
      <c r="B3327" t="s" s="9">
        <v>35</v>
      </c>
      <c r="C3327" t="s" s="9">
        <v>65</v>
      </c>
      <c r="D3327" t="s" s="9">
        <v>53</v>
      </c>
      <c r="E3327" t="s" s="9">
        <v>71</v>
      </c>
      <c r="F3327" s="10">
        <v>1571</v>
      </c>
      <c r="G3327" s="10">
        <v>5049226</v>
      </c>
      <c r="H3327" s="11" cm="1">
        <f t="array" ref="H3327">F3327/G3327*100000</f>
        <v>31.1136796015865</v>
      </c>
    </row>
    <row r="3328" ht="13" customHeight="1">
      <c r="A3328" s="8">
        <v>5</v>
      </c>
      <c r="B3328" t="s" s="9">
        <v>41</v>
      </c>
      <c r="C3328" t="s" s="9">
        <v>65</v>
      </c>
      <c r="D3328" t="s" s="9">
        <v>53</v>
      </c>
      <c r="E3328" t="s" s="9">
        <v>71</v>
      </c>
      <c r="F3328" s="10">
        <v>1287</v>
      </c>
      <c r="G3328" s="10">
        <v>5049226</v>
      </c>
      <c r="H3328" s="11" cm="1">
        <f t="array" ref="H3328">F3328/G3328*100000</f>
        <v>25.4890551541959</v>
      </c>
    </row>
    <row r="3329" ht="13" customHeight="1">
      <c r="A3329" s="8">
        <v>6</v>
      </c>
      <c r="B3329" t="s" s="9">
        <v>39</v>
      </c>
      <c r="C3329" t="s" s="9">
        <v>65</v>
      </c>
      <c r="D3329" t="s" s="9">
        <v>53</v>
      </c>
      <c r="E3329" t="s" s="9">
        <v>71</v>
      </c>
      <c r="F3329" s="10">
        <v>1373</v>
      </c>
      <c r="G3329" s="10">
        <v>5049226</v>
      </c>
      <c r="H3329" s="11" cm="1">
        <f t="array" ref="H3329">F3329/G3329*100000</f>
        <v>27.1922865009409</v>
      </c>
    </row>
    <row r="3330" ht="13" customHeight="1">
      <c r="A3330" s="8">
        <v>7</v>
      </c>
      <c r="B3330" t="s" s="9">
        <v>35</v>
      </c>
      <c r="C3330" t="s" s="9">
        <v>65</v>
      </c>
      <c r="D3330" t="s" s="9">
        <v>53</v>
      </c>
      <c r="E3330" t="s" s="9">
        <v>71</v>
      </c>
      <c r="F3330" s="10">
        <v>747</v>
      </c>
      <c r="G3330" s="10">
        <v>5049226</v>
      </c>
      <c r="H3330" s="11" cm="1">
        <f t="array" ref="H3330">F3330/G3330*100000</f>
        <v>14.7943466978899</v>
      </c>
    </row>
    <row r="3331" ht="13" customHeight="1">
      <c r="A3331" s="8">
        <v>8</v>
      </c>
      <c r="B3331" t="s" s="9">
        <v>30</v>
      </c>
      <c r="C3331" t="s" s="9">
        <v>65</v>
      </c>
      <c r="D3331" t="s" s="9">
        <v>53</v>
      </c>
      <c r="E3331" t="s" s="9">
        <v>71</v>
      </c>
      <c r="F3331" s="10">
        <v>954</v>
      </c>
      <c r="G3331" s="10">
        <v>5049226</v>
      </c>
      <c r="H3331" s="11" cm="1">
        <f t="array" ref="H3331">F3331/G3331*100000</f>
        <v>18.8939849394739</v>
      </c>
    </row>
    <row r="3332" ht="13" customHeight="1">
      <c r="A3332" s="8">
        <v>9</v>
      </c>
      <c r="B3332" t="s" s="9">
        <v>36</v>
      </c>
      <c r="C3332" t="s" s="9">
        <v>65</v>
      </c>
      <c r="D3332" t="s" s="9">
        <v>53</v>
      </c>
      <c r="E3332" t="s" s="9">
        <v>71</v>
      </c>
      <c r="F3332" s="10">
        <v>692</v>
      </c>
      <c r="G3332" s="10">
        <v>5049226</v>
      </c>
      <c r="H3332" s="11" cm="1">
        <f t="array" ref="H3332">F3332/G3332*100000</f>
        <v>13.7050708365995</v>
      </c>
    </row>
    <row r="3333" ht="13" customHeight="1">
      <c r="A3333" s="8">
        <v>10</v>
      </c>
      <c r="B3333" t="s" s="9">
        <v>36</v>
      </c>
      <c r="C3333" t="s" s="9">
        <v>65</v>
      </c>
      <c r="D3333" t="s" s="9">
        <v>53</v>
      </c>
      <c r="E3333" t="s" s="9">
        <v>71</v>
      </c>
      <c r="F3333" s="10">
        <v>533</v>
      </c>
      <c r="G3333" s="10">
        <v>5049226</v>
      </c>
      <c r="H3333" s="11" cm="1">
        <f t="array" ref="H3333">F3333/G3333*100000</f>
        <v>10.5560733466872</v>
      </c>
    </row>
    <row r="3334" ht="13" customHeight="1">
      <c r="A3334" s="8">
        <v>1</v>
      </c>
      <c r="B3334" t="s" s="9">
        <v>30</v>
      </c>
      <c r="C3334" t="s" s="9">
        <v>65</v>
      </c>
      <c r="D3334" t="s" s="9">
        <v>54</v>
      </c>
      <c r="E3334" t="s" s="9">
        <v>71</v>
      </c>
      <c r="F3334" s="10">
        <v>2587</v>
      </c>
      <c r="G3334" s="10">
        <v>3901529</v>
      </c>
      <c r="H3334" s="11" cm="1">
        <f t="array" ref="H3334">F3334/G3334*100000</f>
        <v>66.30733745667401</v>
      </c>
    </row>
    <row r="3335" ht="13" customHeight="1">
      <c r="A3335" s="8">
        <v>2</v>
      </c>
      <c r="B3335" t="s" s="9">
        <v>35</v>
      </c>
      <c r="C3335" t="s" s="9">
        <v>65</v>
      </c>
      <c r="D3335" t="s" s="9">
        <v>54</v>
      </c>
      <c r="E3335" t="s" s="9">
        <v>71</v>
      </c>
      <c r="F3335" s="10">
        <v>852</v>
      </c>
      <c r="G3335" s="10">
        <v>3901529</v>
      </c>
      <c r="H3335" s="11" cm="1">
        <f t="array" ref="H3335">F3335/G3335*100000</f>
        <v>21.8375923900604</v>
      </c>
    </row>
    <row r="3336" ht="13" customHeight="1">
      <c r="A3336" s="8">
        <v>3</v>
      </c>
      <c r="B3336" t="s" s="9">
        <v>34</v>
      </c>
      <c r="C3336" t="s" s="9">
        <v>65</v>
      </c>
      <c r="D3336" t="s" s="9">
        <v>54</v>
      </c>
      <c r="E3336" t="s" s="9">
        <v>71</v>
      </c>
      <c r="F3336" s="10">
        <v>954</v>
      </c>
      <c r="G3336" s="10">
        <v>3901529</v>
      </c>
      <c r="H3336" s="11" cm="1">
        <f t="array" ref="H3336">F3336/G3336*100000</f>
        <v>24.4519520423916</v>
      </c>
    </row>
    <row r="3337" ht="13" customHeight="1">
      <c r="A3337" s="8">
        <v>4</v>
      </c>
      <c r="B3337" t="s" s="9">
        <v>41</v>
      </c>
      <c r="C3337" t="s" s="9">
        <v>65</v>
      </c>
      <c r="D3337" t="s" s="9">
        <v>54</v>
      </c>
      <c r="E3337" t="s" s="9">
        <v>71</v>
      </c>
      <c r="F3337" s="10">
        <v>820</v>
      </c>
      <c r="G3337" s="10">
        <v>3901529</v>
      </c>
      <c r="H3337" s="11" cm="1">
        <f t="array" ref="H3337">F3337/G3337*100000</f>
        <v>21.017401126584</v>
      </c>
    </row>
    <row r="3338" ht="13" customHeight="1">
      <c r="A3338" s="8">
        <v>5</v>
      </c>
      <c r="B3338" t="s" s="9">
        <v>30</v>
      </c>
      <c r="C3338" t="s" s="9">
        <v>65</v>
      </c>
      <c r="D3338" t="s" s="9">
        <v>54</v>
      </c>
      <c r="E3338" t="s" s="9">
        <v>71</v>
      </c>
      <c r="F3338" s="10">
        <v>715</v>
      </c>
      <c r="G3338" s="10">
        <v>3901529</v>
      </c>
      <c r="H3338" s="11" cm="1">
        <f t="array" ref="H3338">F3338/G3338*100000</f>
        <v>18.3261485433019</v>
      </c>
    </row>
    <row r="3339" ht="13" customHeight="1">
      <c r="A3339" s="8">
        <v>6</v>
      </c>
      <c r="B3339" t="s" s="9">
        <v>30</v>
      </c>
      <c r="C3339" t="s" s="9">
        <v>65</v>
      </c>
      <c r="D3339" t="s" s="9">
        <v>54</v>
      </c>
      <c r="E3339" t="s" s="9">
        <v>71</v>
      </c>
      <c r="F3339" s="10">
        <v>671</v>
      </c>
      <c r="G3339" s="10">
        <v>3901529</v>
      </c>
      <c r="H3339" s="11" cm="1">
        <f t="array" ref="H3339">F3339/G3339*100000</f>
        <v>17.1983855560218</v>
      </c>
    </row>
    <row r="3340" ht="13" customHeight="1">
      <c r="A3340" s="8">
        <v>7</v>
      </c>
      <c r="B3340" t="s" s="9">
        <v>35</v>
      </c>
      <c r="C3340" t="s" s="9">
        <v>65</v>
      </c>
      <c r="D3340" t="s" s="9">
        <v>54</v>
      </c>
      <c r="E3340" t="s" s="9">
        <v>71</v>
      </c>
      <c r="F3340" s="10">
        <v>440</v>
      </c>
      <c r="G3340" s="10">
        <v>3901529</v>
      </c>
      <c r="H3340" s="11" cm="1">
        <f t="array" ref="H3340">F3340/G3340*100000</f>
        <v>11.2776298728012</v>
      </c>
    </row>
    <row r="3341" ht="13" customHeight="1">
      <c r="A3341" s="8">
        <v>8</v>
      </c>
      <c r="B3341" t="s" s="9">
        <v>30</v>
      </c>
      <c r="C3341" t="s" s="9">
        <v>65</v>
      </c>
      <c r="D3341" t="s" s="9">
        <v>54</v>
      </c>
      <c r="E3341" t="s" s="9">
        <v>71</v>
      </c>
      <c r="F3341" s="10">
        <v>520</v>
      </c>
      <c r="G3341" s="10">
        <v>3901529</v>
      </c>
      <c r="H3341" s="11" cm="1">
        <f t="array" ref="H3341">F3341/G3341*100000</f>
        <v>13.3281080314923</v>
      </c>
    </row>
    <row r="3342" ht="13" customHeight="1">
      <c r="A3342" s="8">
        <v>9</v>
      </c>
      <c r="B3342" t="s" s="9">
        <v>41</v>
      </c>
      <c r="C3342" t="s" s="9">
        <v>65</v>
      </c>
      <c r="D3342" t="s" s="9">
        <v>54</v>
      </c>
      <c r="E3342" t="s" s="9">
        <v>71</v>
      </c>
      <c r="F3342" s="10">
        <v>427</v>
      </c>
      <c r="G3342" s="10">
        <v>3901529</v>
      </c>
      <c r="H3342" s="11" cm="1">
        <f t="array" ref="H3342">F3342/G3342*100000</f>
        <v>10.9444271720138</v>
      </c>
    </row>
    <row r="3343" ht="13" customHeight="1">
      <c r="A3343" s="8">
        <v>10</v>
      </c>
      <c r="B3343" t="s" s="9">
        <v>39</v>
      </c>
      <c r="C3343" t="s" s="9">
        <v>65</v>
      </c>
      <c r="D3343" t="s" s="9">
        <v>54</v>
      </c>
      <c r="E3343" t="s" s="9">
        <v>71</v>
      </c>
      <c r="F3343" s="10">
        <v>527</v>
      </c>
      <c r="G3343" s="10">
        <v>3901529</v>
      </c>
      <c r="H3343" s="11" cm="1">
        <f t="array" ref="H3343">F3343/G3343*100000</f>
        <v>13.5075248703777</v>
      </c>
    </row>
    <row r="3344" ht="13" customHeight="1">
      <c r="A3344" s="8">
        <v>1</v>
      </c>
      <c r="B3344" t="s" s="9">
        <v>30</v>
      </c>
      <c r="C3344" t="s" s="9">
        <v>65</v>
      </c>
      <c r="D3344" t="s" s="9">
        <v>55</v>
      </c>
      <c r="E3344" t="s" s="9">
        <v>71</v>
      </c>
      <c r="F3344" s="10">
        <v>5434</v>
      </c>
      <c r="G3344" s="10">
        <v>5273604</v>
      </c>
      <c r="H3344" s="11" cm="1">
        <f t="array" ref="H3344">F3344/G3344*100000</f>
        <v>103.041487377513</v>
      </c>
    </row>
    <row r="3345" ht="13" customHeight="1">
      <c r="A3345" s="8">
        <v>2</v>
      </c>
      <c r="B3345" t="s" s="9">
        <v>35</v>
      </c>
      <c r="C3345" t="s" s="9">
        <v>65</v>
      </c>
      <c r="D3345" t="s" s="9">
        <v>55</v>
      </c>
      <c r="E3345" t="s" s="9">
        <v>71</v>
      </c>
      <c r="F3345" s="10">
        <v>2936</v>
      </c>
      <c r="G3345" s="10">
        <v>5273604</v>
      </c>
      <c r="H3345" s="11" cm="1">
        <f t="array" ref="H3345">F3345/G3345*100000</f>
        <v>55.6735014612398</v>
      </c>
    </row>
    <row r="3346" ht="13" customHeight="1">
      <c r="A3346" s="8">
        <v>3</v>
      </c>
      <c r="B3346" t="s" s="9">
        <v>34</v>
      </c>
      <c r="C3346" t="s" s="9">
        <v>65</v>
      </c>
      <c r="D3346" t="s" s="9">
        <v>55</v>
      </c>
      <c r="E3346" t="s" s="9">
        <v>71</v>
      </c>
      <c r="F3346" s="10">
        <v>2296</v>
      </c>
      <c r="G3346" s="10">
        <v>5273604</v>
      </c>
      <c r="H3346" s="11" cm="1">
        <f t="array" ref="H3346">F3346/G3346*100000</f>
        <v>43.5375883361739</v>
      </c>
    </row>
    <row r="3347" ht="13" customHeight="1">
      <c r="A3347" s="8">
        <v>4</v>
      </c>
      <c r="B3347" t="s" s="9">
        <v>35</v>
      </c>
      <c r="C3347" t="s" s="9">
        <v>65</v>
      </c>
      <c r="D3347" t="s" s="9">
        <v>55</v>
      </c>
      <c r="E3347" t="s" s="9">
        <v>71</v>
      </c>
      <c r="F3347" s="10">
        <v>1620</v>
      </c>
      <c r="G3347" s="10">
        <v>5273604</v>
      </c>
      <c r="H3347" s="11" cm="1">
        <f t="array" ref="H3347">F3347/G3347*100000</f>
        <v>30.719030097823</v>
      </c>
    </row>
    <row r="3348" ht="13" customHeight="1">
      <c r="A3348" s="8">
        <v>5</v>
      </c>
      <c r="B3348" t="s" s="9">
        <v>30</v>
      </c>
      <c r="C3348" t="s" s="9">
        <v>65</v>
      </c>
      <c r="D3348" t="s" s="9">
        <v>55</v>
      </c>
      <c r="E3348" t="s" s="9">
        <v>71</v>
      </c>
      <c r="F3348" s="10">
        <v>1441</v>
      </c>
      <c r="G3348" s="10">
        <v>5273604</v>
      </c>
      <c r="H3348" s="11" cm="1">
        <f t="array" ref="H3348">F3348/G3348*100000</f>
        <v>27.3247668956562</v>
      </c>
    </row>
    <row r="3349" ht="13" customHeight="1">
      <c r="A3349" s="8">
        <v>6</v>
      </c>
      <c r="B3349" t="s" s="9">
        <v>39</v>
      </c>
      <c r="C3349" t="s" s="9">
        <v>65</v>
      </c>
      <c r="D3349" t="s" s="9">
        <v>55</v>
      </c>
      <c r="E3349" t="s" s="9">
        <v>71</v>
      </c>
      <c r="F3349" s="10">
        <v>1002</v>
      </c>
      <c r="G3349" s="10">
        <v>5273604</v>
      </c>
      <c r="H3349" s="11" cm="1">
        <f t="array" ref="H3349">F3349/G3349*100000</f>
        <v>19.0002889864313</v>
      </c>
    </row>
    <row r="3350" ht="13" customHeight="1">
      <c r="A3350" s="8">
        <v>7</v>
      </c>
      <c r="B3350" t="s" s="9">
        <v>36</v>
      </c>
      <c r="C3350" t="s" s="9">
        <v>65</v>
      </c>
      <c r="D3350" t="s" s="9">
        <v>55</v>
      </c>
      <c r="E3350" t="s" s="9">
        <v>71</v>
      </c>
      <c r="F3350" s="10">
        <v>709</v>
      </c>
      <c r="G3350" s="10">
        <v>5273604</v>
      </c>
      <c r="H3350" s="11" cm="1">
        <f t="array" ref="H3350">F3350/G3350*100000</f>
        <v>13.4443162588621</v>
      </c>
    </row>
    <row r="3351" ht="13" customHeight="1">
      <c r="A3351" s="8">
        <v>8</v>
      </c>
      <c r="B3351" t="s" s="9">
        <v>36</v>
      </c>
      <c r="C3351" t="s" s="9">
        <v>65</v>
      </c>
      <c r="D3351" t="s" s="9">
        <v>55</v>
      </c>
      <c r="E3351" t="s" s="9">
        <v>71</v>
      </c>
      <c r="F3351" s="10">
        <v>602</v>
      </c>
      <c r="G3351" s="10">
        <v>5273604</v>
      </c>
      <c r="H3351" s="11" cm="1">
        <f t="array" ref="H3351">F3351/G3351*100000</f>
        <v>11.4153432832651</v>
      </c>
    </row>
    <row r="3352" ht="13" customHeight="1">
      <c r="A3352" s="8">
        <v>9</v>
      </c>
      <c r="B3352" t="s" s="9">
        <v>41</v>
      </c>
      <c r="C3352" t="s" s="9">
        <v>65</v>
      </c>
      <c r="D3352" t="s" s="9">
        <v>55</v>
      </c>
      <c r="E3352" t="s" s="9">
        <v>71</v>
      </c>
      <c r="F3352" s="10">
        <v>640</v>
      </c>
      <c r="G3352" s="10">
        <v>5273604</v>
      </c>
      <c r="H3352" s="11" cm="1">
        <f t="array" ref="H3352">F3352/G3352*100000</f>
        <v>12.1359131250659</v>
      </c>
    </row>
    <row r="3353" ht="13" customHeight="1">
      <c r="A3353" s="8">
        <v>10</v>
      </c>
      <c r="B3353" t="s" s="9">
        <v>39</v>
      </c>
      <c r="C3353" t="s" s="9">
        <v>65</v>
      </c>
      <c r="D3353" t="s" s="9">
        <v>55</v>
      </c>
      <c r="E3353" t="s" s="9">
        <v>71</v>
      </c>
      <c r="F3353" s="10">
        <v>548</v>
      </c>
      <c r="G3353" s="10">
        <v>5273604</v>
      </c>
      <c r="H3353" s="11" cm="1">
        <f t="array" ref="H3353">F3353/G3353*100000</f>
        <v>10.3913756133377</v>
      </c>
    </row>
    <row r="3354" ht="13" customHeight="1">
      <c r="A3354" s="8">
        <v>1</v>
      </c>
      <c r="B3354" t="s" s="9">
        <v>34</v>
      </c>
      <c r="C3354" t="s" s="9">
        <v>65</v>
      </c>
      <c r="D3354" t="s" s="9">
        <v>56</v>
      </c>
      <c r="E3354" t="s" s="9">
        <v>71</v>
      </c>
      <c r="F3354" s="10">
        <v>2141</v>
      </c>
      <c r="G3354" s="10">
        <v>5691183</v>
      </c>
      <c r="H3354" s="11" cm="1">
        <f t="array" ref="H3354">F3354/G3354*100000</f>
        <v>37.6195950824284</v>
      </c>
    </row>
    <row r="3355" ht="13" customHeight="1">
      <c r="A3355" s="8">
        <v>2</v>
      </c>
      <c r="B3355" t="s" s="9">
        <v>35</v>
      </c>
      <c r="C3355" t="s" s="9">
        <v>65</v>
      </c>
      <c r="D3355" t="s" s="9">
        <v>56</v>
      </c>
      <c r="E3355" t="s" s="9">
        <v>71</v>
      </c>
      <c r="F3355" s="10">
        <v>2081</v>
      </c>
      <c r="G3355" s="10">
        <v>5691183</v>
      </c>
      <c r="H3355" s="11" cm="1">
        <f t="array" ref="H3355">F3355/G3355*100000</f>
        <v>36.5653327260782</v>
      </c>
    </row>
    <row r="3356" ht="13" customHeight="1">
      <c r="A3356" s="8">
        <v>3</v>
      </c>
      <c r="B3356" t="s" s="9">
        <v>30</v>
      </c>
      <c r="C3356" t="s" s="9">
        <v>65</v>
      </c>
      <c r="D3356" t="s" s="9">
        <v>56</v>
      </c>
      <c r="E3356" t="s" s="9">
        <v>71</v>
      </c>
      <c r="F3356" s="10">
        <v>1442</v>
      </c>
      <c r="G3356" s="10">
        <v>5691183</v>
      </c>
      <c r="H3356" s="11" cm="1">
        <f t="array" ref="H3356">F3356/G3356*100000</f>
        <v>25.337438630949</v>
      </c>
    </row>
    <row r="3357" ht="13" customHeight="1">
      <c r="A3357" s="8">
        <v>4</v>
      </c>
      <c r="B3357" t="s" s="9">
        <v>37</v>
      </c>
      <c r="C3357" t="s" s="9">
        <v>65</v>
      </c>
      <c r="D3357" t="s" s="9">
        <v>56</v>
      </c>
      <c r="E3357" t="s" s="9">
        <v>71</v>
      </c>
      <c r="F3357" s="10">
        <v>958</v>
      </c>
      <c r="G3357" s="10">
        <v>5691183</v>
      </c>
      <c r="H3357" s="11" cm="1">
        <f t="array" ref="H3357">F3357/G3357*100000</f>
        <v>16.8330556230576</v>
      </c>
    </row>
    <row r="3358" ht="13" customHeight="1">
      <c r="A3358" s="8">
        <v>5</v>
      </c>
      <c r="B3358" t="s" s="9">
        <v>35</v>
      </c>
      <c r="C3358" t="s" s="9">
        <v>65</v>
      </c>
      <c r="D3358" t="s" s="9">
        <v>56</v>
      </c>
      <c r="E3358" t="s" s="9">
        <v>71</v>
      </c>
      <c r="F3358" s="10">
        <v>460</v>
      </c>
      <c r="G3358" s="10">
        <v>5691183</v>
      </c>
      <c r="H3358" s="11" cm="1">
        <f t="array" ref="H3358">F3358/G3358*100000</f>
        <v>8.08267806535126</v>
      </c>
    </row>
    <row r="3359" ht="13" customHeight="1">
      <c r="A3359" s="8">
        <v>6</v>
      </c>
      <c r="B3359" t="s" s="9">
        <v>30</v>
      </c>
      <c r="C3359" t="s" s="9">
        <v>65</v>
      </c>
      <c r="D3359" t="s" s="9">
        <v>56</v>
      </c>
      <c r="E3359" t="s" s="9">
        <v>71</v>
      </c>
      <c r="F3359" s="10">
        <v>468</v>
      </c>
      <c r="G3359" s="10">
        <v>5691183</v>
      </c>
      <c r="H3359" s="11" cm="1">
        <f t="array" ref="H3359">F3359/G3359*100000</f>
        <v>8.22324637953129</v>
      </c>
    </row>
    <row r="3360" ht="13" customHeight="1">
      <c r="A3360" s="8">
        <v>7</v>
      </c>
      <c r="B3360" t="s" s="9">
        <v>30</v>
      </c>
      <c r="C3360" t="s" s="9">
        <v>65</v>
      </c>
      <c r="D3360" t="s" s="9">
        <v>56</v>
      </c>
      <c r="E3360" t="s" s="9">
        <v>71</v>
      </c>
      <c r="F3360" s="10">
        <v>391</v>
      </c>
      <c r="G3360" s="10">
        <v>5691183</v>
      </c>
      <c r="H3360" s="11" cm="1">
        <f t="array" ref="H3360">F3360/G3360*100000</f>
        <v>6.87027635554857</v>
      </c>
    </row>
    <row r="3361" ht="13" customHeight="1">
      <c r="A3361" s="8">
        <v>8</v>
      </c>
      <c r="B3361" t="s" s="9">
        <v>39</v>
      </c>
      <c r="C3361" t="s" s="9">
        <v>65</v>
      </c>
      <c r="D3361" t="s" s="9">
        <v>56</v>
      </c>
      <c r="E3361" t="s" s="9">
        <v>71</v>
      </c>
      <c r="F3361" s="10">
        <v>487</v>
      </c>
      <c r="G3361" s="10">
        <v>5691183</v>
      </c>
      <c r="H3361" s="11" cm="1">
        <f t="array" ref="H3361">F3361/G3361*100000</f>
        <v>8.55709612570884</v>
      </c>
    </row>
    <row r="3362" ht="13" customHeight="1">
      <c r="A3362" s="8">
        <v>9</v>
      </c>
      <c r="B3362" t="s" s="9">
        <v>36</v>
      </c>
      <c r="C3362" t="s" s="9">
        <v>65</v>
      </c>
      <c r="D3362" t="s" s="9">
        <v>56</v>
      </c>
      <c r="E3362" t="s" s="9">
        <v>71</v>
      </c>
      <c r="F3362" s="10">
        <v>319</v>
      </c>
      <c r="G3362" s="10">
        <v>5691183</v>
      </c>
      <c r="H3362" s="11" cm="1">
        <f t="array" ref="H3362">F3362/G3362*100000</f>
        <v>5.60516152792838</v>
      </c>
    </row>
    <row r="3363" ht="13" customHeight="1">
      <c r="A3363" s="8">
        <v>10</v>
      </c>
      <c r="B3363" t="s" s="9">
        <v>30</v>
      </c>
      <c r="C3363" t="s" s="9">
        <v>65</v>
      </c>
      <c r="D3363" t="s" s="9">
        <v>56</v>
      </c>
      <c r="E3363" t="s" s="9">
        <v>71</v>
      </c>
      <c r="F3363" s="10">
        <v>195</v>
      </c>
      <c r="G3363" s="10">
        <v>5691183</v>
      </c>
      <c r="H3363" s="11" cm="1">
        <f t="array" ref="H3363">F3363/G3363*100000</f>
        <v>3.42635265813804</v>
      </c>
    </row>
    <row r="3364" ht="13" customHeight="1">
      <c r="A3364" s="8">
        <v>1</v>
      </c>
      <c r="B3364" t="s" s="9">
        <v>35</v>
      </c>
      <c r="C3364" t="s" s="9">
        <v>65</v>
      </c>
      <c r="D3364" t="s" s="9">
        <v>57</v>
      </c>
      <c r="E3364" t="s" s="9">
        <v>71</v>
      </c>
      <c r="F3364" s="10">
        <v>1483</v>
      </c>
      <c r="G3364" s="10">
        <v>5214931</v>
      </c>
      <c r="H3364" s="11" cm="1">
        <f t="array" ref="H3364">F3364/G3364*100000</f>
        <v>28.4375766429124</v>
      </c>
    </row>
    <row r="3365" ht="13" customHeight="1">
      <c r="A3365" s="8">
        <v>2</v>
      </c>
      <c r="B3365" t="s" s="9">
        <v>30</v>
      </c>
      <c r="C3365" t="s" s="9">
        <v>65</v>
      </c>
      <c r="D3365" t="s" s="9">
        <v>57</v>
      </c>
      <c r="E3365" t="s" s="9">
        <v>71</v>
      </c>
      <c r="F3365" s="10">
        <v>512</v>
      </c>
      <c r="G3365" s="10">
        <v>5214931</v>
      </c>
      <c r="H3365" s="11" cm="1">
        <f t="array" ref="H3365">F3365/G3365*100000</f>
        <v>9.81796307563801</v>
      </c>
    </row>
    <row r="3366" ht="13" customHeight="1">
      <c r="A3366" s="8">
        <v>3</v>
      </c>
      <c r="B3366" t="s" s="9">
        <v>34</v>
      </c>
      <c r="C3366" t="s" s="9">
        <v>65</v>
      </c>
      <c r="D3366" t="s" s="9">
        <v>57</v>
      </c>
      <c r="E3366" t="s" s="9">
        <v>71</v>
      </c>
      <c r="F3366" s="10">
        <v>219</v>
      </c>
      <c r="G3366" s="10">
        <v>5214931</v>
      </c>
      <c r="H3366" s="11" cm="1">
        <f t="array" ref="H3366">F3366/G3366*100000</f>
        <v>4.1994802999311</v>
      </c>
    </row>
    <row r="3367" ht="13" customHeight="1">
      <c r="A3367" s="8">
        <v>4</v>
      </c>
      <c r="B3367" t="s" s="9">
        <v>30</v>
      </c>
      <c r="C3367" t="s" s="9">
        <v>65</v>
      </c>
      <c r="D3367" t="s" s="9">
        <v>57</v>
      </c>
      <c r="E3367" t="s" s="9">
        <v>71</v>
      </c>
      <c r="F3367" s="10">
        <v>79</v>
      </c>
      <c r="G3367" s="10">
        <v>5214931</v>
      </c>
      <c r="H3367" s="11" cm="1">
        <f t="array" ref="H3367">F3367/G3367*100000</f>
        <v>1.51488102143633</v>
      </c>
    </row>
    <row r="3368" ht="13" customHeight="1">
      <c r="A3368" s="8">
        <v>5</v>
      </c>
      <c r="B3368" t="s" s="9">
        <v>41</v>
      </c>
      <c r="C3368" t="s" s="9">
        <v>65</v>
      </c>
      <c r="D3368" t="s" s="9">
        <v>57</v>
      </c>
      <c r="E3368" t="s" s="9">
        <v>71</v>
      </c>
      <c r="F3368" s="10">
        <v>58</v>
      </c>
      <c r="G3368" s="10">
        <v>5214931</v>
      </c>
      <c r="H3368" s="11" cm="1">
        <f t="array" ref="H3368">F3368/G3368*100000</f>
        <v>1.11219112966212</v>
      </c>
    </row>
    <row r="3369" ht="13" customHeight="1">
      <c r="A3369" s="8">
        <v>6</v>
      </c>
      <c r="B3369" t="s" s="9">
        <v>39</v>
      </c>
      <c r="C3369" t="s" s="9">
        <v>65</v>
      </c>
      <c r="D3369" t="s" s="9">
        <v>57</v>
      </c>
      <c r="E3369" t="s" s="9">
        <v>71</v>
      </c>
      <c r="F3369" s="10">
        <v>79</v>
      </c>
      <c r="G3369" s="10">
        <v>5214931</v>
      </c>
      <c r="H3369" s="11" cm="1">
        <f t="array" ref="H3369">F3369/G3369*100000</f>
        <v>1.51488102143633</v>
      </c>
    </row>
    <row r="3370" ht="13" customHeight="1">
      <c r="A3370" s="8">
        <v>7</v>
      </c>
      <c r="B3370" t="s" s="9">
        <v>36</v>
      </c>
      <c r="C3370" t="s" s="9">
        <v>65</v>
      </c>
      <c r="D3370" t="s" s="9">
        <v>57</v>
      </c>
      <c r="E3370" t="s" s="9">
        <v>71</v>
      </c>
      <c r="F3370" s="10">
        <v>31</v>
      </c>
      <c r="G3370" s="10">
        <v>5214931</v>
      </c>
      <c r="H3370" s="11" cm="1">
        <f t="array" ref="H3370">F3370/G3370*100000</f>
        <v>0.59444698309527</v>
      </c>
    </row>
    <row r="3371" ht="13" customHeight="1">
      <c r="A3371" s="8">
        <v>8</v>
      </c>
      <c r="B3371" t="s" s="9">
        <v>30</v>
      </c>
      <c r="C3371" t="s" s="9">
        <v>65</v>
      </c>
      <c r="D3371" t="s" s="9">
        <v>57</v>
      </c>
      <c r="E3371" t="s" s="9">
        <v>71</v>
      </c>
      <c r="F3371" s="10">
        <v>14</v>
      </c>
      <c r="G3371" s="10">
        <v>5214931</v>
      </c>
      <c r="H3371" s="11" cm="1">
        <f t="array" ref="H3371">F3371/G3371*100000</f>
        <v>0.268459927849477</v>
      </c>
    </row>
    <row r="3372" ht="13" customHeight="1">
      <c r="A3372" s="8">
        <v>9</v>
      </c>
      <c r="B3372" t="s" s="9">
        <v>30</v>
      </c>
      <c r="C3372" t="s" s="9">
        <v>65</v>
      </c>
      <c r="D3372" t="s" s="9">
        <v>57</v>
      </c>
      <c r="E3372" t="s" s="9">
        <v>71</v>
      </c>
      <c r="F3372" s="10">
        <v>9</v>
      </c>
      <c r="G3372" s="10">
        <v>5214931</v>
      </c>
      <c r="H3372" s="11" cm="1">
        <f t="array" ref="H3372">F3372/G3372*100000</f>
        <v>0.172581382188949</v>
      </c>
    </row>
    <row r="3373" ht="13" customHeight="1">
      <c r="A3373" s="8">
        <v>10</v>
      </c>
      <c r="B3373" t="s" s="9">
        <v>45</v>
      </c>
      <c r="C3373" t="s" s="9">
        <v>65</v>
      </c>
      <c r="D3373" t="s" s="9">
        <v>57</v>
      </c>
      <c r="E3373" t="s" s="9">
        <v>71</v>
      </c>
      <c r="F3373" s="10">
        <v>9</v>
      </c>
      <c r="G3373" s="10">
        <v>5214931</v>
      </c>
      <c r="H3373" s="11" cm="1">
        <f t="array" ref="H3373">F3373/G3373*100000</f>
        <v>0.172581382188949</v>
      </c>
    </row>
    <row r="3374" ht="13" customHeight="1">
      <c r="A3374" s="8">
        <v>1</v>
      </c>
      <c r="B3374" t="s" s="9">
        <v>30</v>
      </c>
      <c r="C3374" t="s" s="9">
        <v>65</v>
      </c>
      <c r="D3374" t="s" s="9">
        <v>20</v>
      </c>
      <c r="E3374" t="s" s="9">
        <v>71</v>
      </c>
      <c r="F3374" s="10">
        <v>2922</v>
      </c>
      <c r="G3374" s="10">
        <v>2889689</v>
      </c>
      <c r="H3374" s="11" cm="1">
        <f t="array" ref="H3374">F3374/G3374*100000</f>
        <v>101.118148008315</v>
      </c>
    </row>
    <row r="3375" ht="13" customHeight="1">
      <c r="A3375" s="8">
        <v>2</v>
      </c>
      <c r="B3375" t="s" s="9">
        <v>34</v>
      </c>
      <c r="C3375" t="s" s="9">
        <v>65</v>
      </c>
      <c r="D3375" t="s" s="9">
        <v>20</v>
      </c>
      <c r="E3375" t="s" s="9">
        <v>71</v>
      </c>
      <c r="F3375" s="10">
        <v>1655</v>
      </c>
      <c r="G3375" s="10">
        <v>2889689</v>
      </c>
      <c r="H3375" s="11" cm="1">
        <f t="array" ref="H3375">F3375/G3375*100000</f>
        <v>57.2725992312668</v>
      </c>
    </row>
    <row r="3376" ht="13" customHeight="1">
      <c r="A3376" s="8">
        <v>3</v>
      </c>
      <c r="B3376" t="s" s="9">
        <v>39</v>
      </c>
      <c r="C3376" t="s" s="9">
        <v>65</v>
      </c>
      <c r="D3376" t="s" s="9">
        <v>20</v>
      </c>
      <c r="E3376" t="s" s="9">
        <v>71</v>
      </c>
      <c r="F3376" s="10">
        <v>1194</v>
      </c>
      <c r="G3376" s="10">
        <v>2889689</v>
      </c>
      <c r="H3376" s="11" cm="1">
        <f t="array" ref="H3376">F3376/G3376*100000</f>
        <v>41.3193253668474</v>
      </c>
    </row>
    <row r="3377" ht="13" customHeight="1">
      <c r="A3377" s="8">
        <v>4</v>
      </c>
      <c r="B3377" t="s" s="9">
        <v>35</v>
      </c>
      <c r="C3377" t="s" s="9">
        <v>65</v>
      </c>
      <c r="D3377" t="s" s="9">
        <v>20</v>
      </c>
      <c r="E3377" t="s" s="9">
        <v>71</v>
      </c>
      <c r="F3377" s="10">
        <v>614</v>
      </c>
      <c r="G3377" s="10">
        <v>2889689</v>
      </c>
      <c r="H3377" s="11" cm="1">
        <f t="array" ref="H3377">F3377/G3377*100000</f>
        <v>21.2479612857993</v>
      </c>
    </row>
    <row r="3378" ht="13" customHeight="1">
      <c r="A3378" s="8">
        <v>5</v>
      </c>
      <c r="B3378" t="s" s="9">
        <v>35</v>
      </c>
      <c r="C3378" t="s" s="9">
        <v>65</v>
      </c>
      <c r="D3378" t="s" s="9">
        <v>20</v>
      </c>
      <c r="E3378" t="s" s="9">
        <v>71</v>
      </c>
      <c r="F3378" s="10">
        <v>797</v>
      </c>
      <c r="G3378" s="10">
        <v>2889689</v>
      </c>
      <c r="H3378" s="11" cm="1">
        <f t="array" ref="H3378">F3378/G3378*100000</f>
        <v>27.5808227113714</v>
      </c>
    </row>
    <row r="3379" ht="13" customHeight="1">
      <c r="A3379" s="8">
        <v>6</v>
      </c>
      <c r="B3379" t="s" s="9">
        <v>30</v>
      </c>
      <c r="C3379" t="s" s="9">
        <v>65</v>
      </c>
      <c r="D3379" t="s" s="9">
        <v>20</v>
      </c>
      <c r="E3379" t="s" s="9">
        <v>71</v>
      </c>
      <c r="F3379" s="10">
        <v>690</v>
      </c>
      <c r="G3379" s="10">
        <v>2889689</v>
      </c>
      <c r="H3379" s="11" cm="1">
        <f t="array" ref="H3379">F3379/G3379*100000</f>
        <v>23.8780020964194</v>
      </c>
    </row>
    <row r="3380" ht="13" customHeight="1">
      <c r="A3380" s="8">
        <v>7</v>
      </c>
      <c r="B3380" t="s" s="9">
        <v>36</v>
      </c>
      <c r="C3380" t="s" s="9">
        <v>65</v>
      </c>
      <c r="D3380" t="s" s="9">
        <v>20</v>
      </c>
      <c r="E3380" t="s" s="9">
        <v>71</v>
      </c>
      <c r="F3380" s="10">
        <v>533</v>
      </c>
      <c r="G3380" s="10">
        <v>2889689</v>
      </c>
      <c r="H3380" s="11" cm="1">
        <f t="array" ref="H3380">F3380/G3380*100000</f>
        <v>18.4448914744805</v>
      </c>
    </row>
    <row r="3381" ht="13" customHeight="1">
      <c r="A3381" s="8">
        <v>8</v>
      </c>
      <c r="B3381" t="s" s="9">
        <v>37</v>
      </c>
      <c r="C3381" t="s" s="9">
        <v>65</v>
      </c>
      <c r="D3381" t="s" s="9">
        <v>20</v>
      </c>
      <c r="E3381" t="s" s="9">
        <v>71</v>
      </c>
      <c r="F3381" s="10">
        <v>544</v>
      </c>
      <c r="G3381" s="10">
        <v>2889689</v>
      </c>
      <c r="H3381" s="11" cm="1">
        <f t="array" ref="H3381">F3381/G3381*100000</f>
        <v>18.8255552760176</v>
      </c>
    </row>
    <row r="3382" ht="13" customHeight="1">
      <c r="A3382" s="8">
        <v>9</v>
      </c>
      <c r="B3382" t="s" s="9">
        <v>37</v>
      </c>
      <c r="C3382" t="s" s="9">
        <v>65</v>
      </c>
      <c r="D3382" t="s" s="9">
        <v>20</v>
      </c>
      <c r="E3382" t="s" s="9">
        <v>71</v>
      </c>
      <c r="F3382" s="10">
        <v>418</v>
      </c>
      <c r="G3382" s="10">
        <v>2889689</v>
      </c>
      <c r="H3382" s="11" cm="1">
        <f t="array" ref="H3382">F3382/G3382*100000</f>
        <v>14.4652244584106</v>
      </c>
    </row>
    <row r="3383" ht="13" customHeight="1">
      <c r="A3383" s="8">
        <v>10</v>
      </c>
      <c r="B3383" t="s" s="9">
        <v>45</v>
      </c>
      <c r="C3383" t="s" s="9">
        <v>65</v>
      </c>
      <c r="D3383" t="s" s="9">
        <v>20</v>
      </c>
      <c r="E3383" t="s" s="9">
        <v>71</v>
      </c>
      <c r="F3383" s="10">
        <v>333</v>
      </c>
      <c r="G3383" s="10">
        <v>2889689</v>
      </c>
      <c r="H3383" s="11" cm="1">
        <f t="array" ref="H3383">F3383/G3383*100000</f>
        <v>11.5237314465328</v>
      </c>
    </row>
    <row r="3384" ht="13" customHeight="1">
      <c r="A3384" s="8">
        <v>1</v>
      </c>
      <c r="B3384" t="s" s="9">
        <v>30</v>
      </c>
      <c r="C3384" t="s" s="9">
        <v>65</v>
      </c>
      <c r="D3384" t="s" s="9">
        <v>21</v>
      </c>
      <c r="E3384" t="s" s="9">
        <v>71</v>
      </c>
      <c r="F3384" s="10">
        <v>3926</v>
      </c>
      <c r="G3384" s="10">
        <v>4635519</v>
      </c>
      <c r="H3384" s="11" cm="1">
        <f t="array" ref="H3384">F3384/G3384*100000</f>
        <v>84.6938606011538</v>
      </c>
    </row>
    <row r="3385" ht="13" customHeight="1">
      <c r="A3385" s="8">
        <v>2</v>
      </c>
      <c r="B3385" t="s" s="9">
        <v>30</v>
      </c>
      <c r="C3385" t="s" s="9">
        <v>65</v>
      </c>
      <c r="D3385" t="s" s="9">
        <v>21</v>
      </c>
      <c r="E3385" t="s" s="9">
        <v>71</v>
      </c>
      <c r="F3385" s="10">
        <v>2606</v>
      </c>
      <c r="G3385" s="10">
        <v>4635519</v>
      </c>
      <c r="H3385" s="11" cm="1">
        <f t="array" ref="H3385">F3385/G3385*100000</f>
        <v>56.2180847495178</v>
      </c>
    </row>
    <row r="3386" ht="13" customHeight="1">
      <c r="A3386" s="8">
        <v>3</v>
      </c>
      <c r="B3386" t="s" s="9">
        <v>36</v>
      </c>
      <c r="C3386" t="s" s="9">
        <v>65</v>
      </c>
      <c r="D3386" t="s" s="9">
        <v>21</v>
      </c>
      <c r="E3386" t="s" s="9">
        <v>71</v>
      </c>
      <c r="F3386" s="10">
        <v>1592</v>
      </c>
      <c r="G3386" s="10">
        <v>4635519</v>
      </c>
      <c r="H3386" s="11" cm="1">
        <f t="array" ref="H3386">F3386/G3386*100000</f>
        <v>34.3435114816701</v>
      </c>
    </row>
    <row r="3387" ht="13" customHeight="1">
      <c r="A3387" s="8">
        <v>4</v>
      </c>
      <c r="B3387" t="s" s="9">
        <v>34</v>
      </c>
      <c r="C3387" t="s" s="9">
        <v>65</v>
      </c>
      <c r="D3387" t="s" s="9">
        <v>21</v>
      </c>
      <c r="E3387" t="s" s="9">
        <v>71</v>
      </c>
      <c r="F3387" s="10">
        <v>1669</v>
      </c>
      <c r="G3387" s="10">
        <v>4635519</v>
      </c>
      <c r="H3387" s="11" cm="1">
        <f t="array" ref="H3387">F3387/G3387*100000</f>
        <v>36.0045984063489</v>
      </c>
    </row>
    <row r="3388" ht="13" customHeight="1">
      <c r="A3388" s="8">
        <v>5</v>
      </c>
      <c r="B3388" t="s" s="9">
        <v>36</v>
      </c>
      <c r="C3388" t="s" s="9">
        <v>65</v>
      </c>
      <c r="D3388" t="s" s="9">
        <v>21</v>
      </c>
      <c r="E3388" t="s" s="9">
        <v>71</v>
      </c>
      <c r="F3388" s="10">
        <v>805</v>
      </c>
      <c r="G3388" s="10">
        <v>4635519</v>
      </c>
      <c r="H3388" s="11" cm="1">
        <f t="array" ref="H3388">F3388/G3388*100000</f>
        <v>17.3659087580053</v>
      </c>
    </row>
    <row r="3389" ht="13" customHeight="1">
      <c r="A3389" s="8">
        <v>6</v>
      </c>
      <c r="B3389" t="s" s="9">
        <v>41</v>
      </c>
      <c r="C3389" t="s" s="9">
        <v>65</v>
      </c>
      <c r="D3389" t="s" s="9">
        <v>21</v>
      </c>
      <c r="E3389" t="s" s="9">
        <v>71</v>
      </c>
      <c r="F3389" s="10">
        <v>628</v>
      </c>
      <c r="G3389" s="10">
        <v>4635519</v>
      </c>
      <c r="H3389" s="11" cm="1">
        <f t="array" ref="H3389">F3389/G3389*100000</f>
        <v>13.5475660869905</v>
      </c>
    </row>
    <row r="3390" ht="13" customHeight="1">
      <c r="A3390" s="8">
        <v>7</v>
      </c>
      <c r="B3390" t="s" s="9">
        <v>35</v>
      </c>
      <c r="C3390" t="s" s="9">
        <v>65</v>
      </c>
      <c r="D3390" t="s" s="9">
        <v>21</v>
      </c>
      <c r="E3390" t="s" s="9">
        <v>71</v>
      </c>
      <c r="F3390" s="10">
        <v>541</v>
      </c>
      <c r="G3390" s="10">
        <v>4635519</v>
      </c>
      <c r="H3390" s="11" cm="1">
        <f t="array" ref="H3390">F3390/G3390*100000</f>
        <v>11.6707535876781</v>
      </c>
    </row>
    <row r="3391" ht="13" customHeight="1">
      <c r="A3391" s="8">
        <v>8</v>
      </c>
      <c r="B3391" t="s" s="9">
        <v>35</v>
      </c>
      <c r="C3391" t="s" s="9">
        <v>65</v>
      </c>
      <c r="D3391" t="s" s="9">
        <v>21</v>
      </c>
      <c r="E3391" t="s" s="9">
        <v>71</v>
      </c>
      <c r="F3391" s="10">
        <v>390</v>
      </c>
      <c r="G3391" s="10">
        <v>4635519</v>
      </c>
      <c r="H3391" s="11" cm="1">
        <f t="array" ref="H3391">F3391/G3391*100000</f>
        <v>8.41329741071065</v>
      </c>
    </row>
    <row r="3392" ht="13" customHeight="1">
      <c r="A3392" s="8">
        <v>9</v>
      </c>
      <c r="B3392" t="s" s="9">
        <v>30</v>
      </c>
      <c r="C3392" t="s" s="9">
        <v>65</v>
      </c>
      <c r="D3392" t="s" s="9">
        <v>21</v>
      </c>
      <c r="E3392" t="s" s="9">
        <v>71</v>
      </c>
      <c r="F3392" s="10">
        <v>445</v>
      </c>
      <c r="G3392" s="10">
        <v>4635519</v>
      </c>
      <c r="H3392" s="11" cm="1">
        <f t="array" ref="H3392">F3392/G3392*100000</f>
        <v>9.59978807119548</v>
      </c>
    </row>
    <row r="3393" ht="13" customHeight="1">
      <c r="A3393" s="8">
        <v>10</v>
      </c>
      <c r="B3393" t="s" s="9">
        <v>37</v>
      </c>
      <c r="C3393" t="s" s="9">
        <v>65</v>
      </c>
      <c r="D3393" t="s" s="9">
        <v>21</v>
      </c>
      <c r="E3393" t="s" s="9">
        <v>71</v>
      </c>
      <c r="F3393" s="10">
        <v>517</v>
      </c>
      <c r="G3393" s="10">
        <v>4635519</v>
      </c>
      <c r="H3393" s="11" cm="1">
        <f t="array" ref="H3393">F3393/G3393*100000</f>
        <v>11.1530122085574</v>
      </c>
    </row>
    <row r="3394" ht="13.65" customHeight="1">
      <c r="A3394" s="8">
        <v>1</v>
      </c>
      <c r="B3394" t="s" s="9">
        <v>35</v>
      </c>
      <c r="C3394" t="s" s="9">
        <v>65</v>
      </c>
      <c r="D3394" t="s" s="9">
        <v>58</v>
      </c>
      <c r="E3394" t="s" s="9">
        <v>71</v>
      </c>
      <c r="F3394" s="10">
        <v>3154</v>
      </c>
      <c r="G3394" s="12"/>
      <c r="H3394" s="13"/>
    </row>
    <row r="3395" ht="13.65" customHeight="1">
      <c r="A3395" s="8">
        <v>2</v>
      </c>
      <c r="B3395" t="s" s="9">
        <v>30</v>
      </c>
      <c r="C3395" t="s" s="9">
        <v>65</v>
      </c>
      <c r="D3395" t="s" s="9">
        <v>58</v>
      </c>
      <c r="E3395" t="s" s="9">
        <v>71</v>
      </c>
      <c r="F3395" s="10">
        <v>1851</v>
      </c>
      <c r="G3395" s="14"/>
      <c r="H3395" s="15"/>
    </row>
    <row r="3396" ht="13.65" customHeight="1">
      <c r="A3396" s="8">
        <v>3</v>
      </c>
      <c r="B3396" t="s" s="9">
        <v>30</v>
      </c>
      <c r="C3396" t="s" s="9">
        <v>65</v>
      </c>
      <c r="D3396" t="s" s="9">
        <v>58</v>
      </c>
      <c r="E3396" t="s" s="9">
        <v>71</v>
      </c>
      <c r="F3396" s="10">
        <v>1006</v>
      </c>
      <c r="G3396" s="14"/>
      <c r="H3396" s="15"/>
    </row>
    <row r="3397" ht="13.65" customHeight="1">
      <c r="A3397" s="8">
        <v>4</v>
      </c>
      <c r="B3397" t="s" s="9">
        <v>34</v>
      </c>
      <c r="C3397" t="s" s="9">
        <v>65</v>
      </c>
      <c r="D3397" t="s" s="9">
        <v>58</v>
      </c>
      <c r="E3397" t="s" s="9">
        <v>71</v>
      </c>
      <c r="F3397" s="10">
        <v>1057</v>
      </c>
      <c r="G3397" s="14"/>
      <c r="H3397" s="15"/>
    </row>
    <row r="3398" ht="13.65" customHeight="1">
      <c r="A3398" s="8">
        <v>5</v>
      </c>
      <c r="B3398" t="s" s="9">
        <v>36</v>
      </c>
      <c r="C3398" t="s" s="9">
        <v>65</v>
      </c>
      <c r="D3398" t="s" s="9">
        <v>58</v>
      </c>
      <c r="E3398" t="s" s="9">
        <v>71</v>
      </c>
      <c r="F3398" s="10">
        <v>580</v>
      </c>
      <c r="G3398" s="14"/>
      <c r="H3398" s="15"/>
    </row>
    <row r="3399" ht="13.65" customHeight="1">
      <c r="A3399" s="8">
        <v>6</v>
      </c>
      <c r="B3399" t="s" s="9">
        <v>30</v>
      </c>
      <c r="C3399" t="s" s="9">
        <v>65</v>
      </c>
      <c r="D3399" t="s" s="9">
        <v>58</v>
      </c>
      <c r="E3399" t="s" s="9">
        <v>71</v>
      </c>
      <c r="F3399" s="10">
        <v>307</v>
      </c>
      <c r="G3399" s="14"/>
      <c r="H3399" s="15"/>
    </row>
    <row r="3400" ht="13.65" customHeight="1">
      <c r="A3400" s="8">
        <v>7</v>
      </c>
      <c r="B3400" t="s" s="9">
        <v>45</v>
      </c>
      <c r="C3400" t="s" s="9">
        <v>65</v>
      </c>
      <c r="D3400" t="s" s="9">
        <v>58</v>
      </c>
      <c r="E3400" t="s" s="9">
        <v>71</v>
      </c>
      <c r="F3400" s="10">
        <v>449</v>
      </c>
      <c r="G3400" s="14"/>
      <c r="H3400" s="15"/>
    </row>
    <row r="3401" ht="13.65" customHeight="1">
      <c r="A3401" s="8">
        <v>8</v>
      </c>
      <c r="B3401" t="s" s="9">
        <v>37</v>
      </c>
      <c r="C3401" t="s" s="9">
        <v>65</v>
      </c>
      <c r="D3401" t="s" s="9">
        <v>58</v>
      </c>
      <c r="E3401" t="s" s="9">
        <v>71</v>
      </c>
      <c r="F3401" s="10">
        <v>542</v>
      </c>
      <c r="G3401" s="14"/>
      <c r="H3401" s="15"/>
    </row>
    <row r="3402" ht="13.65" customHeight="1">
      <c r="A3402" s="8">
        <v>9</v>
      </c>
      <c r="B3402" t="s" s="9">
        <v>39</v>
      </c>
      <c r="C3402" t="s" s="9">
        <v>65</v>
      </c>
      <c r="D3402" t="s" s="9">
        <v>58</v>
      </c>
      <c r="E3402" t="s" s="9">
        <v>71</v>
      </c>
      <c r="F3402" s="10">
        <v>597</v>
      </c>
      <c r="G3402" s="14"/>
      <c r="H3402" s="15"/>
    </row>
    <row r="3403" ht="13.65" customHeight="1">
      <c r="A3403" s="8">
        <v>10</v>
      </c>
      <c r="B3403" t="s" s="9">
        <v>35</v>
      </c>
      <c r="C3403" t="s" s="9">
        <v>65</v>
      </c>
      <c r="D3403" t="s" s="9">
        <v>58</v>
      </c>
      <c r="E3403" t="s" s="9">
        <v>71</v>
      </c>
      <c r="F3403" s="10">
        <v>286</v>
      </c>
      <c r="G3403" s="16"/>
      <c r="H3403" s="17"/>
    </row>
    <row r="3404" ht="13" customHeight="1">
      <c r="A3404" s="8">
        <v>1</v>
      </c>
      <c r="B3404" t="s" s="9">
        <v>30</v>
      </c>
      <c r="C3404" t="s" s="9">
        <v>66</v>
      </c>
      <c r="D3404" t="s" s="9">
        <v>32</v>
      </c>
      <c r="E3404" t="s" s="9">
        <v>71</v>
      </c>
      <c r="F3404" s="10">
        <v>12159</v>
      </c>
      <c r="G3404" s="10">
        <v>14521657</v>
      </c>
      <c r="H3404" s="11" cm="1">
        <f t="array" ref="H3404">F3404/G3404*100000</f>
        <v>83.73011427001749</v>
      </c>
    </row>
    <row r="3405" ht="13" customHeight="1">
      <c r="A3405" s="8">
        <v>2</v>
      </c>
      <c r="B3405" t="s" s="9">
        <v>34</v>
      </c>
      <c r="C3405" t="s" s="9">
        <v>66</v>
      </c>
      <c r="D3405" t="s" s="9">
        <v>32</v>
      </c>
      <c r="E3405" t="s" s="9">
        <v>71</v>
      </c>
      <c r="F3405" s="10">
        <v>11312</v>
      </c>
      <c r="G3405" s="10">
        <v>14521657</v>
      </c>
      <c r="H3405" s="11" cm="1">
        <f t="array" ref="H3405">F3405/G3405*100000</f>
        <v>77.8974465517262</v>
      </c>
    </row>
    <row r="3406" ht="13" customHeight="1">
      <c r="A3406" s="8">
        <v>3</v>
      </c>
      <c r="B3406" t="s" s="9">
        <v>35</v>
      </c>
      <c r="C3406" t="s" s="9">
        <v>66</v>
      </c>
      <c r="D3406" t="s" s="9">
        <v>32</v>
      </c>
      <c r="E3406" t="s" s="9">
        <v>71</v>
      </c>
      <c r="F3406" s="10">
        <v>7779</v>
      </c>
      <c r="G3406" s="10">
        <v>14521657</v>
      </c>
      <c r="H3406" s="11" cm="1">
        <f t="array" ref="H3406">F3406/G3406*100000</f>
        <v>53.5682670372947</v>
      </c>
    </row>
    <row r="3407" ht="13" customHeight="1">
      <c r="A3407" s="8">
        <v>4</v>
      </c>
      <c r="B3407" t="s" s="9">
        <v>37</v>
      </c>
      <c r="C3407" t="s" s="9">
        <v>66</v>
      </c>
      <c r="D3407" t="s" s="9">
        <v>32</v>
      </c>
      <c r="E3407" t="s" s="9">
        <v>71</v>
      </c>
      <c r="F3407" s="10">
        <v>3982</v>
      </c>
      <c r="G3407" s="10">
        <v>14521657</v>
      </c>
      <c r="H3407" s="11" cm="1">
        <f t="array" ref="H3407">F3407/G3407*100000</f>
        <v>27.4211131691101</v>
      </c>
    </row>
    <row r="3408" ht="13" customHeight="1">
      <c r="A3408" s="8">
        <v>5</v>
      </c>
      <c r="B3408" t="s" s="9">
        <v>39</v>
      </c>
      <c r="C3408" t="s" s="9">
        <v>66</v>
      </c>
      <c r="D3408" t="s" s="9">
        <v>32</v>
      </c>
      <c r="E3408" t="s" s="9">
        <v>71</v>
      </c>
      <c r="F3408" s="10">
        <v>3408</v>
      </c>
      <c r="G3408" s="10">
        <v>14521657</v>
      </c>
      <c r="H3408" s="11" cm="1">
        <f t="array" ref="H3408">F3408/G3408*100000</f>
        <v>23.4683962029953</v>
      </c>
    </row>
    <row r="3409" ht="13" customHeight="1">
      <c r="A3409" s="8">
        <v>6</v>
      </c>
      <c r="B3409" t="s" s="9">
        <v>37</v>
      </c>
      <c r="C3409" t="s" s="9">
        <v>66</v>
      </c>
      <c r="D3409" t="s" s="9">
        <v>32</v>
      </c>
      <c r="E3409" t="s" s="9">
        <v>71</v>
      </c>
      <c r="F3409" s="10">
        <v>2017</v>
      </c>
      <c r="G3409" s="10">
        <v>14521657</v>
      </c>
      <c r="H3409" s="11" cm="1">
        <f t="array" ref="H3409">F3409/G3409*100000</f>
        <v>13.8895995133338</v>
      </c>
    </row>
    <row r="3410" ht="13" customHeight="1">
      <c r="A3410" s="8">
        <v>7</v>
      </c>
      <c r="B3410" t="s" s="9">
        <v>30</v>
      </c>
      <c r="C3410" t="s" s="9">
        <v>66</v>
      </c>
      <c r="D3410" t="s" s="9">
        <v>32</v>
      </c>
      <c r="E3410" t="s" s="9">
        <v>71</v>
      </c>
      <c r="F3410" s="10">
        <v>1719</v>
      </c>
      <c r="G3410" s="10">
        <v>14521657</v>
      </c>
      <c r="H3410" s="11" cm="1">
        <f t="array" ref="H3410">F3410/G3410*100000</f>
        <v>11.837492098870</v>
      </c>
    </row>
    <row r="3411" ht="13" customHeight="1">
      <c r="A3411" s="8">
        <v>8</v>
      </c>
      <c r="B3411" t="s" s="9">
        <v>30</v>
      </c>
      <c r="C3411" t="s" s="9">
        <v>66</v>
      </c>
      <c r="D3411" t="s" s="9">
        <v>32</v>
      </c>
      <c r="E3411" t="s" s="9">
        <v>71</v>
      </c>
      <c r="F3411" s="10">
        <v>1363</v>
      </c>
      <c r="G3411" s="10">
        <v>14521657</v>
      </c>
      <c r="H3411" s="11" cm="1">
        <f t="array" ref="H3411">F3411/G3411*100000</f>
        <v>9.385981227899819</v>
      </c>
    </row>
    <row r="3412" ht="13" customHeight="1">
      <c r="A3412" s="8">
        <v>9</v>
      </c>
      <c r="B3412" t="s" s="9">
        <v>30</v>
      </c>
      <c r="C3412" t="s" s="9">
        <v>66</v>
      </c>
      <c r="D3412" t="s" s="9">
        <v>32</v>
      </c>
      <c r="E3412" t="s" s="9">
        <v>71</v>
      </c>
      <c r="F3412" s="10">
        <v>1746</v>
      </c>
      <c r="G3412" s="10">
        <v>14521657</v>
      </c>
      <c r="H3412" s="11" cm="1">
        <f t="array" ref="H3412">F3412/G3412*100000</f>
        <v>12.0234212941402</v>
      </c>
    </row>
    <row r="3413" ht="13" customHeight="1">
      <c r="A3413" s="8">
        <v>10</v>
      </c>
      <c r="B3413" t="s" s="9">
        <v>36</v>
      </c>
      <c r="C3413" t="s" s="9">
        <v>66</v>
      </c>
      <c r="D3413" t="s" s="9">
        <v>32</v>
      </c>
      <c r="E3413" t="s" s="9">
        <v>71</v>
      </c>
      <c r="F3413" s="10">
        <v>1297</v>
      </c>
      <c r="G3413" s="10">
        <v>14521657</v>
      </c>
      <c r="H3413" s="11" cm="1">
        <f t="array" ref="H3413">F3413/G3413*100000</f>
        <v>8.93148763946153</v>
      </c>
    </row>
    <row r="3414" ht="13" customHeight="1">
      <c r="A3414" s="8">
        <v>1</v>
      </c>
      <c r="B3414" t="s" s="9">
        <v>30</v>
      </c>
      <c r="C3414" t="s" s="9">
        <v>66</v>
      </c>
      <c r="D3414" t="s" s="9">
        <v>38</v>
      </c>
      <c r="E3414" t="s" s="9">
        <v>71</v>
      </c>
      <c r="F3414" s="10">
        <v>7200</v>
      </c>
      <c r="G3414" s="10">
        <v>1874281</v>
      </c>
      <c r="H3414" s="11" cm="1">
        <f t="array" ref="H3414">F3414/G3414*100000</f>
        <v>384.147307687588</v>
      </c>
    </row>
    <row r="3415" ht="13" customHeight="1">
      <c r="A3415" s="8">
        <v>2</v>
      </c>
      <c r="B3415" t="s" s="9">
        <v>34</v>
      </c>
      <c r="C3415" t="s" s="9">
        <v>66</v>
      </c>
      <c r="D3415" t="s" s="9">
        <v>38</v>
      </c>
      <c r="E3415" t="s" s="9">
        <v>71</v>
      </c>
      <c r="F3415" s="10">
        <v>6076</v>
      </c>
      <c r="G3415" s="10">
        <v>1874281</v>
      </c>
      <c r="H3415" s="11" cm="1">
        <f t="array" ref="H3415">F3415/G3415*100000</f>
        <v>324.177644654137</v>
      </c>
    </row>
    <row r="3416" ht="13" customHeight="1">
      <c r="A3416" s="8">
        <v>3</v>
      </c>
      <c r="B3416" t="s" s="9">
        <v>35</v>
      </c>
      <c r="C3416" t="s" s="9">
        <v>66</v>
      </c>
      <c r="D3416" t="s" s="9">
        <v>38</v>
      </c>
      <c r="E3416" t="s" s="9">
        <v>71</v>
      </c>
      <c r="F3416" s="10">
        <v>1075</v>
      </c>
      <c r="G3416" s="10">
        <v>1874281</v>
      </c>
      <c r="H3416" s="11" cm="1">
        <f t="array" ref="H3416">F3416/G3416*100000</f>
        <v>57.3553271894663</v>
      </c>
    </row>
    <row r="3417" ht="13" customHeight="1">
      <c r="A3417" s="8">
        <v>4</v>
      </c>
      <c r="B3417" t="s" s="9">
        <v>37</v>
      </c>
      <c r="C3417" t="s" s="9">
        <v>66</v>
      </c>
      <c r="D3417" t="s" s="9">
        <v>38</v>
      </c>
      <c r="E3417" t="s" s="9">
        <v>71</v>
      </c>
      <c r="F3417" s="10">
        <v>1225</v>
      </c>
      <c r="G3417" s="10">
        <v>1874281</v>
      </c>
      <c r="H3417" s="11" cm="1">
        <f t="array" ref="H3417">F3417/G3417*100000</f>
        <v>65.3583960996243</v>
      </c>
    </row>
    <row r="3418" ht="13" customHeight="1">
      <c r="A3418" s="8">
        <v>5</v>
      </c>
      <c r="B3418" t="s" s="9">
        <v>41</v>
      </c>
      <c r="C3418" t="s" s="9">
        <v>66</v>
      </c>
      <c r="D3418" t="s" s="9">
        <v>38</v>
      </c>
      <c r="E3418" t="s" s="9">
        <v>71</v>
      </c>
      <c r="F3418" s="10">
        <v>1270</v>
      </c>
      <c r="G3418" s="10">
        <v>1874281</v>
      </c>
      <c r="H3418" s="11" cm="1">
        <f t="array" ref="H3418">F3418/G3418*100000</f>
        <v>67.7593167726718</v>
      </c>
    </row>
    <row r="3419" ht="13" customHeight="1">
      <c r="A3419" s="8">
        <v>6</v>
      </c>
      <c r="B3419" t="s" s="9">
        <v>37</v>
      </c>
      <c r="C3419" t="s" s="9">
        <v>66</v>
      </c>
      <c r="D3419" t="s" s="9">
        <v>38</v>
      </c>
      <c r="E3419" t="s" s="9">
        <v>71</v>
      </c>
      <c r="F3419" s="10">
        <v>1145</v>
      </c>
      <c r="G3419" s="10">
        <v>1874281</v>
      </c>
      <c r="H3419" s="11" cm="1">
        <f t="array" ref="H3419">F3419/G3419*100000</f>
        <v>61.0900926808734</v>
      </c>
    </row>
    <row r="3420" ht="13" customHeight="1">
      <c r="A3420" s="8">
        <v>7</v>
      </c>
      <c r="B3420" t="s" s="9">
        <v>35</v>
      </c>
      <c r="C3420" t="s" s="9">
        <v>66</v>
      </c>
      <c r="D3420" t="s" s="9">
        <v>38</v>
      </c>
      <c r="E3420" t="s" s="9">
        <v>71</v>
      </c>
      <c r="F3420" s="10">
        <v>697</v>
      </c>
      <c r="G3420" s="10">
        <v>1874281</v>
      </c>
      <c r="H3420" s="11" cm="1">
        <f t="array" ref="H3420">F3420/G3420*100000</f>
        <v>37.1875935358679</v>
      </c>
    </row>
    <row r="3421" ht="13" customHeight="1">
      <c r="A3421" s="8">
        <v>8</v>
      </c>
      <c r="B3421" t="s" s="9">
        <v>39</v>
      </c>
      <c r="C3421" t="s" s="9">
        <v>66</v>
      </c>
      <c r="D3421" t="s" s="9">
        <v>38</v>
      </c>
      <c r="E3421" t="s" s="9">
        <v>71</v>
      </c>
      <c r="F3421" s="10">
        <v>1159</v>
      </c>
      <c r="G3421" s="10">
        <v>1874281</v>
      </c>
      <c r="H3421" s="11" cm="1">
        <f t="array" ref="H3421">F3421/G3421*100000</f>
        <v>61.8370457791548</v>
      </c>
    </row>
    <row r="3422" ht="13" customHeight="1">
      <c r="A3422" s="8">
        <v>9</v>
      </c>
      <c r="B3422" t="s" s="9">
        <v>37</v>
      </c>
      <c r="C3422" t="s" s="9">
        <v>66</v>
      </c>
      <c r="D3422" t="s" s="9">
        <v>38</v>
      </c>
      <c r="E3422" t="s" s="9">
        <v>71</v>
      </c>
      <c r="F3422" s="10">
        <v>870</v>
      </c>
      <c r="G3422" s="10">
        <v>1874281</v>
      </c>
      <c r="H3422" s="11" cm="1">
        <f t="array" ref="H3422">F3422/G3422*100000</f>
        <v>46.4177996789169</v>
      </c>
    </row>
    <row r="3423" ht="13" customHeight="1">
      <c r="A3423" s="8">
        <v>10</v>
      </c>
      <c r="B3423" t="s" s="9">
        <v>41</v>
      </c>
      <c r="C3423" t="s" s="9">
        <v>66</v>
      </c>
      <c r="D3423" t="s" s="9">
        <v>38</v>
      </c>
      <c r="E3423" t="s" s="9">
        <v>71</v>
      </c>
      <c r="F3423" s="10">
        <v>879</v>
      </c>
      <c r="G3423" s="10">
        <v>1874281</v>
      </c>
      <c r="H3423" s="11" cm="1">
        <f t="array" ref="H3423">F3423/G3423*100000</f>
        <v>46.8979838135264</v>
      </c>
    </row>
    <row r="3424" ht="13" customHeight="1">
      <c r="A3424" s="8">
        <v>1</v>
      </c>
      <c r="B3424" t="s" s="9">
        <v>30</v>
      </c>
      <c r="C3424" t="s" s="9">
        <v>66</v>
      </c>
      <c r="D3424" t="s" s="9">
        <v>42</v>
      </c>
      <c r="E3424" t="s" s="9">
        <v>71</v>
      </c>
      <c r="F3424" s="10">
        <v>7834</v>
      </c>
      <c r="G3424" s="10">
        <v>5458063</v>
      </c>
      <c r="H3424" s="11" cm="1">
        <f t="array" ref="H3424">F3424/G3424*100000</f>
        <v>143.530772730179</v>
      </c>
    </row>
    <row r="3425" ht="13" customHeight="1">
      <c r="A3425" s="8">
        <v>2</v>
      </c>
      <c r="B3425" t="s" s="9">
        <v>34</v>
      </c>
      <c r="C3425" t="s" s="9">
        <v>66</v>
      </c>
      <c r="D3425" t="s" s="9">
        <v>42</v>
      </c>
      <c r="E3425" t="s" s="9">
        <v>71</v>
      </c>
      <c r="F3425" s="10">
        <v>5375</v>
      </c>
      <c r="G3425" s="10">
        <v>5458063</v>
      </c>
      <c r="H3425" s="11" cm="1">
        <f t="array" ref="H3425">F3425/G3425*100000</f>
        <v>98.4781597427512</v>
      </c>
    </row>
    <row r="3426" ht="13" customHeight="1">
      <c r="A3426" s="8">
        <v>3</v>
      </c>
      <c r="B3426" t="s" s="9">
        <v>30</v>
      </c>
      <c r="C3426" t="s" s="9">
        <v>66</v>
      </c>
      <c r="D3426" t="s" s="9">
        <v>42</v>
      </c>
      <c r="E3426" t="s" s="9">
        <v>71</v>
      </c>
      <c r="F3426" s="10">
        <v>4208</v>
      </c>
      <c r="G3426" s="10">
        <v>5458063</v>
      </c>
      <c r="H3426" s="11" cm="1">
        <f t="array" ref="H3426">F3426/G3426*100000</f>
        <v>77.0969481297669</v>
      </c>
    </row>
    <row r="3427" ht="13" customHeight="1">
      <c r="A3427" s="8">
        <v>4</v>
      </c>
      <c r="B3427" t="s" s="9">
        <v>41</v>
      </c>
      <c r="C3427" t="s" s="9">
        <v>66</v>
      </c>
      <c r="D3427" t="s" s="9">
        <v>42</v>
      </c>
      <c r="E3427" t="s" s="9">
        <v>71</v>
      </c>
      <c r="F3427" s="10">
        <v>3509</v>
      </c>
      <c r="G3427" s="10">
        <v>5458063</v>
      </c>
      <c r="H3427" s="11" cm="1">
        <f t="array" ref="H3427">F3427/G3427*100000</f>
        <v>64.2902069836863</v>
      </c>
    </row>
    <row r="3428" ht="13" customHeight="1">
      <c r="A3428" s="8">
        <v>5</v>
      </c>
      <c r="B3428" t="s" s="9">
        <v>35</v>
      </c>
      <c r="C3428" t="s" s="9">
        <v>66</v>
      </c>
      <c r="D3428" t="s" s="9">
        <v>42</v>
      </c>
      <c r="E3428" t="s" s="9">
        <v>71</v>
      </c>
      <c r="F3428" s="10">
        <v>2686</v>
      </c>
      <c r="G3428" s="10">
        <v>5458063</v>
      </c>
      <c r="H3428" s="11" cm="1">
        <f t="array" ref="H3428">F3428/G3428*100000</f>
        <v>49.2115975942381</v>
      </c>
    </row>
    <row r="3429" ht="13" customHeight="1">
      <c r="A3429" s="8">
        <v>6</v>
      </c>
      <c r="B3429" t="s" s="9">
        <v>35</v>
      </c>
      <c r="C3429" t="s" s="9">
        <v>66</v>
      </c>
      <c r="D3429" t="s" s="9">
        <v>42</v>
      </c>
      <c r="E3429" t="s" s="9">
        <v>71</v>
      </c>
      <c r="F3429" s="10">
        <v>2724</v>
      </c>
      <c r="G3429" s="10">
        <v>5458063</v>
      </c>
      <c r="H3429" s="11" cm="1">
        <f t="array" ref="H3429">F3429/G3429*100000</f>
        <v>49.9078152817217</v>
      </c>
    </row>
    <row r="3430" ht="13" customHeight="1">
      <c r="A3430" s="8">
        <v>7</v>
      </c>
      <c r="B3430" t="s" s="9">
        <v>30</v>
      </c>
      <c r="C3430" t="s" s="9">
        <v>66</v>
      </c>
      <c r="D3430" t="s" s="9">
        <v>42</v>
      </c>
      <c r="E3430" t="s" s="9">
        <v>71</v>
      </c>
      <c r="F3430" s="10">
        <v>2752</v>
      </c>
      <c r="G3430" s="10">
        <v>5458063</v>
      </c>
      <c r="H3430" s="11" cm="1">
        <f t="array" ref="H3430">F3430/G3430*100000</f>
        <v>50.4208177882886</v>
      </c>
    </row>
    <row r="3431" ht="13" customHeight="1">
      <c r="A3431" s="8">
        <v>8</v>
      </c>
      <c r="B3431" t="s" s="9">
        <v>41</v>
      </c>
      <c r="C3431" t="s" s="9">
        <v>66</v>
      </c>
      <c r="D3431" t="s" s="9">
        <v>42</v>
      </c>
      <c r="E3431" t="s" s="9">
        <v>71</v>
      </c>
      <c r="F3431" s="10">
        <v>2670</v>
      </c>
      <c r="G3431" s="10">
        <v>5458063</v>
      </c>
      <c r="H3431" s="11" cm="1">
        <f t="array" ref="H3431">F3431/G3431*100000</f>
        <v>48.9184533047713</v>
      </c>
    </row>
    <row r="3432" ht="13" customHeight="1">
      <c r="A3432" s="8">
        <v>9</v>
      </c>
      <c r="B3432" t="s" s="9">
        <v>37</v>
      </c>
      <c r="C3432" t="s" s="9">
        <v>66</v>
      </c>
      <c r="D3432" t="s" s="9">
        <v>42</v>
      </c>
      <c r="E3432" t="s" s="9">
        <v>71</v>
      </c>
      <c r="F3432" s="10">
        <v>2325</v>
      </c>
      <c r="G3432" s="10">
        <v>5458063</v>
      </c>
      <c r="H3432" s="11" cm="1">
        <f t="array" ref="H3432">F3432/G3432*100000</f>
        <v>42.5975295631436</v>
      </c>
    </row>
    <row r="3433" ht="13" customHeight="1">
      <c r="A3433" s="8">
        <v>10</v>
      </c>
      <c r="B3433" t="s" s="9">
        <v>36</v>
      </c>
      <c r="C3433" t="s" s="9">
        <v>66</v>
      </c>
      <c r="D3433" t="s" s="9">
        <v>42</v>
      </c>
      <c r="E3433" t="s" s="9">
        <v>71</v>
      </c>
      <c r="F3433" s="10">
        <v>1560</v>
      </c>
      <c r="G3433" s="10">
        <v>5458063</v>
      </c>
      <c r="H3433" s="11" cm="1">
        <f t="array" ref="H3433">F3433/G3433*100000</f>
        <v>28.5815682230124</v>
      </c>
    </row>
    <row r="3434" ht="13" customHeight="1">
      <c r="A3434" s="8">
        <v>1</v>
      </c>
      <c r="B3434" t="s" s="9">
        <v>30</v>
      </c>
      <c r="C3434" t="s" s="9">
        <v>66</v>
      </c>
      <c r="D3434" t="s" s="9">
        <v>43</v>
      </c>
      <c r="E3434" t="s" s="9">
        <v>71</v>
      </c>
      <c r="F3434" s="10">
        <v>3942</v>
      </c>
      <c r="G3434" s="10">
        <v>3817144</v>
      </c>
      <c r="H3434" s="11" cm="1">
        <f t="array" ref="H3434">F3434/G3434*100000</f>
        <v>103.270927164393</v>
      </c>
    </row>
    <row r="3435" ht="13" customHeight="1">
      <c r="A3435" s="8">
        <v>2</v>
      </c>
      <c r="B3435" t="s" s="9">
        <v>34</v>
      </c>
      <c r="C3435" t="s" s="9">
        <v>66</v>
      </c>
      <c r="D3435" t="s" s="9">
        <v>43</v>
      </c>
      <c r="E3435" t="s" s="9">
        <v>71</v>
      </c>
      <c r="F3435" s="10">
        <v>1863</v>
      </c>
      <c r="G3435" s="10">
        <v>3817144</v>
      </c>
      <c r="H3435" s="11" cm="1">
        <f t="array" ref="H3435">F3435/G3435*100000</f>
        <v>48.8061231119392</v>
      </c>
    </row>
    <row r="3436" ht="13" customHeight="1">
      <c r="A3436" s="8">
        <v>3</v>
      </c>
      <c r="B3436" t="s" s="9">
        <v>45</v>
      </c>
      <c r="C3436" t="s" s="9">
        <v>66</v>
      </c>
      <c r="D3436" t="s" s="9">
        <v>43</v>
      </c>
      <c r="E3436" t="s" s="9">
        <v>71</v>
      </c>
      <c r="F3436" s="10">
        <v>547</v>
      </c>
      <c r="G3436" s="10">
        <v>3817144</v>
      </c>
      <c r="H3436" s="11" cm="1">
        <f t="array" ref="H3436">F3436/G3436*100000</f>
        <v>14.3300855299145</v>
      </c>
    </row>
    <row r="3437" ht="13" customHeight="1">
      <c r="A3437" s="8">
        <v>4</v>
      </c>
      <c r="B3437" t="s" s="9">
        <v>30</v>
      </c>
      <c r="C3437" t="s" s="9">
        <v>66</v>
      </c>
      <c r="D3437" t="s" s="9">
        <v>43</v>
      </c>
      <c r="E3437" t="s" s="9">
        <v>71</v>
      </c>
      <c r="F3437" s="10">
        <v>660</v>
      </c>
      <c r="G3437" s="10">
        <v>3817144</v>
      </c>
      <c r="H3437" s="11" cm="1">
        <f t="array" ref="H3437">F3437/G3437*100000</f>
        <v>17.290413984906</v>
      </c>
    </row>
    <row r="3438" ht="13" customHeight="1">
      <c r="A3438" s="8">
        <v>5</v>
      </c>
      <c r="B3438" t="s" s="9">
        <v>30</v>
      </c>
      <c r="C3438" t="s" s="9">
        <v>66</v>
      </c>
      <c r="D3438" t="s" s="9">
        <v>43</v>
      </c>
      <c r="E3438" t="s" s="9">
        <v>71</v>
      </c>
      <c r="F3438" s="10">
        <v>624</v>
      </c>
      <c r="G3438" s="10">
        <v>3817144</v>
      </c>
      <c r="H3438" s="11" cm="1">
        <f t="array" ref="H3438">F3438/G3438*100000</f>
        <v>16.3473004948202</v>
      </c>
    </row>
    <row r="3439" ht="13" customHeight="1">
      <c r="A3439" s="8">
        <v>6</v>
      </c>
      <c r="B3439" t="s" s="9">
        <v>39</v>
      </c>
      <c r="C3439" t="s" s="9">
        <v>66</v>
      </c>
      <c r="D3439" t="s" s="9">
        <v>43</v>
      </c>
      <c r="E3439" t="s" s="9">
        <v>71</v>
      </c>
      <c r="F3439" s="10">
        <v>798</v>
      </c>
      <c r="G3439" s="10">
        <v>3817144</v>
      </c>
      <c r="H3439" s="11" cm="1">
        <f t="array" ref="H3439">F3439/G3439*100000</f>
        <v>20.9056823635682</v>
      </c>
    </row>
    <row r="3440" ht="13" customHeight="1">
      <c r="A3440" s="8">
        <v>7</v>
      </c>
      <c r="B3440" t="s" s="9">
        <v>35</v>
      </c>
      <c r="C3440" t="s" s="9">
        <v>66</v>
      </c>
      <c r="D3440" t="s" s="9">
        <v>43</v>
      </c>
      <c r="E3440" t="s" s="9">
        <v>71</v>
      </c>
      <c r="F3440" s="10">
        <v>391</v>
      </c>
      <c r="G3440" s="10">
        <v>3817144</v>
      </c>
      <c r="H3440" s="11" cm="1">
        <f t="array" ref="H3440">F3440/G3440*100000</f>
        <v>10.2432604062095</v>
      </c>
    </row>
    <row r="3441" ht="13" customHeight="1">
      <c r="A3441" s="8">
        <v>8</v>
      </c>
      <c r="B3441" t="s" s="9">
        <v>36</v>
      </c>
      <c r="C3441" t="s" s="9">
        <v>66</v>
      </c>
      <c r="D3441" t="s" s="9">
        <v>43</v>
      </c>
      <c r="E3441" t="s" s="9">
        <v>71</v>
      </c>
      <c r="F3441" s="10">
        <v>579</v>
      </c>
      <c r="G3441" s="10">
        <v>3817144</v>
      </c>
      <c r="H3441" s="11" cm="1">
        <f t="array" ref="H3441">F3441/G3441*100000</f>
        <v>15.168408632213</v>
      </c>
    </row>
    <row r="3442" ht="13" customHeight="1">
      <c r="A3442" s="8">
        <v>9</v>
      </c>
      <c r="B3442" t="s" s="9">
        <v>37</v>
      </c>
      <c r="C3442" t="s" s="9">
        <v>66</v>
      </c>
      <c r="D3442" t="s" s="9">
        <v>43</v>
      </c>
      <c r="E3442" t="s" s="9">
        <v>71</v>
      </c>
      <c r="F3442" s="10">
        <v>605</v>
      </c>
      <c r="G3442" s="10">
        <v>3817144</v>
      </c>
      <c r="H3442" s="11" cm="1">
        <f t="array" ref="H3442">F3442/G3442*100000</f>
        <v>15.8495461528305</v>
      </c>
    </row>
    <row r="3443" ht="13" customHeight="1">
      <c r="A3443" s="8">
        <v>10</v>
      </c>
      <c r="B3443" t="s" s="9">
        <v>30</v>
      </c>
      <c r="C3443" t="s" s="9">
        <v>66</v>
      </c>
      <c r="D3443" t="s" s="9">
        <v>43</v>
      </c>
      <c r="E3443" t="s" s="9">
        <v>71</v>
      </c>
      <c r="F3443" s="10">
        <v>463</v>
      </c>
      <c r="G3443" s="10">
        <v>3817144</v>
      </c>
      <c r="H3443" s="11" cm="1">
        <f t="array" ref="H3443">F3443/G3443*100000</f>
        <v>12.129487386381</v>
      </c>
    </row>
    <row r="3444" ht="13" customHeight="1">
      <c r="A3444" s="8">
        <v>1</v>
      </c>
      <c r="B3444" t="s" s="9">
        <v>30</v>
      </c>
      <c r="C3444" t="s" s="9">
        <v>66</v>
      </c>
      <c r="D3444" t="s" s="9">
        <v>44</v>
      </c>
      <c r="E3444" t="s" s="9">
        <v>71</v>
      </c>
      <c r="F3444" s="10">
        <v>16239</v>
      </c>
      <c r="G3444" s="10">
        <v>13239670</v>
      </c>
      <c r="H3444" s="11" cm="1">
        <f t="array" ref="H3444">F3444/G3444*100000</f>
        <v>122.654114490769</v>
      </c>
    </row>
    <row r="3445" ht="13" customHeight="1">
      <c r="A3445" s="8">
        <v>2</v>
      </c>
      <c r="B3445" t="s" s="9">
        <v>34</v>
      </c>
      <c r="C3445" t="s" s="9">
        <v>66</v>
      </c>
      <c r="D3445" t="s" s="9">
        <v>44</v>
      </c>
      <c r="E3445" t="s" s="9">
        <v>71</v>
      </c>
      <c r="F3445" s="10">
        <v>10874</v>
      </c>
      <c r="G3445" s="10">
        <v>13239670</v>
      </c>
      <c r="H3445" s="11" cm="1">
        <f t="array" ref="H3445">F3445/G3445*100000</f>
        <v>82.13195646115049</v>
      </c>
    </row>
    <row r="3446" ht="13" customHeight="1">
      <c r="A3446" s="8">
        <v>3</v>
      </c>
      <c r="B3446" t="s" s="9">
        <v>35</v>
      </c>
      <c r="C3446" t="s" s="9">
        <v>66</v>
      </c>
      <c r="D3446" t="s" s="9">
        <v>44</v>
      </c>
      <c r="E3446" t="s" s="9">
        <v>71</v>
      </c>
      <c r="F3446" s="10">
        <v>5555</v>
      </c>
      <c r="G3446" s="10">
        <v>13239670</v>
      </c>
      <c r="H3446" s="11" cm="1">
        <f t="array" ref="H3446">F3446/G3446*100000</f>
        <v>41.9572391154764</v>
      </c>
    </row>
    <row r="3447" ht="13" customHeight="1">
      <c r="A3447" s="8">
        <v>4</v>
      </c>
      <c r="B3447" t="s" s="9">
        <v>30</v>
      </c>
      <c r="C3447" t="s" s="9">
        <v>66</v>
      </c>
      <c r="D3447" t="s" s="9">
        <v>44</v>
      </c>
      <c r="E3447" t="s" s="9">
        <v>71</v>
      </c>
      <c r="F3447" s="10">
        <v>3683</v>
      </c>
      <c r="G3447" s="10">
        <v>13239670</v>
      </c>
      <c r="H3447" s="11" cm="1">
        <f t="array" ref="H3447">F3447/G3447*100000</f>
        <v>27.817913890603</v>
      </c>
    </row>
    <row r="3448" ht="13" customHeight="1">
      <c r="A3448" s="8">
        <v>5</v>
      </c>
      <c r="B3448" t="s" s="9">
        <v>37</v>
      </c>
      <c r="C3448" t="s" s="9">
        <v>66</v>
      </c>
      <c r="D3448" t="s" s="9">
        <v>44</v>
      </c>
      <c r="E3448" t="s" s="9">
        <v>71</v>
      </c>
      <c r="F3448" s="10">
        <v>4083</v>
      </c>
      <c r="G3448" s="10">
        <v>13239670</v>
      </c>
      <c r="H3448" s="11" cm="1">
        <f t="array" ref="H3448">F3448/G3448*100000</f>
        <v>30.8391372292512</v>
      </c>
    </row>
    <row r="3449" ht="13" customHeight="1">
      <c r="A3449" s="8">
        <v>6</v>
      </c>
      <c r="B3449" t="s" s="9">
        <v>30</v>
      </c>
      <c r="C3449" t="s" s="9">
        <v>66</v>
      </c>
      <c r="D3449" t="s" s="9">
        <v>44</v>
      </c>
      <c r="E3449" t="s" s="9">
        <v>71</v>
      </c>
      <c r="F3449" s="10">
        <v>2770</v>
      </c>
      <c r="G3449" s="10">
        <v>13239670</v>
      </c>
      <c r="H3449" s="11" cm="1">
        <f t="array" ref="H3449">F3449/G3449*100000</f>
        <v>20.9219716201386</v>
      </c>
    </row>
    <row r="3450" ht="13" customHeight="1">
      <c r="A3450" s="8">
        <v>7</v>
      </c>
      <c r="B3450" t="s" s="9">
        <v>39</v>
      </c>
      <c r="C3450" t="s" s="9">
        <v>66</v>
      </c>
      <c r="D3450" t="s" s="9">
        <v>44</v>
      </c>
      <c r="E3450" t="s" s="9">
        <v>71</v>
      </c>
      <c r="F3450" s="10">
        <v>2839</v>
      </c>
      <c r="G3450" s="10">
        <v>13239670</v>
      </c>
      <c r="H3450" s="11" cm="1">
        <f t="array" ref="H3450">F3450/G3450*100000</f>
        <v>21.4431326460554</v>
      </c>
    </row>
    <row r="3451" ht="13" customHeight="1">
      <c r="A3451" s="8">
        <v>8</v>
      </c>
      <c r="B3451" t="s" s="9">
        <v>41</v>
      </c>
      <c r="C3451" t="s" s="9">
        <v>66</v>
      </c>
      <c r="D3451" t="s" s="9">
        <v>44</v>
      </c>
      <c r="E3451" t="s" s="9">
        <v>71</v>
      </c>
      <c r="F3451" s="10">
        <v>2155</v>
      </c>
      <c r="G3451" s="10">
        <v>13239670</v>
      </c>
      <c r="H3451" s="11" cm="1">
        <f t="array" ref="H3451">F3451/G3451*100000</f>
        <v>16.276840736967</v>
      </c>
    </row>
    <row r="3452" ht="13" customHeight="1">
      <c r="A3452" s="8">
        <v>9</v>
      </c>
      <c r="B3452" t="s" s="9">
        <v>41</v>
      </c>
      <c r="C3452" t="s" s="9">
        <v>66</v>
      </c>
      <c r="D3452" t="s" s="9">
        <v>44</v>
      </c>
      <c r="E3452" t="s" s="9">
        <v>71</v>
      </c>
      <c r="F3452" s="10">
        <v>1718</v>
      </c>
      <c r="G3452" s="10">
        <v>13239670</v>
      </c>
      <c r="H3452" s="11" cm="1">
        <f t="array" ref="H3452">F3452/G3452*100000</f>
        <v>12.9761542394939</v>
      </c>
    </row>
    <row r="3453" ht="13" customHeight="1">
      <c r="A3453" s="8">
        <v>10</v>
      </c>
      <c r="B3453" t="s" s="9">
        <v>36</v>
      </c>
      <c r="C3453" t="s" s="9">
        <v>66</v>
      </c>
      <c r="D3453" t="s" s="9">
        <v>44</v>
      </c>
      <c r="E3453" t="s" s="9">
        <v>71</v>
      </c>
      <c r="F3453" s="10">
        <v>1598</v>
      </c>
      <c r="G3453" s="10">
        <v>13239670</v>
      </c>
      <c r="H3453" s="11" cm="1">
        <f t="array" ref="H3453">F3453/G3453*100000</f>
        <v>12.0697872378994</v>
      </c>
    </row>
    <row r="3454" ht="13" customHeight="1">
      <c r="A3454" s="8">
        <v>1</v>
      </c>
      <c r="B3454" t="s" s="9">
        <v>30</v>
      </c>
      <c r="C3454" t="s" s="9">
        <v>66</v>
      </c>
      <c r="D3454" t="s" s="9">
        <v>46</v>
      </c>
      <c r="E3454" t="s" s="9">
        <v>71</v>
      </c>
      <c r="F3454" s="10">
        <v>12893</v>
      </c>
      <c r="G3454" s="10">
        <v>17477569</v>
      </c>
      <c r="H3454" s="11" cm="1">
        <f t="array" ref="H3454">F3454/G3454*100000</f>
        <v>73.76884050636561</v>
      </c>
    </row>
    <row r="3455" ht="13" customHeight="1">
      <c r="A3455" s="8">
        <v>2</v>
      </c>
      <c r="B3455" t="s" s="9">
        <v>35</v>
      </c>
      <c r="C3455" t="s" s="9">
        <v>66</v>
      </c>
      <c r="D3455" t="s" s="9">
        <v>46</v>
      </c>
      <c r="E3455" t="s" s="9">
        <v>71</v>
      </c>
      <c r="F3455" s="10">
        <v>6364</v>
      </c>
      <c r="G3455" s="10">
        <v>17477569</v>
      </c>
      <c r="H3455" s="11" cm="1">
        <f t="array" ref="H3455">F3455/G3455*100000</f>
        <v>36.4123866425588</v>
      </c>
    </row>
    <row r="3456" ht="13" customHeight="1">
      <c r="A3456" s="8">
        <v>3</v>
      </c>
      <c r="B3456" t="s" s="9">
        <v>30</v>
      </c>
      <c r="C3456" t="s" s="9">
        <v>66</v>
      </c>
      <c r="D3456" t="s" s="9">
        <v>46</v>
      </c>
      <c r="E3456" t="s" s="9">
        <v>71</v>
      </c>
      <c r="F3456" s="10">
        <v>5291</v>
      </c>
      <c r="G3456" s="10">
        <v>17477569</v>
      </c>
      <c r="H3456" s="11" cm="1">
        <f t="array" ref="H3456">F3456/G3456*100000</f>
        <v>30.2730888946855</v>
      </c>
    </row>
    <row r="3457" ht="13" customHeight="1">
      <c r="A3457" s="8">
        <v>4</v>
      </c>
      <c r="B3457" t="s" s="9">
        <v>30</v>
      </c>
      <c r="C3457" t="s" s="9">
        <v>66</v>
      </c>
      <c r="D3457" t="s" s="9">
        <v>46</v>
      </c>
      <c r="E3457" t="s" s="9">
        <v>71</v>
      </c>
      <c r="F3457" s="10">
        <v>3934</v>
      </c>
      <c r="G3457" s="10">
        <v>17477569</v>
      </c>
      <c r="H3457" s="11" cm="1">
        <f t="array" ref="H3457">F3457/G3457*100000</f>
        <v>22.5088512023612</v>
      </c>
    </row>
    <row r="3458" ht="13" customHeight="1">
      <c r="A3458" s="8">
        <v>5</v>
      </c>
      <c r="B3458" t="s" s="9">
        <v>34</v>
      </c>
      <c r="C3458" t="s" s="9">
        <v>66</v>
      </c>
      <c r="D3458" t="s" s="9">
        <v>46</v>
      </c>
      <c r="E3458" t="s" s="9">
        <v>71</v>
      </c>
      <c r="F3458" s="10">
        <v>4767</v>
      </c>
      <c r="G3458" s="10">
        <v>17477569</v>
      </c>
      <c r="H3458" s="11" cm="1">
        <f t="array" ref="H3458">F3458/G3458*100000</f>
        <v>27.2749602647828</v>
      </c>
    </row>
    <row r="3459" ht="13" customHeight="1">
      <c r="A3459" s="8">
        <v>6</v>
      </c>
      <c r="B3459" t="s" s="9">
        <v>39</v>
      </c>
      <c r="C3459" t="s" s="9">
        <v>66</v>
      </c>
      <c r="D3459" t="s" s="9">
        <v>46</v>
      </c>
      <c r="E3459" t="s" s="9">
        <v>71</v>
      </c>
      <c r="F3459" s="10">
        <v>4373</v>
      </c>
      <c r="G3459" s="10">
        <v>17477569</v>
      </c>
      <c r="H3459" s="11" cm="1">
        <f t="array" ref="H3459">F3459/G3459*100000</f>
        <v>25.0206421728331</v>
      </c>
    </row>
    <row r="3460" ht="13" customHeight="1">
      <c r="A3460" s="8">
        <v>7</v>
      </c>
      <c r="B3460" t="s" s="9">
        <v>41</v>
      </c>
      <c r="C3460" t="s" s="9">
        <v>66</v>
      </c>
      <c r="D3460" t="s" s="9">
        <v>46</v>
      </c>
      <c r="E3460" t="s" s="9">
        <v>71</v>
      </c>
      <c r="F3460" s="10">
        <v>3056</v>
      </c>
      <c r="G3460" s="10">
        <v>17477569</v>
      </c>
      <c r="H3460" s="11" cm="1">
        <f t="array" ref="H3460">F3460/G3460*100000</f>
        <v>17.4852692614173</v>
      </c>
    </row>
    <row r="3461" ht="13" customHeight="1">
      <c r="A3461" s="8">
        <v>8</v>
      </c>
      <c r="B3461" t="s" s="9">
        <v>37</v>
      </c>
      <c r="C3461" t="s" s="9">
        <v>66</v>
      </c>
      <c r="D3461" t="s" s="9">
        <v>46</v>
      </c>
      <c r="E3461" t="s" s="9">
        <v>71</v>
      </c>
      <c r="F3461" s="10">
        <v>1666</v>
      </c>
      <c r="G3461" s="10">
        <v>17477569</v>
      </c>
      <c r="H3461" s="11" cm="1">
        <f t="array" ref="H3461">F3461/G3461*100000</f>
        <v>9.532218124843331</v>
      </c>
    </row>
    <row r="3462" ht="13" customHeight="1">
      <c r="A3462" s="8">
        <v>9</v>
      </c>
      <c r="B3462" t="s" s="9">
        <v>45</v>
      </c>
      <c r="C3462" t="s" s="9">
        <v>66</v>
      </c>
      <c r="D3462" t="s" s="9">
        <v>46</v>
      </c>
      <c r="E3462" t="s" s="9">
        <v>71</v>
      </c>
      <c r="F3462" s="10">
        <v>1274</v>
      </c>
      <c r="G3462" s="10">
        <v>17477569</v>
      </c>
      <c r="H3462" s="11" cm="1">
        <f t="array" ref="H3462">F3462/G3462*100000</f>
        <v>7.28934327193902</v>
      </c>
    </row>
    <row r="3463" ht="13" customHeight="1">
      <c r="A3463" s="8">
        <v>10</v>
      </c>
      <c r="B3463" t="s" s="9">
        <v>35</v>
      </c>
      <c r="C3463" t="s" s="9">
        <v>66</v>
      </c>
      <c r="D3463" t="s" s="9">
        <v>46</v>
      </c>
      <c r="E3463" t="s" s="9">
        <v>71</v>
      </c>
      <c r="F3463" s="10">
        <v>976</v>
      </c>
      <c r="G3463" s="10">
        <v>17477569</v>
      </c>
      <c r="H3463" s="11" cm="1">
        <f t="array" ref="H3463">F3463/G3463*100000</f>
        <v>5.58430065416992</v>
      </c>
    </row>
    <row r="3464" ht="13" customHeight="1">
      <c r="A3464" s="8">
        <v>1</v>
      </c>
      <c r="B3464" t="s" s="9">
        <v>30</v>
      </c>
      <c r="C3464" t="s" s="9">
        <v>66</v>
      </c>
      <c r="D3464" t="s" s="9">
        <v>47</v>
      </c>
      <c r="E3464" t="s" s="9">
        <v>71</v>
      </c>
      <c r="F3464" s="10">
        <v>2819</v>
      </c>
      <c r="G3464" s="10">
        <v>3342831</v>
      </c>
      <c r="H3464" s="11" cm="1">
        <f t="array" ref="H3464">F3464/G3464*100000</f>
        <v>84.329719330711</v>
      </c>
    </row>
    <row r="3465" ht="13" customHeight="1">
      <c r="A3465" s="8">
        <v>2</v>
      </c>
      <c r="B3465" t="s" s="9">
        <v>35</v>
      </c>
      <c r="C3465" t="s" s="9">
        <v>66</v>
      </c>
      <c r="D3465" t="s" s="9">
        <v>47</v>
      </c>
      <c r="E3465" t="s" s="9">
        <v>71</v>
      </c>
      <c r="F3465" s="10">
        <v>2328</v>
      </c>
      <c r="G3465" s="10">
        <v>3342831</v>
      </c>
      <c r="H3465" s="11" cm="1">
        <f t="array" ref="H3465">F3465/G3465*100000</f>
        <v>69.6415702738188</v>
      </c>
    </row>
    <row r="3466" ht="13" customHeight="1">
      <c r="A3466" s="8">
        <v>3</v>
      </c>
      <c r="B3466" t="s" s="9">
        <v>34</v>
      </c>
      <c r="C3466" t="s" s="9">
        <v>66</v>
      </c>
      <c r="D3466" t="s" s="9">
        <v>47</v>
      </c>
      <c r="E3466" t="s" s="9">
        <v>71</v>
      </c>
      <c r="F3466" s="10">
        <v>947</v>
      </c>
      <c r="G3466" s="10">
        <v>3342831</v>
      </c>
      <c r="H3466" s="11" cm="1">
        <f t="array" ref="H3466">F3466/G3466*100000</f>
        <v>28.329281378568</v>
      </c>
    </row>
    <row r="3467" ht="13" customHeight="1">
      <c r="A3467" s="8">
        <v>4</v>
      </c>
      <c r="B3467" t="s" s="9">
        <v>39</v>
      </c>
      <c r="C3467" t="s" s="9">
        <v>66</v>
      </c>
      <c r="D3467" t="s" s="9">
        <v>47</v>
      </c>
      <c r="E3467" t="s" s="9">
        <v>71</v>
      </c>
      <c r="F3467" s="10">
        <v>840</v>
      </c>
      <c r="G3467" s="10">
        <v>3342831</v>
      </c>
      <c r="H3467" s="11" cm="1">
        <f t="array" ref="H3467">F3467/G3467*100000</f>
        <v>25.1284016451924</v>
      </c>
    </row>
    <row r="3468" ht="13" customHeight="1">
      <c r="A3468" s="8">
        <v>5</v>
      </c>
      <c r="B3468" t="s" s="9">
        <v>45</v>
      </c>
      <c r="C3468" t="s" s="9">
        <v>66</v>
      </c>
      <c r="D3468" t="s" s="9">
        <v>47</v>
      </c>
      <c r="E3468" t="s" s="9">
        <v>71</v>
      </c>
      <c r="F3468" s="10">
        <v>554</v>
      </c>
      <c r="G3468" s="10">
        <v>3342831</v>
      </c>
      <c r="H3468" s="11" cm="1">
        <f t="array" ref="H3468">F3468/G3468*100000</f>
        <v>16.5727791802816</v>
      </c>
    </row>
    <row r="3469" ht="13" customHeight="1">
      <c r="A3469" s="8">
        <v>6</v>
      </c>
      <c r="B3469" t="s" s="9">
        <v>30</v>
      </c>
      <c r="C3469" t="s" s="9">
        <v>66</v>
      </c>
      <c r="D3469" t="s" s="9">
        <v>47</v>
      </c>
      <c r="E3469" t="s" s="9">
        <v>71</v>
      </c>
      <c r="F3469" s="10">
        <v>441</v>
      </c>
      <c r="G3469" s="10">
        <v>3342831</v>
      </c>
      <c r="H3469" s="11" cm="1">
        <f t="array" ref="H3469">F3469/G3469*100000</f>
        <v>13.192410863726</v>
      </c>
    </row>
    <row r="3470" ht="13" customHeight="1">
      <c r="A3470" s="8">
        <v>7</v>
      </c>
      <c r="B3470" t="s" s="9">
        <v>30</v>
      </c>
      <c r="C3470" t="s" s="9">
        <v>66</v>
      </c>
      <c r="D3470" t="s" s="9">
        <v>47</v>
      </c>
      <c r="E3470" t="s" s="9">
        <v>71</v>
      </c>
      <c r="F3470" s="10">
        <v>343</v>
      </c>
      <c r="G3470" s="10">
        <v>3342831</v>
      </c>
      <c r="H3470" s="11" cm="1">
        <f t="array" ref="H3470">F3470/G3470*100000</f>
        <v>10.2607640051202</v>
      </c>
    </row>
    <row r="3471" ht="13" customHeight="1">
      <c r="A3471" s="8">
        <v>8</v>
      </c>
      <c r="B3471" t="s" s="9">
        <v>35</v>
      </c>
      <c r="C3471" t="s" s="9">
        <v>66</v>
      </c>
      <c r="D3471" t="s" s="9">
        <v>47</v>
      </c>
      <c r="E3471" t="s" s="9">
        <v>71</v>
      </c>
      <c r="F3471" s="10">
        <v>246</v>
      </c>
      <c r="G3471" s="10">
        <v>3342831</v>
      </c>
      <c r="H3471" s="11" cm="1">
        <f t="array" ref="H3471">F3471/G3471*100000</f>
        <v>7.35903191037776</v>
      </c>
    </row>
    <row r="3472" ht="13" customHeight="1">
      <c r="A3472" s="8">
        <v>9</v>
      </c>
      <c r="B3472" t="s" s="9">
        <v>30</v>
      </c>
      <c r="C3472" t="s" s="9">
        <v>66</v>
      </c>
      <c r="D3472" t="s" s="9">
        <v>47</v>
      </c>
      <c r="E3472" t="s" s="9">
        <v>71</v>
      </c>
      <c r="F3472" s="10">
        <v>280</v>
      </c>
      <c r="G3472" s="10">
        <v>3342831</v>
      </c>
      <c r="H3472" s="11" cm="1">
        <f t="array" ref="H3472">F3472/G3472*100000</f>
        <v>8.37613388173078</v>
      </c>
    </row>
    <row r="3473" ht="13" customHeight="1">
      <c r="A3473" s="8">
        <v>10</v>
      </c>
      <c r="B3473" t="s" s="9">
        <v>41</v>
      </c>
      <c r="C3473" t="s" s="9">
        <v>66</v>
      </c>
      <c r="D3473" t="s" s="9">
        <v>47</v>
      </c>
      <c r="E3473" t="s" s="9">
        <v>71</v>
      </c>
      <c r="F3473" s="10">
        <v>308</v>
      </c>
      <c r="G3473" s="10">
        <v>3342831</v>
      </c>
      <c r="H3473" s="11" cm="1">
        <f t="array" ref="H3473">F3473/G3473*100000</f>
        <v>9.213747269903861</v>
      </c>
    </row>
    <row r="3474" ht="13" customHeight="1">
      <c r="A3474" s="8">
        <v>1</v>
      </c>
      <c r="B3474" t="s" s="9">
        <v>30</v>
      </c>
      <c r="C3474" t="s" s="9">
        <v>66</v>
      </c>
      <c r="D3474" t="s" s="9">
        <v>49</v>
      </c>
      <c r="E3474" t="s" s="9">
        <v>71</v>
      </c>
      <c r="F3474" s="10">
        <v>5481</v>
      </c>
      <c r="G3474" s="10">
        <v>6397690</v>
      </c>
      <c r="H3474" s="11" cm="1">
        <f t="array" ref="H3474">F3474/G3474*100000</f>
        <v>85.671547074022</v>
      </c>
    </row>
    <row r="3475" ht="13" customHeight="1">
      <c r="A3475" s="8">
        <v>2</v>
      </c>
      <c r="B3475" t="s" s="9">
        <v>34</v>
      </c>
      <c r="C3475" t="s" s="9">
        <v>66</v>
      </c>
      <c r="D3475" t="s" s="9">
        <v>49</v>
      </c>
      <c r="E3475" t="s" s="9">
        <v>71</v>
      </c>
      <c r="F3475" s="10">
        <v>4663</v>
      </c>
      <c r="G3475" s="10">
        <v>6397690</v>
      </c>
      <c r="H3475" s="11" cm="1">
        <f t="array" ref="H3475">F3475/G3475*100000</f>
        <v>72.8856821759104</v>
      </c>
    </row>
    <row r="3476" ht="13" customHeight="1">
      <c r="A3476" s="8">
        <v>3</v>
      </c>
      <c r="B3476" t="s" s="9">
        <v>35</v>
      </c>
      <c r="C3476" t="s" s="9">
        <v>66</v>
      </c>
      <c r="D3476" t="s" s="9">
        <v>49</v>
      </c>
      <c r="E3476" t="s" s="9">
        <v>71</v>
      </c>
      <c r="F3476" s="10">
        <v>2280</v>
      </c>
      <c r="G3476" s="10">
        <v>6397690</v>
      </c>
      <c r="H3476" s="11" cm="1">
        <f t="array" ref="H3476">F3476/G3476*100000</f>
        <v>35.6378630411914</v>
      </c>
    </row>
    <row r="3477" ht="13" customHeight="1">
      <c r="A3477" s="8">
        <v>4</v>
      </c>
      <c r="B3477" t="s" s="9">
        <v>39</v>
      </c>
      <c r="C3477" t="s" s="9">
        <v>66</v>
      </c>
      <c r="D3477" t="s" s="9">
        <v>49</v>
      </c>
      <c r="E3477" t="s" s="9">
        <v>71</v>
      </c>
      <c r="F3477" s="10">
        <v>1886</v>
      </c>
      <c r="G3477" s="10">
        <v>6397690</v>
      </c>
      <c r="H3477" s="11" cm="1">
        <f t="array" ref="H3477">F3477/G3477*100000</f>
        <v>29.4793902174066</v>
      </c>
    </row>
    <row r="3478" ht="13" customHeight="1">
      <c r="A3478" s="8">
        <v>5</v>
      </c>
      <c r="B3478" t="s" s="9">
        <v>36</v>
      </c>
      <c r="C3478" t="s" s="9">
        <v>66</v>
      </c>
      <c r="D3478" t="s" s="9">
        <v>49</v>
      </c>
      <c r="E3478" t="s" s="9">
        <v>71</v>
      </c>
      <c r="F3478" s="10">
        <v>906</v>
      </c>
      <c r="G3478" s="10">
        <v>6397690</v>
      </c>
      <c r="H3478" s="11" cm="1">
        <f t="array" ref="H3478">F3478/G3478*100000</f>
        <v>14.1613613663682</v>
      </c>
    </row>
    <row r="3479" ht="13" customHeight="1">
      <c r="A3479" s="8">
        <v>6</v>
      </c>
      <c r="B3479" t="s" s="9">
        <v>37</v>
      </c>
      <c r="C3479" t="s" s="9">
        <v>66</v>
      </c>
      <c r="D3479" t="s" s="9">
        <v>49</v>
      </c>
      <c r="E3479" t="s" s="9">
        <v>71</v>
      </c>
      <c r="F3479" s="10">
        <v>1033</v>
      </c>
      <c r="G3479" s="10">
        <v>6397690</v>
      </c>
      <c r="H3479" s="11" cm="1">
        <f t="array" ref="H3479">F3479/G3479*100000</f>
        <v>16.1464528603293</v>
      </c>
    </row>
    <row r="3480" ht="13" customHeight="1">
      <c r="A3480" s="8">
        <v>7</v>
      </c>
      <c r="B3480" t="s" s="9">
        <v>30</v>
      </c>
      <c r="C3480" t="s" s="9">
        <v>66</v>
      </c>
      <c r="D3480" t="s" s="9">
        <v>49</v>
      </c>
      <c r="E3480" t="s" s="9">
        <v>71</v>
      </c>
      <c r="F3480" s="10">
        <v>898</v>
      </c>
      <c r="G3480" s="10">
        <v>6397690</v>
      </c>
      <c r="H3480" s="11" cm="1">
        <f t="array" ref="H3480">F3480/G3480*100000</f>
        <v>14.0363162328903</v>
      </c>
    </row>
    <row r="3481" ht="13" customHeight="1">
      <c r="A3481" s="8">
        <v>8</v>
      </c>
      <c r="B3481" t="s" s="9">
        <v>36</v>
      </c>
      <c r="C3481" t="s" s="9">
        <v>66</v>
      </c>
      <c r="D3481" t="s" s="9">
        <v>49</v>
      </c>
      <c r="E3481" t="s" s="9">
        <v>71</v>
      </c>
      <c r="F3481" s="10">
        <v>814</v>
      </c>
      <c r="G3481" s="10">
        <v>6397690</v>
      </c>
      <c r="H3481" s="11" cm="1">
        <f t="array" ref="H3481">F3481/G3481*100000</f>
        <v>12.7233423313727</v>
      </c>
    </row>
    <row r="3482" ht="13" customHeight="1">
      <c r="A3482" s="8">
        <v>9</v>
      </c>
      <c r="B3482" t="s" s="9">
        <v>41</v>
      </c>
      <c r="C3482" t="s" s="9">
        <v>66</v>
      </c>
      <c r="D3482" t="s" s="9">
        <v>49</v>
      </c>
      <c r="E3482" t="s" s="9">
        <v>71</v>
      </c>
      <c r="F3482" s="10">
        <v>935</v>
      </c>
      <c r="G3482" s="10">
        <v>6397690</v>
      </c>
      <c r="H3482" s="11" cm="1">
        <f t="array" ref="H3482">F3482/G3482*100000</f>
        <v>14.6146499752254</v>
      </c>
    </row>
    <row r="3483" ht="13" customHeight="1">
      <c r="A3483" s="8">
        <v>10</v>
      </c>
      <c r="B3483" t="s" s="9">
        <v>30</v>
      </c>
      <c r="C3483" t="s" s="9">
        <v>66</v>
      </c>
      <c r="D3483" t="s" s="9">
        <v>49</v>
      </c>
      <c r="E3483" t="s" s="9">
        <v>71</v>
      </c>
      <c r="F3483" s="10">
        <v>826</v>
      </c>
      <c r="G3483" s="10">
        <v>6397690</v>
      </c>
      <c r="H3483" s="11" cm="1">
        <f t="array" ref="H3483">F3483/G3483*100000</f>
        <v>12.9109100315895</v>
      </c>
    </row>
    <row r="3484" ht="13.65" customHeight="1">
      <c r="A3484" s="8">
        <v>1</v>
      </c>
      <c r="B3484" t="s" s="9">
        <v>30</v>
      </c>
      <c r="C3484" t="s" s="9">
        <v>66</v>
      </c>
      <c r="D3484" t="s" s="9">
        <v>51</v>
      </c>
      <c r="E3484" t="s" s="9">
        <v>71</v>
      </c>
      <c r="F3484" s="10">
        <v>3065</v>
      </c>
      <c r="G3484" s="12"/>
      <c r="H3484" s="13"/>
    </row>
    <row r="3485" ht="13.65" customHeight="1">
      <c r="A3485" s="8">
        <v>2</v>
      </c>
      <c r="B3485" t="s" s="9">
        <v>34</v>
      </c>
      <c r="C3485" t="s" s="9">
        <v>66</v>
      </c>
      <c r="D3485" t="s" s="9">
        <v>51</v>
      </c>
      <c r="E3485" t="s" s="9">
        <v>71</v>
      </c>
      <c r="F3485" s="10">
        <v>2397</v>
      </c>
      <c r="G3485" s="14"/>
      <c r="H3485" s="15"/>
    </row>
    <row r="3486" ht="13.65" customHeight="1">
      <c r="A3486" s="8">
        <v>3</v>
      </c>
      <c r="B3486" t="s" s="9">
        <v>30</v>
      </c>
      <c r="C3486" t="s" s="9">
        <v>66</v>
      </c>
      <c r="D3486" t="s" s="9">
        <v>51</v>
      </c>
      <c r="E3486" t="s" s="9">
        <v>71</v>
      </c>
      <c r="F3486" s="10">
        <v>1260</v>
      </c>
      <c r="G3486" s="14"/>
      <c r="H3486" s="15"/>
    </row>
    <row r="3487" ht="13.65" customHeight="1">
      <c r="A3487" s="8">
        <v>4</v>
      </c>
      <c r="B3487" t="s" s="9">
        <v>35</v>
      </c>
      <c r="C3487" t="s" s="9">
        <v>66</v>
      </c>
      <c r="D3487" t="s" s="9">
        <v>51</v>
      </c>
      <c r="E3487" t="s" s="9">
        <v>71</v>
      </c>
      <c r="F3487" s="10">
        <v>1050</v>
      </c>
      <c r="G3487" s="14"/>
      <c r="H3487" s="15"/>
    </row>
    <row r="3488" ht="13.65" customHeight="1">
      <c r="A3488" s="8">
        <v>5</v>
      </c>
      <c r="B3488" t="s" s="9">
        <v>45</v>
      </c>
      <c r="C3488" t="s" s="9">
        <v>66</v>
      </c>
      <c r="D3488" t="s" s="9">
        <v>51</v>
      </c>
      <c r="E3488" t="s" s="9">
        <v>71</v>
      </c>
      <c r="F3488" s="10">
        <v>863</v>
      </c>
      <c r="G3488" s="14"/>
      <c r="H3488" s="15"/>
    </row>
    <row r="3489" ht="13.65" customHeight="1">
      <c r="A3489" s="8">
        <v>6</v>
      </c>
      <c r="B3489" t="s" s="9">
        <v>39</v>
      </c>
      <c r="C3489" t="s" s="9">
        <v>66</v>
      </c>
      <c r="D3489" t="s" s="9">
        <v>51</v>
      </c>
      <c r="E3489" t="s" s="9">
        <v>71</v>
      </c>
      <c r="F3489" s="10">
        <v>987</v>
      </c>
      <c r="G3489" s="14"/>
      <c r="H3489" s="15"/>
    </row>
    <row r="3490" ht="13.65" customHeight="1">
      <c r="A3490" s="8">
        <v>7</v>
      </c>
      <c r="B3490" t="s" s="9">
        <v>35</v>
      </c>
      <c r="C3490" t="s" s="9">
        <v>66</v>
      </c>
      <c r="D3490" t="s" s="9">
        <v>51</v>
      </c>
      <c r="E3490" t="s" s="9">
        <v>71</v>
      </c>
      <c r="F3490" s="10">
        <v>404</v>
      </c>
      <c r="G3490" s="14"/>
      <c r="H3490" s="15"/>
    </row>
    <row r="3491" ht="13.65" customHeight="1">
      <c r="A3491" s="8">
        <v>8</v>
      </c>
      <c r="B3491" t="s" s="9">
        <v>37</v>
      </c>
      <c r="C3491" t="s" s="9">
        <v>66</v>
      </c>
      <c r="D3491" t="s" s="9">
        <v>51</v>
      </c>
      <c r="E3491" t="s" s="9">
        <v>71</v>
      </c>
      <c r="F3491" s="10">
        <v>578</v>
      </c>
      <c r="G3491" s="14"/>
      <c r="H3491" s="15"/>
    </row>
    <row r="3492" ht="13.65" customHeight="1">
      <c r="A3492" s="8">
        <v>9</v>
      </c>
      <c r="B3492" t="s" s="9">
        <v>41</v>
      </c>
      <c r="C3492" t="s" s="9">
        <v>66</v>
      </c>
      <c r="D3492" t="s" s="9">
        <v>51</v>
      </c>
      <c r="E3492" t="s" s="9">
        <v>71</v>
      </c>
      <c r="F3492" s="10">
        <v>554</v>
      </c>
      <c r="G3492" s="14"/>
      <c r="H3492" s="15"/>
    </row>
    <row r="3493" ht="13.65" customHeight="1">
      <c r="A3493" s="8">
        <v>10</v>
      </c>
      <c r="B3493" t="s" s="9">
        <v>30</v>
      </c>
      <c r="C3493" t="s" s="9">
        <v>66</v>
      </c>
      <c r="D3493" t="s" s="9">
        <v>51</v>
      </c>
      <c r="E3493" t="s" s="9">
        <v>71</v>
      </c>
      <c r="F3493" s="10">
        <v>307</v>
      </c>
      <c r="G3493" s="14"/>
      <c r="H3493" s="15"/>
    </row>
    <row r="3494" ht="13.65" customHeight="1">
      <c r="A3494" s="8">
        <v>1</v>
      </c>
      <c r="B3494" t="s" s="9">
        <v>35</v>
      </c>
      <c r="C3494" t="s" s="9">
        <v>66</v>
      </c>
      <c r="D3494" t="s" s="9">
        <v>52</v>
      </c>
      <c r="E3494" t="s" s="9">
        <v>71</v>
      </c>
      <c r="F3494" s="10">
        <v>7267</v>
      </c>
      <c r="G3494" s="14"/>
      <c r="H3494" s="15"/>
    </row>
    <row r="3495" ht="13.65" customHeight="1">
      <c r="A3495" s="8">
        <v>2</v>
      </c>
      <c r="B3495" t="s" s="9">
        <v>30</v>
      </c>
      <c r="C3495" t="s" s="9">
        <v>66</v>
      </c>
      <c r="D3495" t="s" s="9">
        <v>52</v>
      </c>
      <c r="E3495" t="s" s="9">
        <v>71</v>
      </c>
      <c r="F3495" s="10">
        <v>3578</v>
      </c>
      <c r="G3495" s="14"/>
      <c r="H3495" s="15"/>
    </row>
    <row r="3496" ht="13.65" customHeight="1">
      <c r="A3496" s="8">
        <v>3</v>
      </c>
      <c r="B3496" t="s" s="9">
        <v>34</v>
      </c>
      <c r="C3496" t="s" s="9">
        <v>66</v>
      </c>
      <c r="D3496" t="s" s="9">
        <v>52</v>
      </c>
      <c r="E3496" t="s" s="9">
        <v>71</v>
      </c>
      <c r="F3496" s="10">
        <v>2585</v>
      </c>
      <c r="G3496" s="14"/>
      <c r="H3496" s="15"/>
    </row>
    <row r="3497" ht="13.65" customHeight="1">
      <c r="A3497" s="8">
        <v>4</v>
      </c>
      <c r="B3497" t="s" s="9">
        <v>30</v>
      </c>
      <c r="C3497" t="s" s="9">
        <v>66</v>
      </c>
      <c r="D3497" t="s" s="9">
        <v>52</v>
      </c>
      <c r="E3497" t="s" s="9">
        <v>71</v>
      </c>
      <c r="F3497" s="10">
        <v>1341</v>
      </c>
      <c r="G3497" s="14"/>
      <c r="H3497" s="15"/>
    </row>
    <row r="3498" ht="13.65" customHeight="1">
      <c r="A3498" s="8">
        <v>5</v>
      </c>
      <c r="B3498" t="s" s="9">
        <v>39</v>
      </c>
      <c r="C3498" t="s" s="9">
        <v>66</v>
      </c>
      <c r="D3498" t="s" s="9">
        <v>52</v>
      </c>
      <c r="E3498" t="s" s="9">
        <v>71</v>
      </c>
      <c r="F3498" s="10">
        <v>1243</v>
      </c>
      <c r="G3498" s="14"/>
      <c r="H3498" s="15"/>
    </row>
    <row r="3499" ht="13.65" customHeight="1">
      <c r="A3499" s="8">
        <v>6</v>
      </c>
      <c r="B3499" t="s" s="9">
        <v>35</v>
      </c>
      <c r="C3499" t="s" s="9">
        <v>66</v>
      </c>
      <c r="D3499" t="s" s="9">
        <v>52</v>
      </c>
      <c r="E3499" t="s" s="9">
        <v>71</v>
      </c>
      <c r="F3499" s="10">
        <v>536</v>
      </c>
      <c r="G3499" s="14"/>
      <c r="H3499" s="15"/>
    </row>
    <row r="3500" ht="13.65" customHeight="1">
      <c r="A3500" s="8">
        <v>7</v>
      </c>
      <c r="B3500" t="s" s="9">
        <v>36</v>
      </c>
      <c r="C3500" t="s" s="9">
        <v>66</v>
      </c>
      <c r="D3500" t="s" s="9">
        <v>52</v>
      </c>
      <c r="E3500" t="s" s="9">
        <v>71</v>
      </c>
      <c r="F3500" s="10">
        <v>663</v>
      </c>
      <c r="G3500" s="14"/>
      <c r="H3500" s="15"/>
    </row>
    <row r="3501" ht="13.65" customHeight="1">
      <c r="A3501" s="8">
        <v>8</v>
      </c>
      <c r="B3501" t="s" s="9">
        <v>37</v>
      </c>
      <c r="C3501" t="s" s="9">
        <v>66</v>
      </c>
      <c r="D3501" t="s" s="9">
        <v>52</v>
      </c>
      <c r="E3501" t="s" s="9">
        <v>71</v>
      </c>
      <c r="F3501" s="10">
        <v>621</v>
      </c>
      <c r="G3501" s="14"/>
      <c r="H3501" s="15"/>
    </row>
    <row r="3502" ht="13.65" customHeight="1">
      <c r="A3502" s="8">
        <v>9</v>
      </c>
      <c r="B3502" t="s" s="9">
        <v>30</v>
      </c>
      <c r="C3502" t="s" s="9">
        <v>66</v>
      </c>
      <c r="D3502" t="s" s="9">
        <v>52</v>
      </c>
      <c r="E3502" t="s" s="9">
        <v>71</v>
      </c>
      <c r="F3502" s="10">
        <v>433</v>
      </c>
      <c r="G3502" s="14"/>
      <c r="H3502" s="15"/>
    </row>
    <row r="3503" ht="13.65" customHeight="1">
      <c r="A3503" s="8">
        <v>10</v>
      </c>
      <c r="B3503" t="s" s="9">
        <v>45</v>
      </c>
      <c r="C3503" t="s" s="9">
        <v>66</v>
      </c>
      <c r="D3503" t="s" s="9">
        <v>52</v>
      </c>
      <c r="E3503" t="s" s="9">
        <v>71</v>
      </c>
      <c r="F3503" s="10">
        <v>404</v>
      </c>
      <c r="G3503" s="16"/>
      <c r="H3503" s="17"/>
    </row>
    <row r="3504" ht="13" customHeight="1">
      <c r="A3504" s="8">
        <v>1</v>
      </c>
      <c r="B3504" t="s" s="9">
        <v>30</v>
      </c>
      <c r="C3504" t="s" s="9">
        <v>66</v>
      </c>
      <c r="D3504" t="s" s="9">
        <v>53</v>
      </c>
      <c r="E3504" t="s" s="9">
        <v>71</v>
      </c>
      <c r="F3504" s="10">
        <v>5274</v>
      </c>
      <c r="G3504" s="10">
        <v>5049226</v>
      </c>
      <c r="H3504" s="11" cm="1">
        <f t="array" ref="H3504">F3504/G3504*100000</f>
        <v>104.451652589922</v>
      </c>
    </row>
    <row r="3505" ht="13" customHeight="1">
      <c r="A3505" s="8">
        <v>2</v>
      </c>
      <c r="B3505" t="s" s="9">
        <v>34</v>
      </c>
      <c r="C3505" t="s" s="9">
        <v>66</v>
      </c>
      <c r="D3505" t="s" s="9">
        <v>53</v>
      </c>
      <c r="E3505" t="s" s="9">
        <v>71</v>
      </c>
      <c r="F3505" s="10">
        <v>3723</v>
      </c>
      <c r="G3505" s="10">
        <v>5049226</v>
      </c>
      <c r="H3505" s="11" cm="1">
        <f t="array" ref="H3505">F3505/G3505*100000</f>
        <v>73.73407330153179</v>
      </c>
    </row>
    <row r="3506" ht="13" customHeight="1">
      <c r="A3506" s="8">
        <v>3</v>
      </c>
      <c r="B3506" t="s" s="9">
        <v>30</v>
      </c>
      <c r="C3506" t="s" s="9">
        <v>66</v>
      </c>
      <c r="D3506" t="s" s="9">
        <v>53</v>
      </c>
      <c r="E3506" t="s" s="9">
        <v>71</v>
      </c>
      <c r="F3506" s="10">
        <v>1890</v>
      </c>
      <c r="G3506" s="10">
        <v>5049226</v>
      </c>
      <c r="H3506" s="11" cm="1">
        <f t="array" ref="H3506">F3506/G3506*100000</f>
        <v>37.4314795970709</v>
      </c>
    </row>
    <row r="3507" ht="13" customHeight="1">
      <c r="A3507" s="8">
        <v>4</v>
      </c>
      <c r="B3507" t="s" s="9">
        <v>35</v>
      </c>
      <c r="C3507" t="s" s="9">
        <v>66</v>
      </c>
      <c r="D3507" t="s" s="9">
        <v>53</v>
      </c>
      <c r="E3507" t="s" s="9">
        <v>71</v>
      </c>
      <c r="F3507" s="10">
        <v>1591</v>
      </c>
      <c r="G3507" s="10">
        <v>5049226</v>
      </c>
      <c r="H3507" s="11" cm="1">
        <f t="array" ref="H3507">F3507/G3507*100000</f>
        <v>31.509779914783</v>
      </c>
    </row>
    <row r="3508" ht="13" customHeight="1">
      <c r="A3508" s="8">
        <v>5</v>
      </c>
      <c r="B3508" t="s" s="9">
        <v>39</v>
      </c>
      <c r="C3508" t="s" s="9">
        <v>66</v>
      </c>
      <c r="D3508" t="s" s="9">
        <v>53</v>
      </c>
      <c r="E3508" t="s" s="9">
        <v>71</v>
      </c>
      <c r="F3508" s="10">
        <v>1363</v>
      </c>
      <c r="G3508" s="10">
        <v>5049226</v>
      </c>
      <c r="H3508" s="11" cm="1">
        <f t="array" ref="H3508">F3508/G3508*100000</f>
        <v>26.9942363443427</v>
      </c>
    </row>
    <row r="3509" ht="13" customHeight="1">
      <c r="A3509" s="8">
        <v>6</v>
      </c>
      <c r="B3509" t="s" s="9">
        <v>36</v>
      </c>
      <c r="C3509" t="s" s="9">
        <v>66</v>
      </c>
      <c r="D3509" t="s" s="9">
        <v>53</v>
      </c>
      <c r="E3509" t="s" s="9">
        <v>71</v>
      </c>
      <c r="F3509" s="10">
        <v>807</v>
      </c>
      <c r="G3509" s="10">
        <v>5049226</v>
      </c>
      <c r="H3509" s="11" cm="1">
        <f t="array" ref="H3509">F3509/G3509*100000</f>
        <v>15.9826476374795</v>
      </c>
    </row>
    <row r="3510" ht="13" customHeight="1">
      <c r="A3510" s="8">
        <v>7</v>
      </c>
      <c r="B3510" t="s" s="9">
        <v>35</v>
      </c>
      <c r="C3510" t="s" s="9">
        <v>66</v>
      </c>
      <c r="D3510" t="s" s="9">
        <v>53</v>
      </c>
      <c r="E3510" t="s" s="9">
        <v>71</v>
      </c>
      <c r="F3510" s="10">
        <v>497</v>
      </c>
      <c r="G3510" s="10">
        <v>5049226</v>
      </c>
      <c r="H3510" s="11" cm="1">
        <f t="array" ref="H3510">F3510/G3510*100000</f>
        <v>9.843092782933461</v>
      </c>
    </row>
    <row r="3511" ht="13" customHeight="1">
      <c r="A3511" s="8">
        <v>8</v>
      </c>
      <c r="B3511" t="s" s="9">
        <v>36</v>
      </c>
      <c r="C3511" t="s" s="9">
        <v>66</v>
      </c>
      <c r="D3511" t="s" s="9">
        <v>53</v>
      </c>
      <c r="E3511" t="s" s="9">
        <v>71</v>
      </c>
      <c r="F3511" s="10">
        <v>582</v>
      </c>
      <c r="G3511" s="10">
        <v>5049226</v>
      </c>
      <c r="H3511" s="11" cm="1">
        <f t="array" ref="H3511">F3511/G3511*100000</f>
        <v>11.5265191140187</v>
      </c>
    </row>
    <row r="3512" ht="13" customHeight="1">
      <c r="A3512" s="8">
        <v>9</v>
      </c>
      <c r="B3512" t="s" s="9">
        <v>30</v>
      </c>
      <c r="C3512" t="s" s="9">
        <v>66</v>
      </c>
      <c r="D3512" t="s" s="9">
        <v>53</v>
      </c>
      <c r="E3512" t="s" s="9">
        <v>71</v>
      </c>
      <c r="F3512" s="10">
        <v>677</v>
      </c>
      <c r="G3512" s="10">
        <v>5049226</v>
      </c>
      <c r="H3512" s="11" cm="1">
        <f t="array" ref="H3512">F3512/G3512*100000</f>
        <v>13.4079956017021</v>
      </c>
    </row>
    <row r="3513" ht="13" customHeight="1">
      <c r="A3513" s="8">
        <v>10</v>
      </c>
      <c r="B3513" t="s" s="9">
        <v>41</v>
      </c>
      <c r="C3513" t="s" s="9">
        <v>66</v>
      </c>
      <c r="D3513" t="s" s="9">
        <v>53</v>
      </c>
      <c r="E3513" t="s" s="9">
        <v>71</v>
      </c>
      <c r="F3513" s="10">
        <v>685</v>
      </c>
      <c r="G3513" s="10">
        <v>5049226</v>
      </c>
      <c r="H3513" s="11" cm="1">
        <f t="array" ref="H3513">F3513/G3513*100000</f>
        <v>13.5664357269807</v>
      </c>
    </row>
    <row r="3514" ht="13" customHeight="1">
      <c r="A3514" s="8">
        <v>1</v>
      </c>
      <c r="B3514" t="s" s="9">
        <v>30</v>
      </c>
      <c r="C3514" t="s" s="9">
        <v>66</v>
      </c>
      <c r="D3514" t="s" s="9">
        <v>54</v>
      </c>
      <c r="E3514" t="s" s="9">
        <v>71</v>
      </c>
      <c r="F3514" s="10">
        <v>832</v>
      </c>
      <c r="G3514" s="10">
        <v>3901529</v>
      </c>
      <c r="H3514" s="11" cm="1">
        <f t="array" ref="H3514">F3514/G3514*100000</f>
        <v>21.3249728503876</v>
      </c>
    </row>
    <row r="3515" ht="13" customHeight="1">
      <c r="A3515" s="8">
        <v>2</v>
      </c>
      <c r="B3515" t="s" s="9">
        <v>35</v>
      </c>
      <c r="C3515" t="s" s="9">
        <v>66</v>
      </c>
      <c r="D3515" t="s" s="9">
        <v>54</v>
      </c>
      <c r="E3515" t="s" s="9">
        <v>71</v>
      </c>
      <c r="F3515" s="10">
        <v>652</v>
      </c>
      <c r="G3515" s="10">
        <v>3901529</v>
      </c>
      <c r="H3515" s="11" cm="1">
        <f t="array" ref="H3515">F3515/G3515*100000</f>
        <v>16.7113969933326</v>
      </c>
    </row>
    <row r="3516" ht="13" customHeight="1">
      <c r="A3516" s="8">
        <v>3</v>
      </c>
      <c r="B3516" t="s" s="9">
        <v>34</v>
      </c>
      <c r="C3516" t="s" s="9">
        <v>66</v>
      </c>
      <c r="D3516" t="s" s="9">
        <v>54</v>
      </c>
      <c r="E3516" t="s" s="9">
        <v>71</v>
      </c>
      <c r="F3516" s="10">
        <v>419</v>
      </c>
      <c r="G3516" s="10">
        <v>3901529</v>
      </c>
      <c r="H3516" s="11" cm="1">
        <f t="array" ref="H3516">F3516/G3516*100000</f>
        <v>10.7393793561447</v>
      </c>
    </row>
    <row r="3517" ht="13" customHeight="1">
      <c r="A3517" s="8">
        <v>4</v>
      </c>
      <c r="B3517" t="s" s="9">
        <v>30</v>
      </c>
      <c r="C3517" t="s" s="9">
        <v>66</v>
      </c>
      <c r="D3517" t="s" s="9">
        <v>54</v>
      </c>
      <c r="E3517" t="s" s="9">
        <v>71</v>
      </c>
      <c r="F3517" s="10">
        <v>300</v>
      </c>
      <c r="G3517" s="10">
        <v>3901529</v>
      </c>
      <c r="H3517" s="11" cm="1">
        <f t="array" ref="H3517">F3517/G3517*100000</f>
        <v>7.68929309509169</v>
      </c>
    </row>
    <row r="3518" ht="13" customHeight="1">
      <c r="A3518" s="8">
        <v>5</v>
      </c>
      <c r="B3518" t="s" s="9">
        <v>39</v>
      </c>
      <c r="C3518" t="s" s="9">
        <v>66</v>
      </c>
      <c r="D3518" t="s" s="9">
        <v>54</v>
      </c>
      <c r="E3518" t="s" s="9">
        <v>71</v>
      </c>
      <c r="F3518" s="10">
        <v>369</v>
      </c>
      <c r="G3518" s="10">
        <v>3901529</v>
      </c>
      <c r="H3518" s="11" cm="1">
        <f t="array" ref="H3518">F3518/G3518*100000</f>
        <v>9.457830506962781</v>
      </c>
    </row>
    <row r="3519" ht="13" customHeight="1">
      <c r="A3519" s="8">
        <v>6</v>
      </c>
      <c r="B3519" t="s" s="9">
        <v>39</v>
      </c>
      <c r="C3519" t="s" s="9">
        <v>66</v>
      </c>
      <c r="D3519" t="s" s="9">
        <v>54</v>
      </c>
      <c r="E3519" t="s" s="9">
        <v>71</v>
      </c>
      <c r="F3519" s="10">
        <v>364</v>
      </c>
      <c r="G3519" s="10">
        <v>3901529</v>
      </c>
      <c r="H3519" s="11" cm="1">
        <f t="array" ref="H3519">F3519/G3519*100000</f>
        <v>9.32967562204459</v>
      </c>
    </row>
    <row r="3520" ht="13" customHeight="1">
      <c r="A3520" s="8">
        <v>7</v>
      </c>
      <c r="B3520" t="s" s="9">
        <v>41</v>
      </c>
      <c r="C3520" t="s" s="9">
        <v>66</v>
      </c>
      <c r="D3520" t="s" s="9">
        <v>54</v>
      </c>
      <c r="E3520" t="s" s="9">
        <v>71</v>
      </c>
      <c r="F3520" s="10">
        <v>248</v>
      </c>
      <c r="G3520" s="10">
        <v>3901529</v>
      </c>
      <c r="H3520" s="11" cm="1">
        <f t="array" ref="H3520">F3520/G3520*100000</f>
        <v>6.35648229194247</v>
      </c>
    </row>
    <row r="3521" ht="13" customHeight="1">
      <c r="A3521" s="8">
        <v>8</v>
      </c>
      <c r="B3521" t="s" s="9">
        <v>35</v>
      </c>
      <c r="C3521" t="s" s="9">
        <v>66</v>
      </c>
      <c r="D3521" t="s" s="9">
        <v>54</v>
      </c>
      <c r="E3521" t="s" s="9">
        <v>71</v>
      </c>
      <c r="F3521" s="10">
        <v>163</v>
      </c>
      <c r="G3521" s="10">
        <v>3901529</v>
      </c>
      <c r="H3521" s="11" cm="1">
        <f t="array" ref="H3521">F3521/G3521*100000</f>
        <v>4.17784924833315</v>
      </c>
    </row>
    <row r="3522" ht="13" customHeight="1">
      <c r="A3522" s="8">
        <v>9</v>
      </c>
      <c r="B3522" t="s" s="9">
        <v>30</v>
      </c>
      <c r="C3522" t="s" s="9">
        <v>66</v>
      </c>
      <c r="D3522" t="s" s="9">
        <v>54</v>
      </c>
      <c r="E3522" t="s" s="9">
        <v>71</v>
      </c>
      <c r="F3522" s="10">
        <v>175</v>
      </c>
      <c r="G3522" s="10">
        <v>3901529</v>
      </c>
      <c r="H3522" s="11" cm="1">
        <f t="array" ref="H3522">F3522/G3522*100000</f>
        <v>4.48542097213682</v>
      </c>
    </row>
    <row r="3523" ht="13" customHeight="1">
      <c r="A3523" s="8">
        <v>10</v>
      </c>
      <c r="B3523" t="s" s="9">
        <v>45</v>
      </c>
      <c r="C3523" t="s" s="9">
        <v>66</v>
      </c>
      <c r="D3523" t="s" s="9">
        <v>54</v>
      </c>
      <c r="E3523" t="s" s="9">
        <v>71</v>
      </c>
      <c r="F3523" s="10">
        <v>141</v>
      </c>
      <c r="G3523" s="10">
        <v>3901529</v>
      </c>
      <c r="H3523" s="11" cm="1">
        <f t="array" ref="H3523">F3523/G3523*100000</f>
        <v>3.6139677546931</v>
      </c>
    </row>
    <row r="3524" ht="13" customHeight="1">
      <c r="A3524" s="8">
        <v>1</v>
      </c>
      <c r="B3524" t="s" s="9">
        <v>30</v>
      </c>
      <c r="C3524" t="s" s="9">
        <v>66</v>
      </c>
      <c r="D3524" t="s" s="9">
        <v>55</v>
      </c>
      <c r="E3524" t="s" s="9">
        <v>71</v>
      </c>
      <c r="F3524" s="10">
        <v>4530</v>
      </c>
      <c r="G3524" s="10">
        <v>5273604</v>
      </c>
      <c r="H3524" s="11" cm="1">
        <f t="array" ref="H3524">F3524/G3524*100000</f>
        <v>85.899510088357</v>
      </c>
    </row>
    <row r="3525" ht="13" customHeight="1">
      <c r="A3525" s="8">
        <v>2</v>
      </c>
      <c r="B3525" t="s" s="9">
        <v>35</v>
      </c>
      <c r="C3525" t="s" s="9">
        <v>66</v>
      </c>
      <c r="D3525" t="s" s="9">
        <v>55</v>
      </c>
      <c r="E3525" t="s" s="9">
        <v>71</v>
      </c>
      <c r="F3525" s="10">
        <v>2455</v>
      </c>
      <c r="G3525" s="10">
        <v>5273604</v>
      </c>
      <c r="H3525" s="11" cm="1">
        <f t="array" ref="H3525">F3525/G3525*100000</f>
        <v>46.5526042531825</v>
      </c>
    </row>
    <row r="3526" ht="13" customHeight="1">
      <c r="A3526" s="8">
        <v>3</v>
      </c>
      <c r="B3526" t="s" s="9">
        <v>34</v>
      </c>
      <c r="C3526" t="s" s="9">
        <v>66</v>
      </c>
      <c r="D3526" t="s" s="9">
        <v>55</v>
      </c>
      <c r="E3526" t="s" s="9">
        <v>71</v>
      </c>
      <c r="F3526" s="10">
        <v>2435</v>
      </c>
      <c r="G3526" s="10">
        <v>5273604</v>
      </c>
      <c r="H3526" s="11" cm="1">
        <f t="array" ref="H3526">F3526/G3526*100000</f>
        <v>46.1733569680241</v>
      </c>
    </row>
    <row r="3527" ht="13" customHeight="1">
      <c r="A3527" s="8">
        <v>4</v>
      </c>
      <c r="B3527" t="s" s="9">
        <v>35</v>
      </c>
      <c r="C3527" t="s" s="9">
        <v>66</v>
      </c>
      <c r="D3527" t="s" s="9">
        <v>55</v>
      </c>
      <c r="E3527" t="s" s="9">
        <v>71</v>
      </c>
      <c r="F3527" s="10">
        <v>1311</v>
      </c>
      <c r="G3527" s="10">
        <v>5273604</v>
      </c>
      <c r="H3527" s="11" cm="1">
        <f t="array" ref="H3527">F3527/G3527*100000</f>
        <v>24.8596595421272</v>
      </c>
    </row>
    <row r="3528" ht="13" customHeight="1">
      <c r="A3528" s="8">
        <v>5</v>
      </c>
      <c r="B3528" t="s" s="9">
        <v>30</v>
      </c>
      <c r="C3528" t="s" s="9">
        <v>66</v>
      </c>
      <c r="D3528" t="s" s="9">
        <v>55</v>
      </c>
      <c r="E3528" t="s" s="9">
        <v>71</v>
      </c>
      <c r="F3528" s="10">
        <v>1416</v>
      </c>
      <c r="G3528" s="10">
        <v>5273604</v>
      </c>
      <c r="H3528" s="11" cm="1">
        <f t="array" ref="H3528">F3528/G3528*100000</f>
        <v>26.8507077892083</v>
      </c>
    </row>
    <row r="3529" ht="13" customHeight="1">
      <c r="A3529" s="8">
        <v>6</v>
      </c>
      <c r="B3529" t="s" s="9">
        <v>36</v>
      </c>
      <c r="C3529" t="s" s="9">
        <v>66</v>
      </c>
      <c r="D3529" t="s" s="9">
        <v>55</v>
      </c>
      <c r="E3529" t="s" s="9">
        <v>71</v>
      </c>
      <c r="F3529" s="10">
        <v>628</v>
      </c>
      <c r="G3529" s="10">
        <v>5273604</v>
      </c>
      <c r="H3529" s="11" cm="1">
        <f t="array" ref="H3529">F3529/G3529*100000</f>
        <v>11.9083647539709</v>
      </c>
    </row>
    <row r="3530" ht="13" customHeight="1">
      <c r="A3530" s="8">
        <v>7</v>
      </c>
      <c r="B3530" t="s" s="9">
        <v>39</v>
      </c>
      <c r="C3530" t="s" s="9">
        <v>66</v>
      </c>
      <c r="D3530" t="s" s="9">
        <v>55</v>
      </c>
      <c r="E3530" t="s" s="9">
        <v>71</v>
      </c>
      <c r="F3530" s="10">
        <v>740</v>
      </c>
      <c r="G3530" s="10">
        <v>5273604</v>
      </c>
      <c r="H3530" s="11" cm="1">
        <f t="array" ref="H3530">F3530/G3530*100000</f>
        <v>14.0321495508574</v>
      </c>
    </row>
    <row r="3531" ht="13" customHeight="1">
      <c r="A3531" s="8">
        <v>8</v>
      </c>
      <c r="B3531" t="s" s="9">
        <v>45</v>
      </c>
      <c r="C3531" t="s" s="9">
        <v>66</v>
      </c>
      <c r="D3531" t="s" s="9">
        <v>55</v>
      </c>
      <c r="E3531" t="s" s="9">
        <v>71</v>
      </c>
      <c r="F3531" s="10">
        <v>589</v>
      </c>
      <c r="G3531" s="10">
        <v>5273604</v>
      </c>
      <c r="H3531" s="11" cm="1">
        <f t="array" ref="H3531">F3531/G3531*100000</f>
        <v>11.1688325479122</v>
      </c>
    </row>
    <row r="3532" ht="13" customHeight="1">
      <c r="A3532" s="8">
        <v>9</v>
      </c>
      <c r="B3532" t="s" s="9">
        <v>37</v>
      </c>
      <c r="C3532" t="s" s="9">
        <v>66</v>
      </c>
      <c r="D3532" t="s" s="9">
        <v>55</v>
      </c>
      <c r="E3532" t="s" s="9">
        <v>71</v>
      </c>
      <c r="F3532" s="10">
        <v>603</v>
      </c>
      <c r="G3532" s="10">
        <v>5273604</v>
      </c>
      <c r="H3532" s="11" cm="1">
        <f t="array" ref="H3532">F3532/G3532*100000</f>
        <v>11.434305647523</v>
      </c>
    </row>
    <row r="3533" ht="13" customHeight="1">
      <c r="A3533" s="8">
        <v>10</v>
      </c>
      <c r="B3533" t="s" s="9">
        <v>36</v>
      </c>
      <c r="C3533" t="s" s="9">
        <v>66</v>
      </c>
      <c r="D3533" t="s" s="9">
        <v>55</v>
      </c>
      <c r="E3533" t="s" s="9">
        <v>71</v>
      </c>
      <c r="F3533" s="10">
        <v>483</v>
      </c>
      <c r="G3533" s="10">
        <v>5273604</v>
      </c>
      <c r="H3533" s="11" cm="1">
        <f t="array" ref="H3533">F3533/G3533*100000</f>
        <v>9.158821936573171</v>
      </c>
    </row>
    <row r="3534" ht="13" customHeight="1">
      <c r="A3534" s="8">
        <v>1</v>
      </c>
      <c r="B3534" t="s" s="9">
        <v>34</v>
      </c>
      <c r="C3534" t="s" s="9">
        <v>66</v>
      </c>
      <c r="D3534" t="s" s="9">
        <v>56</v>
      </c>
      <c r="E3534" t="s" s="9">
        <v>71</v>
      </c>
      <c r="F3534" s="10">
        <v>1800</v>
      </c>
      <c r="G3534" s="10">
        <v>5691183</v>
      </c>
      <c r="H3534" s="11" cm="1">
        <f t="array" ref="H3534">F3534/G3534*100000</f>
        <v>31.6278706905049</v>
      </c>
    </row>
    <row r="3535" ht="13" customHeight="1">
      <c r="A3535" s="8">
        <v>2</v>
      </c>
      <c r="B3535" t="s" s="9">
        <v>35</v>
      </c>
      <c r="C3535" t="s" s="9">
        <v>66</v>
      </c>
      <c r="D3535" t="s" s="9">
        <v>56</v>
      </c>
      <c r="E3535" t="s" s="9">
        <v>71</v>
      </c>
      <c r="F3535" s="10">
        <v>1590</v>
      </c>
      <c r="G3535" s="10">
        <v>5691183</v>
      </c>
      <c r="H3535" s="11" cm="1">
        <f t="array" ref="H3535">F3535/G3535*100000</f>
        <v>27.9379524432794</v>
      </c>
    </row>
    <row r="3536" ht="13" customHeight="1">
      <c r="A3536" s="8">
        <v>3</v>
      </c>
      <c r="B3536" t="s" s="9">
        <v>30</v>
      </c>
      <c r="C3536" t="s" s="9">
        <v>66</v>
      </c>
      <c r="D3536" t="s" s="9">
        <v>56</v>
      </c>
      <c r="E3536" t="s" s="9">
        <v>71</v>
      </c>
      <c r="F3536" s="10">
        <v>1444</v>
      </c>
      <c r="G3536" s="10">
        <v>5691183</v>
      </c>
      <c r="H3536" s="11" cm="1">
        <f t="array" ref="H3536">F3536/G3536*100000</f>
        <v>25.372580709494</v>
      </c>
    </row>
    <row r="3537" ht="13" customHeight="1">
      <c r="A3537" s="8">
        <v>4</v>
      </c>
      <c r="B3537" t="s" s="9">
        <v>37</v>
      </c>
      <c r="C3537" t="s" s="9">
        <v>66</v>
      </c>
      <c r="D3537" t="s" s="9">
        <v>56</v>
      </c>
      <c r="E3537" t="s" s="9">
        <v>71</v>
      </c>
      <c r="F3537" s="10">
        <v>945</v>
      </c>
      <c r="G3537" s="10">
        <v>5691183</v>
      </c>
      <c r="H3537" s="11" cm="1">
        <f t="array" ref="H3537">F3537/G3537*100000</f>
        <v>16.6046321125151</v>
      </c>
    </row>
    <row r="3538" ht="13" customHeight="1">
      <c r="A3538" s="8">
        <v>5</v>
      </c>
      <c r="B3538" t="s" s="9">
        <v>30</v>
      </c>
      <c r="C3538" t="s" s="9">
        <v>66</v>
      </c>
      <c r="D3538" t="s" s="9">
        <v>56</v>
      </c>
      <c r="E3538" t="s" s="9">
        <v>71</v>
      </c>
      <c r="F3538" s="10">
        <v>527</v>
      </c>
      <c r="G3538" s="10">
        <v>5691183</v>
      </c>
      <c r="H3538" s="11" cm="1">
        <f t="array" ref="H3538">F3538/G3538*100000</f>
        <v>9.259937696608951</v>
      </c>
    </row>
    <row r="3539" ht="13" customHeight="1">
      <c r="A3539" s="8">
        <v>6</v>
      </c>
      <c r="B3539" t="s" s="9">
        <v>35</v>
      </c>
      <c r="C3539" t="s" s="9">
        <v>66</v>
      </c>
      <c r="D3539" t="s" s="9">
        <v>56</v>
      </c>
      <c r="E3539" t="s" s="9">
        <v>71</v>
      </c>
      <c r="F3539" s="10">
        <v>350</v>
      </c>
      <c r="G3539" s="10">
        <v>5691183</v>
      </c>
      <c r="H3539" s="11" cm="1">
        <f t="array" ref="H3539">F3539/G3539*100000</f>
        <v>6.14986374537596</v>
      </c>
    </row>
    <row r="3540" ht="13" customHeight="1">
      <c r="A3540" s="8">
        <v>7</v>
      </c>
      <c r="B3540" t="s" s="9">
        <v>30</v>
      </c>
      <c r="C3540" t="s" s="9">
        <v>66</v>
      </c>
      <c r="D3540" t="s" s="9">
        <v>56</v>
      </c>
      <c r="E3540" t="s" s="9">
        <v>71</v>
      </c>
      <c r="F3540" s="10">
        <v>448</v>
      </c>
      <c r="G3540" s="10">
        <v>5691183</v>
      </c>
      <c r="H3540" s="11" cm="1">
        <f t="array" ref="H3540">F3540/G3540*100000</f>
        <v>7.87182559408123</v>
      </c>
    </row>
    <row r="3541" ht="13" customHeight="1">
      <c r="A3541" s="8">
        <v>8</v>
      </c>
      <c r="B3541" t="s" s="9">
        <v>39</v>
      </c>
      <c r="C3541" t="s" s="9">
        <v>66</v>
      </c>
      <c r="D3541" t="s" s="9">
        <v>56</v>
      </c>
      <c r="E3541" t="s" s="9">
        <v>71</v>
      </c>
      <c r="F3541" s="10">
        <v>433</v>
      </c>
      <c r="G3541" s="10">
        <v>5691183</v>
      </c>
      <c r="H3541" s="11" cm="1">
        <f t="array" ref="H3541">F3541/G3541*100000</f>
        <v>7.60826000499369</v>
      </c>
    </row>
    <row r="3542" ht="13" customHeight="1">
      <c r="A3542" s="8">
        <v>9</v>
      </c>
      <c r="B3542" t="s" s="9">
        <v>45</v>
      </c>
      <c r="C3542" t="s" s="9">
        <v>66</v>
      </c>
      <c r="D3542" t="s" s="9">
        <v>56</v>
      </c>
      <c r="E3542" t="s" s="9">
        <v>71</v>
      </c>
      <c r="F3542" s="10">
        <v>313</v>
      </c>
      <c r="G3542" s="10">
        <v>5691183</v>
      </c>
      <c r="H3542" s="11" cm="1">
        <f t="array" ref="H3542">F3542/G3542*100000</f>
        <v>5.49973529229336</v>
      </c>
    </row>
    <row r="3543" ht="13" customHeight="1">
      <c r="A3543" s="8">
        <v>10</v>
      </c>
      <c r="B3543" t="s" s="9">
        <v>36</v>
      </c>
      <c r="C3543" t="s" s="9">
        <v>66</v>
      </c>
      <c r="D3543" t="s" s="9">
        <v>56</v>
      </c>
      <c r="E3543" t="s" s="9">
        <v>71</v>
      </c>
      <c r="F3543" s="10">
        <v>231</v>
      </c>
      <c r="G3543" s="10">
        <v>5691183</v>
      </c>
      <c r="H3543" s="11" cm="1">
        <f t="array" ref="H3543">F3543/G3543*100000</f>
        <v>4.05891007194813</v>
      </c>
    </row>
    <row r="3544" ht="13" customHeight="1">
      <c r="A3544" s="8">
        <v>1</v>
      </c>
      <c r="B3544" t="s" s="9">
        <v>35</v>
      </c>
      <c r="C3544" t="s" s="9">
        <v>66</v>
      </c>
      <c r="D3544" t="s" s="9">
        <v>57</v>
      </c>
      <c r="E3544" t="s" s="9">
        <v>71</v>
      </c>
      <c r="F3544" s="10">
        <v>694</v>
      </c>
      <c r="G3544" s="10">
        <v>5214931</v>
      </c>
      <c r="H3544" s="11" cm="1">
        <f t="array" ref="H3544">F3544/G3544*100000</f>
        <v>13.3079421376812</v>
      </c>
    </row>
    <row r="3545" ht="13" customHeight="1">
      <c r="A3545" s="8">
        <v>2</v>
      </c>
      <c r="B3545" t="s" s="9">
        <v>30</v>
      </c>
      <c r="C3545" t="s" s="9">
        <v>66</v>
      </c>
      <c r="D3545" t="s" s="9">
        <v>57</v>
      </c>
      <c r="E3545" t="s" s="9">
        <v>71</v>
      </c>
      <c r="F3545" s="10">
        <v>580</v>
      </c>
      <c r="G3545" s="10">
        <v>5214931</v>
      </c>
      <c r="H3545" s="11" cm="1">
        <f t="array" ref="H3545">F3545/G3545*100000</f>
        <v>11.1219112966212</v>
      </c>
    </row>
    <row r="3546" ht="13" customHeight="1">
      <c r="A3546" s="8">
        <v>3</v>
      </c>
      <c r="B3546" t="s" s="9">
        <v>34</v>
      </c>
      <c r="C3546" t="s" s="9">
        <v>66</v>
      </c>
      <c r="D3546" t="s" s="9">
        <v>57</v>
      </c>
      <c r="E3546" t="s" s="9">
        <v>71</v>
      </c>
      <c r="F3546" s="10">
        <v>193</v>
      </c>
      <c r="G3546" s="10">
        <v>5214931</v>
      </c>
      <c r="H3546" s="11" cm="1">
        <f t="array" ref="H3546">F3546/G3546*100000</f>
        <v>3.70091186249636</v>
      </c>
    </row>
    <row r="3547" ht="13" customHeight="1">
      <c r="A3547" s="8">
        <v>4</v>
      </c>
      <c r="B3547" t="s" s="9">
        <v>30</v>
      </c>
      <c r="C3547" t="s" s="9">
        <v>66</v>
      </c>
      <c r="D3547" t="s" s="9">
        <v>57</v>
      </c>
      <c r="E3547" t="s" s="9">
        <v>71</v>
      </c>
      <c r="F3547" s="10">
        <v>92</v>
      </c>
      <c r="G3547" s="10">
        <v>5214931</v>
      </c>
      <c r="H3547" s="11" cm="1">
        <f t="array" ref="H3547">F3547/G3547*100000</f>
        <v>1.7641652401537</v>
      </c>
    </row>
    <row r="3548" ht="13" customHeight="1">
      <c r="A3548" s="8">
        <v>5</v>
      </c>
      <c r="B3548" t="s" s="9">
        <v>41</v>
      </c>
      <c r="C3548" t="s" s="9">
        <v>66</v>
      </c>
      <c r="D3548" t="s" s="9">
        <v>57</v>
      </c>
      <c r="E3548" t="s" s="9">
        <v>71</v>
      </c>
      <c r="F3548" s="10">
        <v>100</v>
      </c>
      <c r="G3548" s="10">
        <v>5214931</v>
      </c>
      <c r="H3548" s="11" cm="1">
        <f t="array" ref="H3548">F3548/G3548*100000</f>
        <v>1.91757091321055</v>
      </c>
    </row>
    <row r="3549" ht="13" customHeight="1">
      <c r="A3549" s="8">
        <v>6</v>
      </c>
      <c r="B3549" t="s" s="9">
        <v>30</v>
      </c>
      <c r="C3549" t="s" s="9">
        <v>66</v>
      </c>
      <c r="D3549" t="s" s="9">
        <v>57</v>
      </c>
      <c r="E3549" t="s" s="9">
        <v>71</v>
      </c>
      <c r="F3549" s="10">
        <v>86</v>
      </c>
      <c r="G3549" s="10">
        <v>5214931</v>
      </c>
      <c r="H3549" s="11" cm="1">
        <f t="array" ref="H3549">F3549/G3549*100000</f>
        <v>1.64911098536107</v>
      </c>
    </row>
    <row r="3550" ht="13" customHeight="1">
      <c r="A3550" s="8">
        <v>7</v>
      </c>
      <c r="B3550" t="s" s="9">
        <v>30</v>
      </c>
      <c r="C3550" t="s" s="9">
        <v>66</v>
      </c>
      <c r="D3550" t="s" s="9">
        <v>57</v>
      </c>
      <c r="E3550" t="s" s="9">
        <v>71</v>
      </c>
      <c r="F3550" s="10">
        <v>88</v>
      </c>
      <c r="G3550" s="10">
        <v>5214931</v>
      </c>
      <c r="H3550" s="11" cm="1">
        <f t="array" ref="H3550">F3550/G3550*100000</f>
        <v>1.68746240362528</v>
      </c>
    </row>
    <row r="3551" ht="13" customHeight="1">
      <c r="A3551" s="8">
        <v>8</v>
      </c>
      <c r="B3551" t="s" s="9">
        <v>30</v>
      </c>
      <c r="C3551" t="s" s="9">
        <v>66</v>
      </c>
      <c r="D3551" t="s" s="9">
        <v>57</v>
      </c>
      <c r="E3551" t="s" s="9">
        <v>71</v>
      </c>
      <c r="F3551" s="10">
        <v>60</v>
      </c>
      <c r="G3551" s="10">
        <v>5214931</v>
      </c>
      <c r="H3551" s="11" cm="1">
        <f t="array" ref="H3551">F3551/G3551*100000</f>
        <v>1.15054254792633</v>
      </c>
    </row>
    <row r="3552" ht="13" customHeight="1">
      <c r="A3552" s="8">
        <v>9</v>
      </c>
      <c r="B3552" t="s" s="9">
        <v>39</v>
      </c>
      <c r="C3552" t="s" s="9">
        <v>66</v>
      </c>
      <c r="D3552" t="s" s="9">
        <v>57</v>
      </c>
      <c r="E3552" t="s" s="9">
        <v>71</v>
      </c>
      <c r="F3552" s="10">
        <v>80</v>
      </c>
      <c r="G3552" s="10">
        <v>5214931</v>
      </c>
      <c r="H3552" s="11" cm="1">
        <f t="array" ref="H3552">F3552/G3552*100000</f>
        <v>1.53405673056844</v>
      </c>
    </row>
    <row r="3553" ht="13" customHeight="1">
      <c r="A3553" s="8">
        <v>10</v>
      </c>
      <c r="B3553" t="s" s="9">
        <v>36</v>
      </c>
      <c r="C3553" t="s" s="9">
        <v>66</v>
      </c>
      <c r="D3553" t="s" s="9">
        <v>57</v>
      </c>
      <c r="E3553" t="s" s="9">
        <v>71</v>
      </c>
      <c r="F3553" s="10">
        <v>57</v>
      </c>
      <c r="G3553" s="10">
        <v>5214931</v>
      </c>
      <c r="H3553" s="11" cm="1">
        <f t="array" ref="H3553">F3553/G3553*100000</f>
        <v>1.09301542053001</v>
      </c>
    </row>
    <row r="3554" ht="13" customHeight="1">
      <c r="A3554" s="8">
        <v>1</v>
      </c>
      <c r="B3554" t="s" s="9">
        <v>30</v>
      </c>
      <c r="C3554" t="s" s="9">
        <v>66</v>
      </c>
      <c r="D3554" t="s" s="9">
        <v>20</v>
      </c>
      <c r="E3554" t="s" s="9">
        <v>71</v>
      </c>
      <c r="F3554" s="10">
        <v>2950</v>
      </c>
      <c r="G3554" s="10">
        <v>2889689</v>
      </c>
      <c r="H3554" s="11" cm="1">
        <f t="array" ref="H3554">F3554/G3554*100000</f>
        <v>102.087110412228</v>
      </c>
    </row>
    <row r="3555" ht="13" customHeight="1">
      <c r="A3555" s="8">
        <v>2</v>
      </c>
      <c r="B3555" t="s" s="9">
        <v>35</v>
      </c>
      <c r="C3555" t="s" s="9">
        <v>66</v>
      </c>
      <c r="D3555" t="s" s="9">
        <v>20</v>
      </c>
      <c r="E3555" t="s" s="9">
        <v>71</v>
      </c>
      <c r="F3555" s="10">
        <v>861</v>
      </c>
      <c r="G3555" s="10">
        <v>2889689</v>
      </c>
      <c r="H3555" s="11" cm="1">
        <f t="array" ref="H3555">F3555/G3555*100000</f>
        <v>29.7955939203146</v>
      </c>
    </row>
    <row r="3556" ht="13" customHeight="1">
      <c r="A3556" s="8">
        <v>3</v>
      </c>
      <c r="B3556" t="s" s="9">
        <v>34</v>
      </c>
      <c r="C3556" t="s" s="9">
        <v>66</v>
      </c>
      <c r="D3556" t="s" s="9">
        <v>20</v>
      </c>
      <c r="E3556" t="s" s="9">
        <v>71</v>
      </c>
      <c r="F3556" s="10">
        <v>991</v>
      </c>
      <c r="G3556" s="10">
        <v>2889689</v>
      </c>
      <c r="H3556" s="11" cm="1">
        <f t="array" ref="H3556">F3556/G3556*100000</f>
        <v>34.2943479384806</v>
      </c>
    </row>
    <row r="3557" ht="13" customHeight="1">
      <c r="A3557" s="8">
        <v>4</v>
      </c>
      <c r="B3557" t="s" s="9">
        <v>39</v>
      </c>
      <c r="C3557" t="s" s="9">
        <v>66</v>
      </c>
      <c r="D3557" t="s" s="9">
        <v>20</v>
      </c>
      <c r="E3557" t="s" s="9">
        <v>71</v>
      </c>
      <c r="F3557" s="10">
        <v>1200</v>
      </c>
      <c r="G3557" s="10">
        <v>2889689</v>
      </c>
      <c r="H3557" s="11" cm="1">
        <f t="array" ref="H3557">F3557/G3557*100000</f>
        <v>41.5269601676859</v>
      </c>
    </row>
    <row r="3558" ht="13" customHeight="1">
      <c r="A3558" s="8">
        <v>5</v>
      </c>
      <c r="B3558" t="s" s="9">
        <v>30</v>
      </c>
      <c r="C3558" t="s" s="9">
        <v>66</v>
      </c>
      <c r="D3558" t="s" s="9">
        <v>20</v>
      </c>
      <c r="E3558" t="s" s="9">
        <v>71</v>
      </c>
      <c r="F3558" s="10">
        <v>685</v>
      </c>
      <c r="G3558" s="10">
        <v>2889689</v>
      </c>
      <c r="H3558" s="11" cm="1">
        <f t="array" ref="H3558">F3558/G3558*100000</f>
        <v>23.7049730957207</v>
      </c>
    </row>
    <row r="3559" ht="13" customHeight="1">
      <c r="A3559" s="8">
        <v>6</v>
      </c>
      <c r="B3559" t="s" s="9">
        <v>35</v>
      </c>
      <c r="C3559" t="s" s="9">
        <v>66</v>
      </c>
      <c r="D3559" t="s" s="9">
        <v>20</v>
      </c>
      <c r="E3559" t="s" s="9">
        <v>71</v>
      </c>
      <c r="F3559" s="10">
        <v>510</v>
      </c>
      <c r="G3559" s="10">
        <v>2889689</v>
      </c>
      <c r="H3559" s="11" cm="1">
        <f t="array" ref="H3559">F3559/G3559*100000</f>
        <v>17.6489580712665</v>
      </c>
    </row>
    <row r="3560" ht="13" customHeight="1">
      <c r="A3560" s="8">
        <v>7</v>
      </c>
      <c r="B3560" t="s" s="9">
        <v>36</v>
      </c>
      <c r="C3560" t="s" s="9">
        <v>66</v>
      </c>
      <c r="D3560" t="s" s="9">
        <v>20</v>
      </c>
      <c r="E3560" t="s" s="9">
        <v>71</v>
      </c>
      <c r="F3560" s="10">
        <v>462</v>
      </c>
      <c r="G3560" s="10">
        <v>2889689</v>
      </c>
      <c r="H3560" s="11" cm="1">
        <f t="array" ref="H3560">F3560/G3560*100000</f>
        <v>15.9878796645591</v>
      </c>
    </row>
    <row r="3561" ht="13" customHeight="1">
      <c r="A3561" s="8">
        <v>8</v>
      </c>
      <c r="B3561" t="s" s="9">
        <v>37</v>
      </c>
      <c r="C3561" t="s" s="9">
        <v>66</v>
      </c>
      <c r="D3561" t="s" s="9">
        <v>20</v>
      </c>
      <c r="E3561" t="s" s="9">
        <v>71</v>
      </c>
      <c r="F3561" s="10">
        <v>426</v>
      </c>
      <c r="G3561" s="10">
        <v>2889689</v>
      </c>
      <c r="H3561" s="11" cm="1">
        <f t="array" ref="H3561">F3561/G3561*100000</f>
        <v>14.7420708595285</v>
      </c>
    </row>
    <row r="3562" ht="13" customHeight="1">
      <c r="A3562" s="8">
        <v>9</v>
      </c>
      <c r="B3562" t="s" s="9">
        <v>45</v>
      </c>
      <c r="C3562" t="s" s="9">
        <v>66</v>
      </c>
      <c r="D3562" t="s" s="9">
        <v>20</v>
      </c>
      <c r="E3562" t="s" s="9">
        <v>71</v>
      </c>
      <c r="F3562" s="10">
        <v>306</v>
      </c>
      <c r="G3562" s="10">
        <v>2889689</v>
      </c>
      <c r="H3562" s="11" cm="1">
        <f t="array" ref="H3562">F3562/G3562*100000</f>
        <v>10.5893748427599</v>
      </c>
    </row>
    <row r="3563" ht="13" customHeight="1">
      <c r="A3563" s="8">
        <v>10</v>
      </c>
      <c r="B3563" t="s" s="9">
        <v>37</v>
      </c>
      <c r="C3563" t="s" s="9">
        <v>66</v>
      </c>
      <c r="D3563" t="s" s="9">
        <v>20</v>
      </c>
      <c r="E3563" t="s" s="9">
        <v>71</v>
      </c>
      <c r="F3563" s="10">
        <v>355</v>
      </c>
      <c r="G3563" s="10">
        <v>2889689</v>
      </c>
      <c r="H3563" s="11" cm="1">
        <f t="array" ref="H3563">F3563/G3563*100000</f>
        <v>12.2850590496071</v>
      </c>
    </row>
    <row r="3564" ht="13" customHeight="1">
      <c r="A3564" s="8">
        <v>1</v>
      </c>
      <c r="B3564" t="s" s="9">
        <v>30</v>
      </c>
      <c r="C3564" t="s" s="9">
        <v>66</v>
      </c>
      <c r="D3564" t="s" s="9">
        <v>21</v>
      </c>
      <c r="E3564" t="s" s="9">
        <v>71</v>
      </c>
      <c r="F3564" s="10">
        <v>4552</v>
      </c>
      <c r="G3564" s="10">
        <v>4635519</v>
      </c>
      <c r="H3564" s="11" cm="1">
        <f t="array" ref="H3564">F3564/G3564*100000</f>
        <v>98.1982815732176</v>
      </c>
    </row>
    <row r="3565" ht="13" customHeight="1">
      <c r="A3565" s="8">
        <v>2</v>
      </c>
      <c r="B3565" t="s" s="9">
        <v>36</v>
      </c>
      <c r="C3565" t="s" s="9">
        <v>66</v>
      </c>
      <c r="D3565" t="s" s="9">
        <v>21</v>
      </c>
      <c r="E3565" t="s" s="9">
        <v>71</v>
      </c>
      <c r="F3565" s="10">
        <v>1795</v>
      </c>
      <c r="G3565" s="10">
        <v>4635519</v>
      </c>
      <c r="H3565" s="11" cm="1">
        <f t="array" ref="H3565">F3565/G3565*100000</f>
        <v>38.7227406467323</v>
      </c>
    </row>
    <row r="3566" ht="13" customHeight="1">
      <c r="A3566" s="8">
        <v>3</v>
      </c>
      <c r="B3566" t="s" s="9">
        <v>30</v>
      </c>
      <c r="C3566" t="s" s="9">
        <v>66</v>
      </c>
      <c r="D3566" t="s" s="9">
        <v>21</v>
      </c>
      <c r="E3566" t="s" s="9">
        <v>71</v>
      </c>
      <c r="F3566" s="10">
        <v>1778</v>
      </c>
      <c r="G3566" s="10">
        <v>4635519</v>
      </c>
      <c r="H3566" s="11" cm="1">
        <f t="array" ref="H3566">F3566/G3566*100000</f>
        <v>38.3560071698552</v>
      </c>
    </row>
    <row r="3567" ht="13" customHeight="1">
      <c r="A3567" s="8">
        <v>4</v>
      </c>
      <c r="B3567" t="s" s="9">
        <v>34</v>
      </c>
      <c r="C3567" t="s" s="9">
        <v>66</v>
      </c>
      <c r="D3567" t="s" s="9">
        <v>21</v>
      </c>
      <c r="E3567" t="s" s="9">
        <v>71</v>
      </c>
      <c r="F3567" s="10">
        <v>1921</v>
      </c>
      <c r="G3567" s="10">
        <v>4635519</v>
      </c>
      <c r="H3567" s="11" cm="1">
        <f t="array" ref="H3567">F3567/G3567*100000</f>
        <v>41.4408828871158</v>
      </c>
    </row>
    <row r="3568" ht="13" customHeight="1">
      <c r="A3568" s="8">
        <v>5</v>
      </c>
      <c r="B3568" t="s" s="9">
        <v>36</v>
      </c>
      <c r="C3568" t="s" s="9">
        <v>66</v>
      </c>
      <c r="D3568" t="s" s="9">
        <v>21</v>
      </c>
      <c r="E3568" t="s" s="9">
        <v>71</v>
      </c>
      <c r="F3568" s="10">
        <v>689</v>
      </c>
      <c r="G3568" s="10">
        <v>4635519</v>
      </c>
      <c r="H3568" s="11" cm="1">
        <f t="array" ref="H3568">F3568/G3568*100000</f>
        <v>14.8634920922555</v>
      </c>
    </row>
    <row r="3569" ht="13" customHeight="1">
      <c r="A3569" s="8">
        <v>6</v>
      </c>
      <c r="B3569" t="s" s="9">
        <v>41</v>
      </c>
      <c r="C3569" t="s" s="9">
        <v>66</v>
      </c>
      <c r="D3569" t="s" s="9">
        <v>21</v>
      </c>
      <c r="E3569" t="s" s="9">
        <v>71</v>
      </c>
      <c r="F3569" s="10">
        <v>643</v>
      </c>
      <c r="G3569" s="10">
        <v>4635519</v>
      </c>
      <c r="H3569" s="11" cm="1">
        <f t="array" ref="H3569">F3569/G3569*100000</f>
        <v>13.8711544489409</v>
      </c>
    </row>
    <row r="3570" ht="13" customHeight="1">
      <c r="A3570" s="8">
        <v>7</v>
      </c>
      <c r="B3570" t="s" s="9">
        <v>30</v>
      </c>
      <c r="C3570" t="s" s="9">
        <v>66</v>
      </c>
      <c r="D3570" t="s" s="9">
        <v>21</v>
      </c>
      <c r="E3570" t="s" s="9">
        <v>71</v>
      </c>
      <c r="F3570" s="10">
        <v>668</v>
      </c>
      <c r="G3570" s="10">
        <v>4635519</v>
      </c>
      <c r="H3570" s="11" cm="1">
        <f t="array" ref="H3570">F3570/G3570*100000</f>
        <v>14.4104683855249</v>
      </c>
    </row>
    <row r="3571" ht="13" customHeight="1">
      <c r="A3571" s="8">
        <v>8</v>
      </c>
      <c r="B3571" t="s" s="9">
        <v>45</v>
      </c>
      <c r="C3571" t="s" s="9">
        <v>66</v>
      </c>
      <c r="D3571" t="s" s="9">
        <v>21</v>
      </c>
      <c r="E3571" t="s" s="9">
        <v>71</v>
      </c>
      <c r="F3571" s="10">
        <v>592</v>
      </c>
      <c r="G3571" s="10">
        <v>4635519</v>
      </c>
      <c r="H3571" s="11" cm="1">
        <f t="array" ref="H3571">F3571/G3571*100000</f>
        <v>12.7709540183095</v>
      </c>
    </row>
    <row r="3572" ht="13" customHeight="1">
      <c r="A3572" s="8">
        <v>9</v>
      </c>
      <c r="B3572" t="s" s="9">
        <v>30</v>
      </c>
      <c r="C3572" t="s" s="9">
        <v>66</v>
      </c>
      <c r="D3572" t="s" s="9">
        <v>21</v>
      </c>
      <c r="E3572" t="s" s="9">
        <v>71</v>
      </c>
      <c r="F3572" s="10">
        <v>556</v>
      </c>
      <c r="G3572" s="10">
        <v>4635519</v>
      </c>
      <c r="H3572" s="11" cm="1">
        <f t="array" ref="H3572">F3572/G3572*100000</f>
        <v>11.9943419496285</v>
      </c>
    </row>
    <row r="3573" ht="13" customHeight="1">
      <c r="A3573" s="8">
        <v>10</v>
      </c>
      <c r="B3573" t="s" s="9">
        <v>37</v>
      </c>
      <c r="C3573" t="s" s="9">
        <v>66</v>
      </c>
      <c r="D3573" t="s" s="9">
        <v>21</v>
      </c>
      <c r="E3573" t="s" s="9">
        <v>71</v>
      </c>
      <c r="F3573" s="10">
        <v>570</v>
      </c>
      <c r="G3573" s="10">
        <v>4635519</v>
      </c>
      <c r="H3573" s="11" cm="1">
        <f t="array" ref="H3573">F3573/G3573*100000</f>
        <v>12.2963577541156</v>
      </c>
    </row>
    <row r="3574" ht="13.65" customHeight="1">
      <c r="A3574" s="8">
        <v>1</v>
      </c>
      <c r="B3574" t="s" s="9">
        <v>35</v>
      </c>
      <c r="C3574" t="s" s="9">
        <v>66</v>
      </c>
      <c r="D3574" t="s" s="9">
        <v>58</v>
      </c>
      <c r="E3574" t="s" s="9">
        <v>71</v>
      </c>
      <c r="F3574" s="10">
        <v>3056</v>
      </c>
      <c r="G3574" s="12"/>
      <c r="H3574" s="13"/>
    </row>
    <row r="3575" ht="13.65" customHeight="1">
      <c r="A3575" s="8">
        <v>2</v>
      </c>
      <c r="B3575" t="s" s="9">
        <v>30</v>
      </c>
      <c r="C3575" t="s" s="9">
        <v>66</v>
      </c>
      <c r="D3575" t="s" s="9">
        <v>58</v>
      </c>
      <c r="E3575" t="s" s="9">
        <v>71</v>
      </c>
      <c r="F3575" s="10">
        <v>1958</v>
      </c>
      <c r="G3575" s="14"/>
      <c r="H3575" s="15"/>
    </row>
    <row r="3576" ht="13.65" customHeight="1">
      <c r="A3576" s="8">
        <v>3</v>
      </c>
      <c r="B3576" t="s" s="9">
        <v>30</v>
      </c>
      <c r="C3576" t="s" s="9">
        <v>66</v>
      </c>
      <c r="D3576" t="s" s="9">
        <v>58</v>
      </c>
      <c r="E3576" t="s" s="9">
        <v>71</v>
      </c>
      <c r="F3576" s="10">
        <v>1096</v>
      </c>
      <c r="G3576" s="14"/>
      <c r="H3576" s="15"/>
    </row>
    <row r="3577" ht="13.65" customHeight="1">
      <c r="A3577" s="8">
        <v>4</v>
      </c>
      <c r="B3577" t="s" s="9">
        <v>34</v>
      </c>
      <c r="C3577" t="s" s="9">
        <v>66</v>
      </c>
      <c r="D3577" t="s" s="9">
        <v>58</v>
      </c>
      <c r="E3577" t="s" s="9">
        <v>71</v>
      </c>
      <c r="F3577" s="10">
        <v>1167</v>
      </c>
      <c r="G3577" s="14"/>
      <c r="H3577" s="15"/>
    </row>
    <row r="3578" ht="13.65" customHeight="1">
      <c r="A3578" s="8">
        <v>5</v>
      </c>
      <c r="B3578" t="s" s="9">
        <v>35</v>
      </c>
      <c r="C3578" t="s" s="9">
        <v>66</v>
      </c>
      <c r="D3578" t="s" s="9">
        <v>58</v>
      </c>
      <c r="E3578" t="s" s="9">
        <v>71</v>
      </c>
      <c r="F3578" s="10">
        <v>478</v>
      </c>
      <c r="G3578" s="14"/>
      <c r="H3578" s="15"/>
    </row>
    <row r="3579" ht="13.65" customHeight="1">
      <c r="A3579" s="8">
        <v>6</v>
      </c>
      <c r="B3579" t="s" s="9">
        <v>39</v>
      </c>
      <c r="C3579" t="s" s="9">
        <v>66</v>
      </c>
      <c r="D3579" t="s" s="9">
        <v>58</v>
      </c>
      <c r="E3579" t="s" s="9">
        <v>71</v>
      </c>
      <c r="F3579" s="10">
        <v>728</v>
      </c>
      <c r="G3579" s="14"/>
      <c r="H3579" s="15"/>
    </row>
    <row r="3580" ht="13.65" customHeight="1">
      <c r="A3580" s="8">
        <v>7</v>
      </c>
      <c r="B3580" t="s" s="9">
        <v>30</v>
      </c>
      <c r="C3580" t="s" s="9">
        <v>66</v>
      </c>
      <c r="D3580" t="s" s="9">
        <v>58</v>
      </c>
      <c r="E3580" t="s" s="9">
        <v>71</v>
      </c>
      <c r="F3580" s="10">
        <v>404</v>
      </c>
      <c r="G3580" s="14"/>
      <c r="H3580" s="15"/>
    </row>
    <row r="3581" ht="13.65" customHeight="1">
      <c r="A3581" s="8">
        <v>8</v>
      </c>
      <c r="B3581" t="s" s="9">
        <v>36</v>
      </c>
      <c r="C3581" t="s" s="9">
        <v>66</v>
      </c>
      <c r="D3581" t="s" s="9">
        <v>58</v>
      </c>
      <c r="E3581" t="s" s="9">
        <v>71</v>
      </c>
      <c r="F3581" s="10">
        <v>505</v>
      </c>
      <c r="G3581" s="14"/>
      <c r="H3581" s="15"/>
    </row>
    <row r="3582" ht="13.65" customHeight="1">
      <c r="A3582" s="8">
        <v>9</v>
      </c>
      <c r="B3582" t="s" s="9">
        <v>30</v>
      </c>
      <c r="C3582" t="s" s="9">
        <v>66</v>
      </c>
      <c r="D3582" t="s" s="9">
        <v>58</v>
      </c>
      <c r="E3582" t="s" s="9">
        <v>71</v>
      </c>
      <c r="F3582" s="10">
        <v>482</v>
      </c>
      <c r="G3582" s="14"/>
      <c r="H3582" s="15"/>
    </row>
    <row r="3583" ht="13.65" customHeight="1">
      <c r="A3583" s="8">
        <v>10</v>
      </c>
      <c r="B3583" t="s" s="9">
        <v>45</v>
      </c>
      <c r="C3583" t="s" s="9">
        <v>66</v>
      </c>
      <c r="D3583" t="s" s="9">
        <v>58</v>
      </c>
      <c r="E3583" t="s" s="9">
        <v>71</v>
      </c>
      <c r="F3583" s="10">
        <v>384</v>
      </c>
      <c r="G3583" s="16"/>
      <c r="H3583" s="17"/>
    </row>
    <row r="3584" ht="13" customHeight="1">
      <c r="A3584" s="8">
        <v>1</v>
      </c>
      <c r="B3584" t="s" s="9">
        <v>30</v>
      </c>
      <c r="C3584" t="s" s="9">
        <v>67</v>
      </c>
      <c r="D3584" t="s" s="9">
        <v>32</v>
      </c>
      <c r="E3584" t="s" s="9">
        <v>71</v>
      </c>
      <c r="F3584" s="10">
        <v>22396</v>
      </c>
      <c r="G3584" s="10">
        <v>14521657</v>
      </c>
      <c r="H3584" s="11" cm="1">
        <f t="array" ref="H3584">F3584/G3584*100000</f>
        <v>154.224824343393</v>
      </c>
    </row>
    <row r="3585" ht="13" customHeight="1">
      <c r="A3585" s="8">
        <v>2</v>
      </c>
      <c r="B3585" t="s" s="9">
        <v>34</v>
      </c>
      <c r="C3585" t="s" s="9">
        <v>67</v>
      </c>
      <c r="D3585" t="s" s="9">
        <v>32</v>
      </c>
      <c r="E3585" t="s" s="9">
        <v>71</v>
      </c>
      <c r="F3585" s="10">
        <v>15762</v>
      </c>
      <c r="G3585" s="10">
        <v>14521657</v>
      </c>
      <c r="H3585" s="11" cm="1">
        <f t="array" ref="H3585">F3585/G3585*100000</f>
        <v>108.541332438853</v>
      </c>
    </row>
    <row r="3586" ht="13" customHeight="1">
      <c r="A3586" s="8">
        <v>3</v>
      </c>
      <c r="B3586" t="s" s="9">
        <v>37</v>
      </c>
      <c r="C3586" t="s" s="9">
        <v>67</v>
      </c>
      <c r="D3586" t="s" s="9">
        <v>32</v>
      </c>
      <c r="E3586" t="s" s="9">
        <v>71</v>
      </c>
      <c r="F3586" s="10">
        <v>7008</v>
      </c>
      <c r="G3586" s="10">
        <v>14521657</v>
      </c>
      <c r="H3586" s="11" cm="1">
        <f t="array" ref="H3586">F3586/G3586*100000</f>
        <v>48.2589555723565</v>
      </c>
    </row>
    <row r="3587" ht="13" customHeight="1">
      <c r="A3587" s="8">
        <v>4</v>
      </c>
      <c r="B3587" t="s" s="9">
        <v>35</v>
      </c>
      <c r="C3587" t="s" s="9">
        <v>67</v>
      </c>
      <c r="D3587" t="s" s="9">
        <v>32</v>
      </c>
      <c r="E3587" t="s" s="9">
        <v>71</v>
      </c>
      <c r="F3587" s="10">
        <v>5343</v>
      </c>
      <c r="G3587" s="10">
        <v>14521657</v>
      </c>
      <c r="H3587" s="11" cm="1">
        <f t="array" ref="H3587">F3587/G3587*100000</f>
        <v>36.7933218640269</v>
      </c>
    </row>
    <row r="3588" ht="13" customHeight="1">
      <c r="A3588" s="8">
        <v>5</v>
      </c>
      <c r="B3588" t="s" s="9">
        <v>37</v>
      </c>
      <c r="C3588" t="s" s="9">
        <v>67</v>
      </c>
      <c r="D3588" t="s" s="9">
        <v>32</v>
      </c>
      <c r="E3588" t="s" s="9">
        <v>71</v>
      </c>
      <c r="F3588" s="10">
        <v>3782</v>
      </c>
      <c r="G3588" s="10">
        <v>14521657</v>
      </c>
      <c r="H3588" s="11" cm="1">
        <f t="array" ref="H3588">F3588/G3588*100000</f>
        <v>26.0438598708123</v>
      </c>
    </row>
    <row r="3589" ht="13" customHeight="1">
      <c r="A3589" s="8">
        <v>6</v>
      </c>
      <c r="B3589" t="s" s="9">
        <v>39</v>
      </c>
      <c r="C3589" t="s" s="9">
        <v>67</v>
      </c>
      <c r="D3589" t="s" s="9">
        <v>32</v>
      </c>
      <c r="E3589" t="s" s="9">
        <v>71</v>
      </c>
      <c r="F3589" s="10">
        <v>4103</v>
      </c>
      <c r="G3589" s="10">
        <v>14521657</v>
      </c>
      <c r="H3589" s="11" cm="1">
        <f t="array" ref="H3589">F3589/G3589*100000</f>
        <v>28.2543514145803</v>
      </c>
    </row>
    <row r="3590" ht="13" customHeight="1">
      <c r="A3590" s="8">
        <v>7</v>
      </c>
      <c r="B3590" t="s" s="9">
        <v>30</v>
      </c>
      <c r="C3590" t="s" s="9">
        <v>67</v>
      </c>
      <c r="D3590" t="s" s="9">
        <v>32</v>
      </c>
      <c r="E3590" t="s" s="9">
        <v>71</v>
      </c>
      <c r="F3590" s="10">
        <v>2491</v>
      </c>
      <c r="G3590" s="10">
        <v>14521657</v>
      </c>
      <c r="H3590" s="11" cm="1">
        <f t="array" ref="H3590">F3590/G3590*100000</f>
        <v>17.1536898302997</v>
      </c>
    </row>
    <row r="3591" ht="13" customHeight="1">
      <c r="A3591" s="8">
        <v>8</v>
      </c>
      <c r="B3591" t="s" s="9">
        <v>30</v>
      </c>
      <c r="C3591" t="s" s="9">
        <v>67</v>
      </c>
      <c r="D3591" t="s" s="9">
        <v>32</v>
      </c>
      <c r="E3591" t="s" s="9">
        <v>71</v>
      </c>
      <c r="F3591" s="10">
        <v>2183</v>
      </c>
      <c r="G3591" s="10">
        <v>14521657</v>
      </c>
      <c r="H3591" s="11" cm="1">
        <f t="array" ref="H3591">F3591/G3591*100000</f>
        <v>15.032719750921</v>
      </c>
    </row>
    <row r="3592" ht="13" customHeight="1">
      <c r="A3592" s="8">
        <v>9</v>
      </c>
      <c r="B3592" t="s" s="9">
        <v>30</v>
      </c>
      <c r="C3592" t="s" s="9">
        <v>67</v>
      </c>
      <c r="D3592" t="s" s="9">
        <v>32</v>
      </c>
      <c r="E3592" t="s" s="9">
        <v>71</v>
      </c>
      <c r="F3592" s="10">
        <v>1724</v>
      </c>
      <c r="G3592" s="10">
        <v>14521657</v>
      </c>
      <c r="H3592" s="11" cm="1">
        <f t="array" ref="H3592">F3592/G3592*100000</f>
        <v>11.8719234313274</v>
      </c>
    </row>
    <row r="3593" ht="13" customHeight="1">
      <c r="A3593" s="8">
        <v>10</v>
      </c>
      <c r="B3593" t="s" s="9">
        <v>30</v>
      </c>
      <c r="C3593" t="s" s="9">
        <v>67</v>
      </c>
      <c r="D3593" t="s" s="9">
        <v>32</v>
      </c>
      <c r="E3593" t="s" s="9">
        <v>71</v>
      </c>
      <c r="F3593" s="10">
        <v>1977</v>
      </c>
      <c r="G3593" s="10">
        <v>14521657</v>
      </c>
      <c r="H3593" s="11" cm="1">
        <f t="array" ref="H3593">F3593/G3593*100000</f>
        <v>13.6141488536742</v>
      </c>
    </row>
    <row r="3594" ht="13" customHeight="1">
      <c r="A3594" s="8">
        <v>1</v>
      </c>
      <c r="B3594" t="s" s="9">
        <v>30</v>
      </c>
      <c r="C3594" t="s" s="9">
        <v>67</v>
      </c>
      <c r="D3594" t="s" s="9">
        <v>38</v>
      </c>
      <c r="E3594" t="s" s="9">
        <v>71</v>
      </c>
      <c r="F3594" s="10">
        <v>11046</v>
      </c>
      <c r="G3594" s="10">
        <v>1874281</v>
      </c>
      <c r="H3594" s="11" cm="1">
        <f t="array" ref="H3594">F3594/G3594*100000</f>
        <v>589.345994544041</v>
      </c>
    </row>
    <row r="3595" ht="13" customHeight="1">
      <c r="A3595" s="8">
        <v>2</v>
      </c>
      <c r="B3595" t="s" s="9">
        <v>34</v>
      </c>
      <c r="C3595" t="s" s="9">
        <v>67</v>
      </c>
      <c r="D3595" t="s" s="9">
        <v>38</v>
      </c>
      <c r="E3595" t="s" s="9">
        <v>71</v>
      </c>
      <c r="F3595" s="10">
        <v>3289</v>
      </c>
      <c r="G3595" s="10">
        <v>1874281</v>
      </c>
      <c r="H3595" s="11" cm="1">
        <f t="array" ref="H3595">F3595/G3595*100000</f>
        <v>175.4806243034</v>
      </c>
    </row>
    <row r="3596" ht="13" customHeight="1">
      <c r="A3596" s="8">
        <v>3</v>
      </c>
      <c r="B3596" t="s" s="9">
        <v>41</v>
      </c>
      <c r="C3596" t="s" s="9">
        <v>67</v>
      </c>
      <c r="D3596" t="s" s="9">
        <v>38</v>
      </c>
      <c r="E3596" t="s" s="9">
        <v>71</v>
      </c>
      <c r="F3596" s="10">
        <v>2857</v>
      </c>
      <c r="G3596" s="10">
        <v>1874281</v>
      </c>
      <c r="H3596" s="11" cm="1">
        <f t="array" ref="H3596">F3596/G3596*100000</f>
        <v>152.431785842144</v>
      </c>
    </row>
    <row r="3597" ht="13" customHeight="1">
      <c r="A3597" s="8">
        <v>4</v>
      </c>
      <c r="B3597" t="s" s="9">
        <v>30</v>
      </c>
      <c r="C3597" t="s" s="9">
        <v>67</v>
      </c>
      <c r="D3597" t="s" s="9">
        <v>38</v>
      </c>
      <c r="E3597" t="s" s="9">
        <v>71</v>
      </c>
      <c r="F3597" s="10">
        <v>1484</v>
      </c>
      <c r="G3597" s="10">
        <v>1874281</v>
      </c>
      <c r="H3597" s="11" cm="1">
        <f t="array" ref="H3597">F3597/G3597*100000</f>
        <v>79.1770284178306</v>
      </c>
    </row>
    <row r="3598" ht="13" customHeight="1">
      <c r="A3598" s="8">
        <v>5</v>
      </c>
      <c r="B3598" t="s" s="9">
        <v>35</v>
      </c>
      <c r="C3598" t="s" s="9">
        <v>67</v>
      </c>
      <c r="D3598" t="s" s="9">
        <v>38</v>
      </c>
      <c r="E3598" t="s" s="9">
        <v>71</v>
      </c>
      <c r="F3598" s="10">
        <v>1091</v>
      </c>
      <c r="G3598" s="10">
        <v>1874281</v>
      </c>
      <c r="H3598" s="11" cm="1">
        <f t="array" ref="H3598">F3598/G3598*100000</f>
        <v>58.2089878732164</v>
      </c>
    </row>
    <row r="3599" ht="13" customHeight="1">
      <c r="A3599" s="8">
        <v>6</v>
      </c>
      <c r="B3599" t="s" s="9">
        <v>39</v>
      </c>
      <c r="C3599" t="s" s="9">
        <v>67</v>
      </c>
      <c r="D3599" t="s" s="9">
        <v>38</v>
      </c>
      <c r="E3599" t="s" s="9">
        <v>71</v>
      </c>
      <c r="F3599" s="10">
        <v>1566</v>
      </c>
      <c r="G3599" s="10">
        <v>1874281</v>
      </c>
      <c r="H3599" s="11" cm="1">
        <f t="array" ref="H3599">F3599/G3599*100000</f>
        <v>83.5520394220504</v>
      </c>
    </row>
    <row r="3600" ht="13" customHeight="1">
      <c r="A3600" s="8">
        <v>7</v>
      </c>
      <c r="B3600" t="s" s="9">
        <v>30</v>
      </c>
      <c r="C3600" t="s" s="9">
        <v>67</v>
      </c>
      <c r="D3600" t="s" s="9">
        <v>38</v>
      </c>
      <c r="E3600" t="s" s="9">
        <v>71</v>
      </c>
      <c r="F3600" s="10">
        <v>1095</v>
      </c>
      <c r="G3600" s="10">
        <v>1874281</v>
      </c>
      <c r="H3600" s="11" cm="1">
        <f t="array" ref="H3600">F3600/G3600*100000</f>
        <v>58.422403044154</v>
      </c>
    </row>
    <row r="3601" ht="13" customHeight="1">
      <c r="A3601" s="8">
        <v>8</v>
      </c>
      <c r="B3601" t="s" s="9">
        <v>41</v>
      </c>
      <c r="C3601" t="s" s="9">
        <v>67</v>
      </c>
      <c r="D3601" t="s" s="9">
        <v>38</v>
      </c>
      <c r="E3601" t="s" s="9">
        <v>71</v>
      </c>
      <c r="F3601" s="10">
        <v>1103</v>
      </c>
      <c r="G3601" s="10">
        <v>1874281</v>
      </c>
      <c r="H3601" s="11" cm="1">
        <f t="array" ref="H3601">F3601/G3601*100000</f>
        <v>58.8492333860291</v>
      </c>
    </row>
    <row r="3602" ht="13" customHeight="1">
      <c r="A3602" s="8">
        <v>9</v>
      </c>
      <c r="B3602" t="s" s="9">
        <v>35</v>
      </c>
      <c r="C3602" t="s" s="9">
        <v>67</v>
      </c>
      <c r="D3602" t="s" s="9">
        <v>38</v>
      </c>
      <c r="E3602" t="s" s="9">
        <v>71</v>
      </c>
      <c r="F3602" s="10">
        <v>558</v>
      </c>
      <c r="G3602" s="10">
        <v>1874281</v>
      </c>
      <c r="H3602" s="11" cm="1">
        <f t="array" ref="H3602">F3602/G3602*100000</f>
        <v>29.7714163457881</v>
      </c>
    </row>
    <row r="3603" ht="13" customHeight="1">
      <c r="A3603" s="8">
        <v>10</v>
      </c>
      <c r="B3603" t="s" s="9">
        <v>37</v>
      </c>
      <c r="C3603" t="s" s="9">
        <v>67</v>
      </c>
      <c r="D3603" t="s" s="9">
        <v>38</v>
      </c>
      <c r="E3603" t="s" s="9">
        <v>71</v>
      </c>
      <c r="F3603" s="10">
        <v>916</v>
      </c>
      <c r="G3603" s="10">
        <v>1874281</v>
      </c>
      <c r="H3603" s="11" cm="1">
        <f t="array" ref="H3603">F3603/G3603*100000</f>
        <v>48.8720741446987</v>
      </c>
    </row>
    <row r="3604" ht="13" customHeight="1">
      <c r="A3604" s="8">
        <v>1</v>
      </c>
      <c r="B3604" t="s" s="9">
        <v>30</v>
      </c>
      <c r="C3604" t="s" s="9">
        <v>67</v>
      </c>
      <c r="D3604" t="s" s="9">
        <v>42</v>
      </c>
      <c r="E3604" t="s" s="9">
        <v>71</v>
      </c>
      <c r="F3604" s="10">
        <v>12489</v>
      </c>
      <c r="G3604" s="10">
        <v>5458063</v>
      </c>
      <c r="H3604" s="11" cm="1">
        <f t="array" ref="H3604">F3604/G3604*100000</f>
        <v>228.817439446925</v>
      </c>
    </row>
    <row r="3605" ht="13" customHeight="1">
      <c r="A3605" s="8">
        <v>2</v>
      </c>
      <c r="B3605" t="s" s="9">
        <v>30</v>
      </c>
      <c r="C3605" t="s" s="9">
        <v>67</v>
      </c>
      <c r="D3605" t="s" s="9">
        <v>42</v>
      </c>
      <c r="E3605" t="s" s="9">
        <v>71</v>
      </c>
      <c r="F3605" s="10">
        <v>6139</v>
      </c>
      <c r="G3605" s="10">
        <v>5458063</v>
      </c>
      <c r="H3605" s="11" cm="1">
        <f t="array" ref="H3605">F3605/G3605*100000</f>
        <v>112.475799564791</v>
      </c>
    </row>
    <row r="3606" ht="13" customHeight="1">
      <c r="A3606" s="8">
        <v>3</v>
      </c>
      <c r="B3606" t="s" s="9">
        <v>30</v>
      </c>
      <c r="C3606" t="s" s="9">
        <v>67</v>
      </c>
      <c r="D3606" t="s" s="9">
        <v>42</v>
      </c>
      <c r="E3606" t="s" s="9">
        <v>71</v>
      </c>
      <c r="F3606" s="10">
        <v>5085</v>
      </c>
      <c r="G3606" s="10">
        <v>5458063</v>
      </c>
      <c r="H3606" s="11" cm="1">
        <f t="array" ref="H3606">F3606/G3606*100000</f>
        <v>93.1649194961656</v>
      </c>
    </row>
    <row r="3607" ht="13" customHeight="1">
      <c r="A3607" s="8">
        <v>4</v>
      </c>
      <c r="B3607" t="s" s="9">
        <v>34</v>
      </c>
      <c r="C3607" t="s" s="9">
        <v>67</v>
      </c>
      <c r="D3607" t="s" s="9">
        <v>42</v>
      </c>
      <c r="E3607" t="s" s="9">
        <v>71</v>
      </c>
      <c r="F3607" s="10">
        <v>5134</v>
      </c>
      <c r="G3607" s="10">
        <v>5458063</v>
      </c>
      <c r="H3607" s="11" cm="1">
        <f t="array" ref="H3607">F3607/G3607*100000</f>
        <v>94.06267388265761</v>
      </c>
    </row>
    <row r="3608" ht="13" customHeight="1">
      <c r="A3608" s="8">
        <v>5</v>
      </c>
      <c r="B3608" t="s" s="9">
        <v>41</v>
      </c>
      <c r="C3608" t="s" s="9">
        <v>67</v>
      </c>
      <c r="D3608" t="s" s="9">
        <v>42</v>
      </c>
      <c r="E3608" t="s" s="9">
        <v>71</v>
      </c>
      <c r="F3608" s="10">
        <v>3742</v>
      </c>
      <c r="G3608" s="10">
        <v>5458063</v>
      </c>
      <c r="H3608" s="11" cm="1">
        <f t="array" ref="H3608">F3608/G3608*100000</f>
        <v>68.5591206990465</v>
      </c>
    </row>
    <row r="3609" ht="13" customHeight="1">
      <c r="A3609" s="8">
        <v>6</v>
      </c>
      <c r="B3609" t="s" s="9">
        <v>35</v>
      </c>
      <c r="C3609" t="s" s="9">
        <v>67</v>
      </c>
      <c r="D3609" t="s" s="9">
        <v>42</v>
      </c>
      <c r="E3609" t="s" s="9">
        <v>71</v>
      </c>
      <c r="F3609" s="10">
        <v>2748</v>
      </c>
      <c r="G3609" s="10">
        <v>5458063</v>
      </c>
      <c r="H3609" s="11" cm="1">
        <f t="array" ref="H3609">F3609/G3609*100000</f>
        <v>50.3475317159219</v>
      </c>
    </row>
    <row r="3610" ht="13" customHeight="1">
      <c r="A3610" s="8">
        <v>7</v>
      </c>
      <c r="B3610" t="s" s="9">
        <v>30</v>
      </c>
      <c r="C3610" t="s" s="9">
        <v>67</v>
      </c>
      <c r="D3610" t="s" s="9">
        <v>42</v>
      </c>
      <c r="E3610" t="s" s="9">
        <v>71</v>
      </c>
      <c r="F3610" s="10">
        <v>2614</v>
      </c>
      <c r="G3610" s="10">
        <v>5458063</v>
      </c>
      <c r="H3610" s="11" cm="1">
        <f t="array" ref="H3610">F3610/G3610*100000</f>
        <v>47.8924482916375</v>
      </c>
    </row>
    <row r="3611" ht="13" customHeight="1">
      <c r="A3611" s="8">
        <v>8</v>
      </c>
      <c r="B3611" t="s" s="9">
        <v>41</v>
      </c>
      <c r="C3611" t="s" s="9">
        <v>67</v>
      </c>
      <c r="D3611" t="s" s="9">
        <v>42</v>
      </c>
      <c r="E3611" t="s" s="9">
        <v>71</v>
      </c>
      <c r="F3611" s="10">
        <v>2713</v>
      </c>
      <c r="G3611" s="10">
        <v>5458063</v>
      </c>
      <c r="H3611" s="11" cm="1">
        <f t="array" ref="H3611">F3611/G3611*100000</f>
        <v>49.7062785827133</v>
      </c>
    </row>
    <row r="3612" ht="13" customHeight="1">
      <c r="A3612" s="8">
        <v>9</v>
      </c>
      <c r="B3612" t="s" s="9">
        <v>35</v>
      </c>
      <c r="C3612" t="s" s="9">
        <v>67</v>
      </c>
      <c r="D3612" t="s" s="9">
        <v>42</v>
      </c>
      <c r="E3612" t="s" s="9">
        <v>71</v>
      </c>
      <c r="F3612" s="10">
        <v>2103</v>
      </c>
      <c r="G3612" s="10">
        <v>5458063</v>
      </c>
      <c r="H3612" s="11" cm="1">
        <f t="array" ref="H3612">F3612/G3612*100000</f>
        <v>38.5301525467918</v>
      </c>
    </row>
    <row r="3613" ht="13" customHeight="1">
      <c r="A3613" s="8">
        <v>10</v>
      </c>
      <c r="B3613" t="s" s="9">
        <v>37</v>
      </c>
      <c r="C3613" t="s" s="9">
        <v>67</v>
      </c>
      <c r="D3613" t="s" s="9">
        <v>42</v>
      </c>
      <c r="E3613" t="s" s="9">
        <v>71</v>
      </c>
      <c r="F3613" s="10">
        <v>2354</v>
      </c>
      <c r="G3613" s="10">
        <v>5458063</v>
      </c>
      <c r="H3613" s="11" cm="1">
        <f t="array" ref="H3613">F3613/G3613*100000</f>
        <v>43.1288535878021</v>
      </c>
    </row>
    <row r="3614" ht="13" customHeight="1">
      <c r="A3614" s="8">
        <v>1</v>
      </c>
      <c r="B3614" t="s" s="9">
        <v>30</v>
      </c>
      <c r="C3614" t="s" s="9">
        <v>67</v>
      </c>
      <c r="D3614" t="s" s="9">
        <v>43</v>
      </c>
      <c r="E3614" t="s" s="9">
        <v>71</v>
      </c>
      <c r="F3614" s="10">
        <v>7338</v>
      </c>
      <c r="G3614" s="10">
        <v>3817144</v>
      </c>
      <c r="H3614" s="11" cm="1">
        <f t="array" ref="H3614">F3614/G3614*100000</f>
        <v>192.237966395818</v>
      </c>
    </row>
    <row r="3615" ht="13" customHeight="1">
      <c r="A3615" s="8">
        <v>2</v>
      </c>
      <c r="B3615" t="s" s="9">
        <v>34</v>
      </c>
      <c r="C3615" t="s" s="9">
        <v>67</v>
      </c>
      <c r="D3615" t="s" s="9">
        <v>43</v>
      </c>
      <c r="E3615" t="s" s="9">
        <v>71</v>
      </c>
      <c r="F3615" s="10">
        <v>3442</v>
      </c>
      <c r="G3615" s="10">
        <v>3817144</v>
      </c>
      <c r="H3615" s="11" cm="1">
        <f t="array" ref="H3615">F3615/G3615*100000</f>
        <v>90.17212869097941</v>
      </c>
    </row>
    <row r="3616" ht="13" customHeight="1">
      <c r="A3616" s="8">
        <v>3</v>
      </c>
      <c r="B3616" t="s" s="9">
        <v>30</v>
      </c>
      <c r="C3616" t="s" s="9">
        <v>67</v>
      </c>
      <c r="D3616" t="s" s="9">
        <v>43</v>
      </c>
      <c r="E3616" t="s" s="9">
        <v>71</v>
      </c>
      <c r="F3616" s="10">
        <v>1506</v>
      </c>
      <c r="G3616" s="10">
        <v>3817144</v>
      </c>
      <c r="H3616" s="11" cm="1">
        <f t="array" ref="H3616">F3616/G3616*100000</f>
        <v>39.4535810019219</v>
      </c>
    </row>
    <row r="3617" ht="13" customHeight="1">
      <c r="A3617" s="8">
        <v>4</v>
      </c>
      <c r="B3617" t="s" s="9">
        <v>45</v>
      </c>
      <c r="C3617" t="s" s="9">
        <v>67</v>
      </c>
      <c r="D3617" t="s" s="9">
        <v>43</v>
      </c>
      <c r="E3617" t="s" s="9">
        <v>71</v>
      </c>
      <c r="F3617" s="10">
        <v>1016</v>
      </c>
      <c r="G3617" s="10">
        <v>3817144</v>
      </c>
      <c r="H3617" s="11" cm="1">
        <f t="array" ref="H3617">F3617/G3617*100000</f>
        <v>26.6167584979765</v>
      </c>
    </row>
    <row r="3618" ht="13" customHeight="1">
      <c r="A3618" s="8">
        <v>5</v>
      </c>
      <c r="B3618" t="s" s="9">
        <v>30</v>
      </c>
      <c r="C3618" t="s" s="9">
        <v>67</v>
      </c>
      <c r="D3618" t="s" s="9">
        <v>43</v>
      </c>
      <c r="E3618" t="s" s="9">
        <v>71</v>
      </c>
      <c r="F3618" s="10">
        <v>1012</v>
      </c>
      <c r="G3618" s="10">
        <v>3817144</v>
      </c>
      <c r="H3618" s="11" cm="1">
        <f t="array" ref="H3618">F3618/G3618*100000</f>
        <v>26.5119681101892</v>
      </c>
    </row>
    <row r="3619" ht="13" customHeight="1">
      <c r="A3619" s="8">
        <v>6</v>
      </c>
      <c r="B3619" t="s" s="9">
        <v>36</v>
      </c>
      <c r="C3619" t="s" s="9">
        <v>67</v>
      </c>
      <c r="D3619" t="s" s="9">
        <v>43</v>
      </c>
      <c r="E3619" t="s" s="9">
        <v>71</v>
      </c>
      <c r="F3619" s="10">
        <v>882</v>
      </c>
      <c r="G3619" s="10">
        <v>3817144</v>
      </c>
      <c r="H3619" s="11" cm="1">
        <f t="array" ref="H3619">F3619/G3619*100000</f>
        <v>23.1062805071016</v>
      </c>
    </row>
    <row r="3620" ht="13" customHeight="1">
      <c r="A3620" s="8">
        <v>7</v>
      </c>
      <c r="B3620" t="s" s="9">
        <v>37</v>
      </c>
      <c r="C3620" t="s" s="9">
        <v>67</v>
      </c>
      <c r="D3620" t="s" s="9">
        <v>43</v>
      </c>
      <c r="E3620" t="s" s="9">
        <v>71</v>
      </c>
      <c r="F3620" s="10">
        <v>972</v>
      </c>
      <c r="G3620" s="10">
        <v>3817144</v>
      </c>
      <c r="H3620" s="11" cm="1">
        <f t="array" ref="H3620">F3620/G3620*100000</f>
        <v>25.4640642323161</v>
      </c>
    </row>
    <row r="3621" ht="13" customHeight="1">
      <c r="A3621" s="8">
        <v>8</v>
      </c>
      <c r="B3621" t="s" s="9">
        <v>39</v>
      </c>
      <c r="C3621" t="s" s="9">
        <v>67</v>
      </c>
      <c r="D3621" t="s" s="9">
        <v>43</v>
      </c>
      <c r="E3621" t="s" s="9">
        <v>71</v>
      </c>
      <c r="F3621" s="10">
        <v>839</v>
      </c>
      <c r="G3621" s="10">
        <v>3817144</v>
      </c>
      <c r="H3621" s="11" cm="1">
        <f t="array" ref="H3621">F3621/G3621*100000</f>
        <v>21.9797838383881</v>
      </c>
    </row>
    <row r="3622" ht="13" customHeight="1">
      <c r="A3622" s="8">
        <v>9</v>
      </c>
      <c r="B3622" t="s" s="9">
        <v>35</v>
      </c>
      <c r="C3622" t="s" s="9">
        <v>67</v>
      </c>
      <c r="D3622" t="s" s="9">
        <v>43</v>
      </c>
      <c r="E3622" t="s" s="9">
        <v>71</v>
      </c>
      <c r="F3622" s="10">
        <v>464</v>
      </c>
      <c r="G3622" s="10">
        <v>3817144</v>
      </c>
      <c r="H3622" s="11" cm="1">
        <f t="array" ref="H3622">F3622/G3622*100000</f>
        <v>12.1556849833278</v>
      </c>
    </row>
    <row r="3623" ht="13" customHeight="1">
      <c r="A3623" s="8">
        <v>10</v>
      </c>
      <c r="B3623" t="s" s="9">
        <v>45</v>
      </c>
      <c r="C3623" t="s" s="9">
        <v>67</v>
      </c>
      <c r="D3623" t="s" s="9">
        <v>43</v>
      </c>
      <c r="E3623" t="s" s="9">
        <v>71</v>
      </c>
      <c r="F3623" s="10">
        <v>621</v>
      </c>
      <c r="G3623" s="10">
        <v>3817144</v>
      </c>
      <c r="H3623" s="11" cm="1">
        <f t="array" ref="H3623">F3623/G3623*100000</f>
        <v>16.2687077039797</v>
      </c>
    </row>
    <row r="3624" ht="13" customHeight="1">
      <c r="A3624" s="8">
        <v>1</v>
      </c>
      <c r="B3624" t="s" s="9">
        <v>30</v>
      </c>
      <c r="C3624" t="s" s="9">
        <v>67</v>
      </c>
      <c r="D3624" t="s" s="9">
        <v>44</v>
      </c>
      <c r="E3624" t="s" s="9">
        <v>71</v>
      </c>
      <c r="F3624" s="10">
        <v>25612</v>
      </c>
      <c r="G3624" s="10">
        <v>13239670</v>
      </c>
      <c r="H3624" s="11" cm="1">
        <f t="array" ref="H3624">F3624/G3624*100000</f>
        <v>193.448930373642</v>
      </c>
    </row>
    <row r="3625" ht="13" customHeight="1">
      <c r="A3625" s="8">
        <v>2</v>
      </c>
      <c r="B3625" t="s" s="9">
        <v>34</v>
      </c>
      <c r="C3625" t="s" s="9">
        <v>67</v>
      </c>
      <c r="D3625" t="s" s="9">
        <v>44</v>
      </c>
      <c r="E3625" t="s" s="9">
        <v>71</v>
      </c>
      <c r="F3625" s="10">
        <v>13287</v>
      </c>
      <c r="G3625" s="10">
        <v>13239670</v>
      </c>
      <c r="H3625" s="11" cm="1">
        <f t="array" ref="H3625">F3625/G3625*100000</f>
        <v>100.357486251546</v>
      </c>
    </row>
    <row r="3626" ht="13" customHeight="1">
      <c r="A3626" s="8">
        <v>3</v>
      </c>
      <c r="B3626" t="s" s="9">
        <v>35</v>
      </c>
      <c r="C3626" t="s" s="9">
        <v>67</v>
      </c>
      <c r="D3626" t="s" s="9">
        <v>44</v>
      </c>
      <c r="E3626" t="s" s="9">
        <v>71</v>
      </c>
      <c r="F3626" s="10">
        <v>6791</v>
      </c>
      <c r="G3626" s="10">
        <v>13239670</v>
      </c>
      <c r="H3626" s="11" cm="1">
        <f t="array" ref="H3626">F3626/G3626*100000</f>
        <v>51.2928192318993</v>
      </c>
    </row>
    <row r="3627" ht="13" customHeight="1">
      <c r="A3627" s="8">
        <v>4</v>
      </c>
      <c r="B3627" t="s" s="9">
        <v>37</v>
      </c>
      <c r="C3627" t="s" s="9">
        <v>67</v>
      </c>
      <c r="D3627" t="s" s="9">
        <v>44</v>
      </c>
      <c r="E3627" t="s" s="9">
        <v>71</v>
      </c>
      <c r="F3627" s="10">
        <v>4700</v>
      </c>
      <c r="G3627" s="10">
        <v>13239670</v>
      </c>
      <c r="H3627" s="11" cm="1">
        <f t="array" ref="H3627">F3627/G3627*100000</f>
        <v>35.499374229116</v>
      </c>
    </row>
    <row r="3628" ht="13" customHeight="1">
      <c r="A3628" s="8">
        <v>5</v>
      </c>
      <c r="B3628" t="s" s="9">
        <v>39</v>
      </c>
      <c r="C3628" t="s" s="9">
        <v>67</v>
      </c>
      <c r="D3628" t="s" s="9">
        <v>44</v>
      </c>
      <c r="E3628" t="s" s="9">
        <v>71</v>
      </c>
      <c r="F3628" s="10">
        <v>4347</v>
      </c>
      <c r="G3628" s="10">
        <v>13239670</v>
      </c>
      <c r="H3628" s="11" cm="1">
        <f t="array" ref="H3628">F3628/G3628*100000</f>
        <v>32.833144632759</v>
      </c>
    </row>
    <row r="3629" ht="13" customHeight="1">
      <c r="A3629" s="8">
        <v>6</v>
      </c>
      <c r="B3629" t="s" s="9">
        <v>30</v>
      </c>
      <c r="C3629" t="s" s="9">
        <v>67</v>
      </c>
      <c r="D3629" t="s" s="9">
        <v>44</v>
      </c>
      <c r="E3629" t="s" s="9">
        <v>71</v>
      </c>
      <c r="F3629" s="10">
        <v>2530</v>
      </c>
      <c r="G3629" s="10">
        <v>13239670</v>
      </c>
      <c r="H3629" s="11" cm="1">
        <f t="array" ref="H3629">F3629/G3629*100000</f>
        <v>19.1092376169497</v>
      </c>
    </row>
    <row r="3630" ht="13" customHeight="1">
      <c r="A3630" s="8">
        <v>7</v>
      </c>
      <c r="B3630" t="s" s="9">
        <v>41</v>
      </c>
      <c r="C3630" t="s" s="9">
        <v>67</v>
      </c>
      <c r="D3630" t="s" s="9">
        <v>44</v>
      </c>
      <c r="E3630" t="s" s="9">
        <v>71</v>
      </c>
      <c r="F3630" s="10">
        <v>2263</v>
      </c>
      <c r="G3630" s="10">
        <v>13239670</v>
      </c>
      <c r="H3630" s="11" cm="1">
        <f t="array" ref="H3630">F3630/G3630*100000</f>
        <v>17.092571038402</v>
      </c>
    </row>
    <row r="3631" ht="13" customHeight="1">
      <c r="A3631" s="8">
        <v>8</v>
      </c>
      <c r="B3631" t="s" s="9">
        <v>30</v>
      </c>
      <c r="C3631" t="s" s="9">
        <v>67</v>
      </c>
      <c r="D3631" t="s" s="9">
        <v>44</v>
      </c>
      <c r="E3631" t="s" s="9">
        <v>71</v>
      </c>
      <c r="F3631" s="10">
        <v>2112</v>
      </c>
      <c r="G3631" s="10">
        <v>13239670</v>
      </c>
      <c r="H3631" s="11" cm="1">
        <f t="array" ref="H3631">F3631/G3631*100000</f>
        <v>15.9520592280623</v>
      </c>
    </row>
    <row r="3632" ht="13" customHeight="1">
      <c r="A3632" s="8">
        <v>9</v>
      </c>
      <c r="B3632" t="s" s="9">
        <v>36</v>
      </c>
      <c r="C3632" t="s" s="9">
        <v>67</v>
      </c>
      <c r="D3632" t="s" s="9">
        <v>44</v>
      </c>
      <c r="E3632" t="s" s="9">
        <v>71</v>
      </c>
      <c r="F3632" s="10">
        <v>1884</v>
      </c>
      <c r="G3632" s="10">
        <v>13239670</v>
      </c>
      <c r="H3632" s="11" cm="1">
        <f t="array" ref="H3632">F3632/G3632*100000</f>
        <v>14.2299619250329</v>
      </c>
    </row>
    <row r="3633" ht="13" customHeight="1">
      <c r="A3633" s="8">
        <v>10</v>
      </c>
      <c r="B3633" t="s" s="9">
        <v>30</v>
      </c>
      <c r="C3633" t="s" s="9">
        <v>67</v>
      </c>
      <c r="D3633" t="s" s="9">
        <v>44</v>
      </c>
      <c r="E3633" t="s" s="9">
        <v>71</v>
      </c>
      <c r="F3633" s="10">
        <v>1865</v>
      </c>
      <c r="G3633" s="10">
        <v>13239670</v>
      </c>
      <c r="H3633" s="11" cm="1">
        <f t="array" ref="H3633">F3633/G3633*100000</f>
        <v>14.0864538164471</v>
      </c>
    </row>
    <row r="3634" ht="13" customHeight="1">
      <c r="A3634" s="8">
        <v>1</v>
      </c>
      <c r="B3634" t="s" s="9">
        <v>30</v>
      </c>
      <c r="C3634" t="s" s="9">
        <v>67</v>
      </c>
      <c r="D3634" t="s" s="9">
        <v>46</v>
      </c>
      <c r="E3634" t="s" s="9">
        <v>71</v>
      </c>
      <c r="F3634" s="10">
        <v>21384</v>
      </c>
      <c r="G3634" s="10">
        <v>17477569</v>
      </c>
      <c r="H3634" s="11" cm="1">
        <f t="array" ref="H3634">F3634/G3634*100000</f>
        <v>122.351111873739</v>
      </c>
    </row>
    <row r="3635" ht="13" customHeight="1">
      <c r="A3635" s="8">
        <v>2</v>
      </c>
      <c r="B3635" t="s" s="9">
        <v>30</v>
      </c>
      <c r="C3635" t="s" s="9">
        <v>67</v>
      </c>
      <c r="D3635" t="s" s="9">
        <v>46</v>
      </c>
      <c r="E3635" t="s" s="9">
        <v>71</v>
      </c>
      <c r="F3635" s="10">
        <v>7792</v>
      </c>
      <c r="G3635" s="10">
        <v>17477569</v>
      </c>
      <c r="H3635" s="11" cm="1">
        <f t="array" ref="H3635">F3635/G3635*100000</f>
        <v>44.582859320996</v>
      </c>
    </row>
    <row r="3636" ht="13" customHeight="1">
      <c r="A3636" s="8">
        <v>3</v>
      </c>
      <c r="B3636" t="s" s="9">
        <v>34</v>
      </c>
      <c r="C3636" t="s" s="9">
        <v>67</v>
      </c>
      <c r="D3636" t="s" s="9">
        <v>46</v>
      </c>
      <c r="E3636" t="s" s="9">
        <v>71</v>
      </c>
      <c r="F3636" s="10">
        <v>6607</v>
      </c>
      <c r="G3636" s="10">
        <v>17477569</v>
      </c>
      <c r="H3636" s="11" cm="1">
        <f t="array" ref="H3636">F3636/G3636*100000</f>
        <v>37.8027401865786</v>
      </c>
    </row>
    <row r="3637" ht="13" customHeight="1">
      <c r="A3637" s="8">
        <v>4</v>
      </c>
      <c r="B3637" t="s" s="9">
        <v>30</v>
      </c>
      <c r="C3637" t="s" s="9">
        <v>67</v>
      </c>
      <c r="D3637" t="s" s="9">
        <v>46</v>
      </c>
      <c r="E3637" t="s" s="9">
        <v>71</v>
      </c>
      <c r="F3637" s="10">
        <v>5703</v>
      </c>
      <c r="G3637" s="10">
        <v>17477569</v>
      </c>
      <c r="H3637" s="11" cm="1">
        <f t="array" ref="H3637">F3637/G3637*100000</f>
        <v>32.6303961380441</v>
      </c>
    </row>
    <row r="3638" ht="13" customHeight="1">
      <c r="A3638" s="8">
        <v>5</v>
      </c>
      <c r="B3638" t="s" s="9">
        <v>35</v>
      </c>
      <c r="C3638" t="s" s="9">
        <v>67</v>
      </c>
      <c r="D3638" t="s" s="9">
        <v>46</v>
      </c>
      <c r="E3638" t="s" s="9">
        <v>71</v>
      </c>
      <c r="F3638" s="10">
        <v>5314</v>
      </c>
      <c r="G3638" s="10">
        <v>17477569</v>
      </c>
      <c r="H3638" s="11" cm="1">
        <f t="array" ref="H3638">F3638/G3638*100000</f>
        <v>30.404686143708</v>
      </c>
    </row>
    <row r="3639" ht="13" customHeight="1">
      <c r="A3639" s="8">
        <v>6</v>
      </c>
      <c r="B3639" t="s" s="9">
        <v>39</v>
      </c>
      <c r="C3639" t="s" s="9">
        <v>67</v>
      </c>
      <c r="D3639" t="s" s="9">
        <v>46</v>
      </c>
      <c r="E3639" t="s" s="9">
        <v>71</v>
      </c>
      <c r="F3639" s="10">
        <v>5145</v>
      </c>
      <c r="G3639" s="10">
        <v>17477569</v>
      </c>
      <c r="H3639" s="11" cm="1">
        <f t="array" ref="H3639">F3639/G3639*100000</f>
        <v>29.4377324443691</v>
      </c>
    </row>
    <row r="3640" ht="13" customHeight="1">
      <c r="A3640" s="8">
        <v>7</v>
      </c>
      <c r="B3640" t="s" s="9">
        <v>41</v>
      </c>
      <c r="C3640" t="s" s="9">
        <v>67</v>
      </c>
      <c r="D3640" t="s" s="9">
        <v>46</v>
      </c>
      <c r="E3640" t="s" s="9">
        <v>71</v>
      </c>
      <c r="F3640" s="10">
        <v>4007</v>
      </c>
      <c r="G3640" s="10">
        <v>17477569</v>
      </c>
      <c r="H3640" s="11" cm="1">
        <f t="array" ref="H3640">F3640/G3640*100000</f>
        <v>22.9265294275194</v>
      </c>
    </row>
    <row r="3641" ht="13" customHeight="1">
      <c r="A3641" s="8">
        <v>8</v>
      </c>
      <c r="B3641" t="s" s="9">
        <v>37</v>
      </c>
      <c r="C3641" t="s" s="9">
        <v>67</v>
      </c>
      <c r="D3641" t="s" s="9">
        <v>46</v>
      </c>
      <c r="E3641" t="s" s="9">
        <v>71</v>
      </c>
      <c r="F3641" s="10">
        <v>2252</v>
      </c>
      <c r="G3641" s="10">
        <v>17477569</v>
      </c>
      <c r="H3641" s="11" cm="1">
        <f t="array" ref="H3641">F3641/G3641*100000</f>
        <v>12.8850871651544</v>
      </c>
    </row>
    <row r="3642" ht="13" customHeight="1">
      <c r="A3642" s="8">
        <v>9</v>
      </c>
      <c r="B3642" t="s" s="9">
        <v>45</v>
      </c>
      <c r="C3642" t="s" s="9">
        <v>67</v>
      </c>
      <c r="D3642" t="s" s="9">
        <v>46</v>
      </c>
      <c r="E3642" t="s" s="9">
        <v>71</v>
      </c>
      <c r="F3642" s="10">
        <v>1900</v>
      </c>
      <c r="G3642" s="10">
        <v>17477569</v>
      </c>
      <c r="H3642" s="11" cm="1">
        <f t="array" ref="H3642">F3642/G3642*100000</f>
        <v>10.8710770931587</v>
      </c>
    </row>
    <row r="3643" ht="13" customHeight="1">
      <c r="A3643" s="8">
        <v>10</v>
      </c>
      <c r="B3643" t="s" s="9">
        <v>30</v>
      </c>
      <c r="C3643" t="s" s="9">
        <v>67</v>
      </c>
      <c r="D3643" t="s" s="9">
        <v>46</v>
      </c>
      <c r="E3643" t="s" s="9">
        <v>71</v>
      </c>
      <c r="F3643" s="10">
        <v>1472</v>
      </c>
      <c r="G3643" s="10">
        <v>17477569</v>
      </c>
      <c r="H3643" s="11" cm="1">
        <f t="array" ref="H3643">F3643/G3643*100000</f>
        <v>8.422223937436611</v>
      </c>
    </row>
    <row r="3644" ht="13" customHeight="1">
      <c r="A3644" s="8">
        <v>1</v>
      </c>
      <c r="B3644" t="s" s="9">
        <v>30</v>
      </c>
      <c r="C3644" t="s" s="9">
        <v>67</v>
      </c>
      <c r="D3644" t="s" s="9">
        <v>47</v>
      </c>
      <c r="E3644" t="s" s="9">
        <v>71</v>
      </c>
      <c r="F3644" s="10">
        <v>2697</v>
      </c>
      <c r="G3644" s="10">
        <v>3342831</v>
      </c>
      <c r="H3644" s="11" cm="1">
        <f t="array" ref="H3644">F3644/G3644*100000</f>
        <v>80.6801181393854</v>
      </c>
    </row>
    <row r="3645" ht="13" customHeight="1">
      <c r="A3645" s="8">
        <v>2</v>
      </c>
      <c r="B3645" t="s" s="9">
        <v>35</v>
      </c>
      <c r="C3645" t="s" s="9">
        <v>67</v>
      </c>
      <c r="D3645" t="s" s="9">
        <v>47</v>
      </c>
      <c r="E3645" t="s" s="9">
        <v>71</v>
      </c>
      <c r="F3645" s="10">
        <v>2141</v>
      </c>
      <c r="G3645" s="10">
        <v>3342831</v>
      </c>
      <c r="H3645" s="11" cm="1">
        <f t="array" ref="H3645">F3645/G3645*100000</f>
        <v>64.04750943137719</v>
      </c>
    </row>
    <row r="3646" ht="13" customHeight="1">
      <c r="A3646" s="8">
        <v>3</v>
      </c>
      <c r="B3646" t="s" s="9">
        <v>34</v>
      </c>
      <c r="C3646" t="s" s="9">
        <v>67</v>
      </c>
      <c r="D3646" t="s" s="9">
        <v>47</v>
      </c>
      <c r="E3646" t="s" s="9">
        <v>71</v>
      </c>
      <c r="F3646" s="10">
        <v>700</v>
      </c>
      <c r="G3646" s="10">
        <v>3342831</v>
      </c>
      <c r="H3646" s="11" cm="1">
        <f t="array" ref="H3646">F3646/G3646*100000</f>
        <v>20.940334704327</v>
      </c>
    </row>
    <row r="3647" ht="13" customHeight="1">
      <c r="A3647" s="8">
        <v>4</v>
      </c>
      <c r="B3647" t="s" s="9">
        <v>30</v>
      </c>
      <c r="C3647" t="s" s="9">
        <v>67</v>
      </c>
      <c r="D3647" t="s" s="9">
        <v>47</v>
      </c>
      <c r="E3647" t="s" s="9">
        <v>71</v>
      </c>
      <c r="F3647" s="10">
        <v>528</v>
      </c>
      <c r="G3647" s="10">
        <v>3342831</v>
      </c>
      <c r="H3647" s="11" cm="1">
        <f t="array" ref="H3647">F3647/G3647*100000</f>
        <v>15.7949953198352</v>
      </c>
    </row>
    <row r="3648" ht="13" customHeight="1">
      <c r="A3648" s="8">
        <v>5</v>
      </c>
      <c r="B3648" t="s" s="9">
        <v>39</v>
      </c>
      <c r="C3648" t="s" s="9">
        <v>67</v>
      </c>
      <c r="D3648" t="s" s="9">
        <v>47</v>
      </c>
      <c r="E3648" t="s" s="9">
        <v>71</v>
      </c>
      <c r="F3648" s="10">
        <v>695</v>
      </c>
      <c r="G3648" s="10">
        <v>3342831</v>
      </c>
      <c r="H3648" s="11" cm="1">
        <f t="array" ref="H3648">F3648/G3648*100000</f>
        <v>20.7907608850103</v>
      </c>
    </row>
    <row r="3649" ht="13" customHeight="1">
      <c r="A3649" s="8">
        <v>6</v>
      </c>
      <c r="B3649" t="s" s="9">
        <v>30</v>
      </c>
      <c r="C3649" t="s" s="9">
        <v>67</v>
      </c>
      <c r="D3649" t="s" s="9">
        <v>47</v>
      </c>
      <c r="E3649" t="s" s="9">
        <v>71</v>
      </c>
      <c r="F3649" s="10">
        <v>513</v>
      </c>
      <c r="G3649" s="10">
        <v>3342831</v>
      </c>
      <c r="H3649" s="11" cm="1">
        <f t="array" ref="H3649">F3649/G3649*100000</f>
        <v>15.3462738618853</v>
      </c>
    </row>
    <row r="3650" ht="13" customHeight="1">
      <c r="A3650" s="8">
        <v>7</v>
      </c>
      <c r="B3650" t="s" s="9">
        <v>35</v>
      </c>
      <c r="C3650" t="s" s="9">
        <v>67</v>
      </c>
      <c r="D3650" t="s" s="9">
        <v>47</v>
      </c>
      <c r="E3650" t="s" s="9">
        <v>71</v>
      </c>
      <c r="F3650" s="10">
        <v>352</v>
      </c>
      <c r="G3650" s="10">
        <v>3342831</v>
      </c>
      <c r="H3650" s="11" cm="1">
        <f t="array" ref="H3650">F3650/G3650*100000</f>
        <v>10.5299968798901</v>
      </c>
    </row>
    <row r="3651" ht="13" customHeight="1">
      <c r="A3651" s="8">
        <v>8</v>
      </c>
      <c r="B3651" t="s" s="9">
        <v>45</v>
      </c>
      <c r="C3651" t="s" s="9">
        <v>67</v>
      </c>
      <c r="D3651" t="s" s="9">
        <v>47</v>
      </c>
      <c r="E3651" t="s" s="9">
        <v>71</v>
      </c>
      <c r="F3651" s="10">
        <v>304</v>
      </c>
      <c r="G3651" s="10">
        <v>3342831</v>
      </c>
      <c r="H3651" s="11" cm="1">
        <f t="array" ref="H3651">F3651/G3651*100000</f>
        <v>9.09408821445057</v>
      </c>
    </row>
    <row r="3652" ht="13" customHeight="1">
      <c r="A3652" s="8">
        <v>9</v>
      </c>
      <c r="B3652" t="s" s="9">
        <v>41</v>
      </c>
      <c r="C3652" t="s" s="9">
        <v>67</v>
      </c>
      <c r="D3652" t="s" s="9">
        <v>47</v>
      </c>
      <c r="E3652" t="s" s="9">
        <v>71</v>
      </c>
      <c r="F3652" s="10">
        <v>333</v>
      </c>
      <c r="G3652" s="10">
        <v>3342831</v>
      </c>
      <c r="H3652" s="11" cm="1">
        <f t="array" ref="H3652">F3652/G3652*100000</f>
        <v>9.96161636648697</v>
      </c>
    </row>
    <row r="3653" ht="13" customHeight="1">
      <c r="A3653" s="8">
        <v>10</v>
      </c>
      <c r="B3653" t="s" s="9">
        <v>37</v>
      </c>
      <c r="C3653" t="s" s="9">
        <v>67</v>
      </c>
      <c r="D3653" t="s" s="9">
        <v>47</v>
      </c>
      <c r="E3653" t="s" s="9">
        <v>71</v>
      </c>
      <c r="F3653" s="10">
        <v>243</v>
      </c>
      <c r="G3653" s="10">
        <v>3342831</v>
      </c>
      <c r="H3653" s="11" cm="1">
        <f t="array" ref="H3653">F3653/G3653*100000</f>
        <v>7.26928761878779</v>
      </c>
    </row>
    <row r="3654" ht="13" customHeight="1">
      <c r="A3654" s="8">
        <v>1</v>
      </c>
      <c r="B3654" t="s" s="9">
        <v>30</v>
      </c>
      <c r="C3654" t="s" s="9">
        <v>67</v>
      </c>
      <c r="D3654" t="s" s="9">
        <v>49</v>
      </c>
      <c r="E3654" t="s" s="9">
        <v>71</v>
      </c>
      <c r="F3654" s="10">
        <v>6276</v>
      </c>
      <c r="G3654" s="10">
        <v>6397690</v>
      </c>
      <c r="H3654" s="11" cm="1">
        <f t="array" ref="H3654">F3654/G3654*100000</f>
        <v>98.0979072133848</v>
      </c>
    </row>
    <row r="3655" ht="13" customHeight="1">
      <c r="A3655" s="8">
        <v>2</v>
      </c>
      <c r="B3655" t="s" s="9">
        <v>34</v>
      </c>
      <c r="C3655" t="s" s="9">
        <v>67</v>
      </c>
      <c r="D3655" t="s" s="9">
        <v>49</v>
      </c>
      <c r="E3655" t="s" s="9">
        <v>71</v>
      </c>
      <c r="F3655" s="10">
        <v>5062</v>
      </c>
      <c r="G3655" s="10">
        <v>6397690</v>
      </c>
      <c r="H3655" s="11" cm="1">
        <f t="array" ref="H3655">F3655/G3655*100000</f>
        <v>79.12230820811889</v>
      </c>
    </row>
    <row r="3656" ht="13" customHeight="1">
      <c r="A3656" s="8">
        <v>3</v>
      </c>
      <c r="B3656" t="s" s="9">
        <v>35</v>
      </c>
      <c r="C3656" t="s" s="9">
        <v>67</v>
      </c>
      <c r="D3656" t="s" s="9">
        <v>49</v>
      </c>
      <c r="E3656" t="s" s="9">
        <v>71</v>
      </c>
      <c r="F3656" s="10">
        <v>2260</v>
      </c>
      <c r="G3656" s="10">
        <v>6397690</v>
      </c>
      <c r="H3656" s="11" cm="1">
        <f t="array" ref="H3656">F3656/G3656*100000</f>
        <v>35.3252502074968</v>
      </c>
    </row>
    <row r="3657" ht="13" customHeight="1">
      <c r="A3657" s="8">
        <v>4</v>
      </c>
      <c r="B3657" t="s" s="9">
        <v>37</v>
      </c>
      <c r="C3657" t="s" s="9">
        <v>67</v>
      </c>
      <c r="D3657" t="s" s="9">
        <v>49</v>
      </c>
      <c r="E3657" t="s" s="9">
        <v>71</v>
      </c>
      <c r="F3657" s="10">
        <v>1621</v>
      </c>
      <c r="G3657" s="10">
        <v>6397690</v>
      </c>
      <c r="H3657" s="11" cm="1">
        <f t="array" ref="H3657">F3657/G3657*100000</f>
        <v>25.3372701709523</v>
      </c>
    </row>
    <row r="3658" ht="13" customHeight="1">
      <c r="A3658" s="8">
        <v>5</v>
      </c>
      <c r="B3658" t="s" s="9">
        <v>30</v>
      </c>
      <c r="C3658" t="s" s="9">
        <v>67</v>
      </c>
      <c r="D3658" t="s" s="9">
        <v>49</v>
      </c>
      <c r="E3658" t="s" s="9">
        <v>71</v>
      </c>
      <c r="F3658" s="10">
        <v>1338</v>
      </c>
      <c r="G3658" s="10">
        <v>6397690</v>
      </c>
      <c r="H3658" s="11" cm="1">
        <f t="array" ref="H3658">F3658/G3658*100000</f>
        <v>20.9137985741729</v>
      </c>
    </row>
    <row r="3659" ht="13" customHeight="1">
      <c r="A3659" s="8">
        <v>6</v>
      </c>
      <c r="B3659" t="s" s="9">
        <v>39</v>
      </c>
      <c r="C3659" t="s" s="9">
        <v>67</v>
      </c>
      <c r="D3659" t="s" s="9">
        <v>49</v>
      </c>
      <c r="E3659" t="s" s="9">
        <v>71</v>
      </c>
      <c r="F3659" s="10">
        <v>1782</v>
      </c>
      <c r="G3659" s="10">
        <v>6397690</v>
      </c>
      <c r="H3659" s="11" cm="1">
        <f t="array" ref="H3659">F3659/G3659*100000</f>
        <v>27.8538034821944</v>
      </c>
    </row>
    <row r="3660" ht="13" customHeight="1">
      <c r="A3660" s="8">
        <v>7</v>
      </c>
      <c r="B3660" t="s" s="9">
        <v>30</v>
      </c>
      <c r="C3660" t="s" s="9">
        <v>67</v>
      </c>
      <c r="D3660" t="s" s="9">
        <v>49</v>
      </c>
      <c r="E3660" t="s" s="9">
        <v>71</v>
      </c>
      <c r="F3660" s="10">
        <v>960</v>
      </c>
      <c r="G3660" s="10">
        <v>6397690</v>
      </c>
      <c r="H3660" s="11" cm="1">
        <f t="array" ref="H3660">F3660/G3660*100000</f>
        <v>15.0054160173438</v>
      </c>
    </row>
    <row r="3661" ht="13" customHeight="1">
      <c r="A3661" s="8">
        <v>8</v>
      </c>
      <c r="B3661" t="s" s="9">
        <v>36</v>
      </c>
      <c r="C3661" t="s" s="9">
        <v>67</v>
      </c>
      <c r="D3661" t="s" s="9">
        <v>49</v>
      </c>
      <c r="E3661" t="s" s="9">
        <v>71</v>
      </c>
      <c r="F3661" s="10">
        <v>838</v>
      </c>
      <c r="G3661" s="10">
        <v>6397690</v>
      </c>
      <c r="H3661" s="11" cm="1">
        <f t="array" ref="H3661">F3661/G3661*100000</f>
        <v>13.0984777318063</v>
      </c>
    </row>
    <row r="3662" ht="13" customHeight="1">
      <c r="A3662" s="8">
        <v>9</v>
      </c>
      <c r="B3662" t="s" s="9">
        <v>36</v>
      </c>
      <c r="C3662" t="s" s="9">
        <v>67</v>
      </c>
      <c r="D3662" t="s" s="9">
        <v>49</v>
      </c>
      <c r="E3662" t="s" s="9">
        <v>71</v>
      </c>
      <c r="F3662" s="10">
        <v>896</v>
      </c>
      <c r="G3662" s="10">
        <v>6397690</v>
      </c>
      <c r="H3662" s="11" cm="1">
        <f t="array" ref="H3662">F3662/G3662*100000</f>
        <v>14.0050549495208</v>
      </c>
    </row>
    <row r="3663" ht="13" customHeight="1">
      <c r="A3663" s="8">
        <v>10</v>
      </c>
      <c r="B3663" t="s" s="9">
        <v>41</v>
      </c>
      <c r="C3663" t="s" s="9">
        <v>67</v>
      </c>
      <c r="D3663" t="s" s="9">
        <v>49</v>
      </c>
      <c r="E3663" t="s" s="9">
        <v>71</v>
      </c>
      <c r="F3663" s="10">
        <v>876</v>
      </c>
      <c r="G3663" s="10">
        <v>6397690</v>
      </c>
      <c r="H3663" s="11" cm="1">
        <f t="array" ref="H3663">F3663/G3663*100000</f>
        <v>13.6924421158262</v>
      </c>
    </row>
    <row r="3664" ht="13.65" customHeight="1">
      <c r="A3664" s="8">
        <v>1</v>
      </c>
      <c r="B3664" t="s" s="9">
        <v>30</v>
      </c>
      <c r="C3664" t="s" s="9">
        <v>67</v>
      </c>
      <c r="D3664" t="s" s="9">
        <v>51</v>
      </c>
      <c r="E3664" t="s" s="9">
        <v>71</v>
      </c>
      <c r="F3664" s="10">
        <v>4774</v>
      </c>
      <c r="G3664" s="12"/>
      <c r="H3664" s="13"/>
    </row>
    <row r="3665" ht="13.65" customHeight="1">
      <c r="A3665" s="8">
        <v>2</v>
      </c>
      <c r="B3665" t="s" s="9">
        <v>34</v>
      </c>
      <c r="C3665" t="s" s="9">
        <v>67</v>
      </c>
      <c r="D3665" t="s" s="9">
        <v>51</v>
      </c>
      <c r="E3665" t="s" s="9">
        <v>71</v>
      </c>
      <c r="F3665" s="10">
        <v>3276</v>
      </c>
      <c r="G3665" s="14"/>
      <c r="H3665" s="15"/>
    </row>
    <row r="3666" ht="13.65" customHeight="1">
      <c r="A3666" s="8">
        <v>3</v>
      </c>
      <c r="B3666" t="s" s="9">
        <v>35</v>
      </c>
      <c r="C3666" t="s" s="9">
        <v>67</v>
      </c>
      <c r="D3666" t="s" s="9">
        <v>51</v>
      </c>
      <c r="E3666" t="s" s="9">
        <v>71</v>
      </c>
      <c r="F3666" s="10">
        <v>1367</v>
      </c>
      <c r="G3666" s="14"/>
      <c r="H3666" s="15"/>
    </row>
    <row r="3667" ht="13.65" customHeight="1">
      <c r="A3667" s="8">
        <v>4</v>
      </c>
      <c r="B3667" t="s" s="9">
        <v>30</v>
      </c>
      <c r="C3667" t="s" s="9">
        <v>67</v>
      </c>
      <c r="D3667" t="s" s="9">
        <v>51</v>
      </c>
      <c r="E3667" t="s" s="9">
        <v>71</v>
      </c>
      <c r="F3667" s="10">
        <v>1390</v>
      </c>
      <c r="G3667" s="14"/>
      <c r="H3667" s="15"/>
    </row>
    <row r="3668" ht="13.65" customHeight="1">
      <c r="A3668" s="8">
        <v>5</v>
      </c>
      <c r="B3668" t="s" s="9">
        <v>39</v>
      </c>
      <c r="C3668" t="s" s="9">
        <v>67</v>
      </c>
      <c r="D3668" t="s" s="9">
        <v>51</v>
      </c>
      <c r="E3668" t="s" s="9">
        <v>71</v>
      </c>
      <c r="F3668" s="10">
        <v>1038</v>
      </c>
      <c r="G3668" s="14"/>
      <c r="H3668" s="15"/>
    </row>
    <row r="3669" ht="13.65" customHeight="1">
      <c r="A3669" s="8">
        <v>6</v>
      </c>
      <c r="B3669" t="s" s="9">
        <v>45</v>
      </c>
      <c r="C3669" t="s" s="9">
        <v>67</v>
      </c>
      <c r="D3669" t="s" s="9">
        <v>51</v>
      </c>
      <c r="E3669" t="s" s="9">
        <v>71</v>
      </c>
      <c r="F3669" s="10">
        <v>697</v>
      </c>
      <c r="G3669" s="14"/>
      <c r="H3669" s="15"/>
    </row>
    <row r="3670" ht="13.65" customHeight="1">
      <c r="A3670" s="8">
        <v>7</v>
      </c>
      <c r="B3670" t="s" s="9">
        <v>41</v>
      </c>
      <c r="C3670" t="s" s="9">
        <v>67</v>
      </c>
      <c r="D3670" t="s" s="9">
        <v>51</v>
      </c>
      <c r="E3670" t="s" s="9">
        <v>71</v>
      </c>
      <c r="F3670" s="10">
        <v>670</v>
      </c>
      <c r="G3670" s="14"/>
      <c r="H3670" s="15"/>
    </row>
    <row r="3671" ht="13.65" customHeight="1">
      <c r="A3671" s="8">
        <v>8</v>
      </c>
      <c r="B3671" t="s" s="9">
        <v>37</v>
      </c>
      <c r="C3671" t="s" s="9">
        <v>67</v>
      </c>
      <c r="D3671" t="s" s="9">
        <v>51</v>
      </c>
      <c r="E3671" t="s" s="9">
        <v>71</v>
      </c>
      <c r="F3671" s="10">
        <v>667</v>
      </c>
      <c r="G3671" s="14"/>
      <c r="H3671" s="15"/>
    </row>
    <row r="3672" ht="13.65" customHeight="1">
      <c r="A3672" s="8">
        <v>9</v>
      </c>
      <c r="B3672" t="s" s="9">
        <v>35</v>
      </c>
      <c r="C3672" t="s" s="9">
        <v>67</v>
      </c>
      <c r="D3672" t="s" s="9">
        <v>51</v>
      </c>
      <c r="E3672" t="s" s="9">
        <v>71</v>
      </c>
      <c r="F3672" s="10">
        <v>400</v>
      </c>
      <c r="G3672" s="14"/>
      <c r="H3672" s="15"/>
    </row>
    <row r="3673" ht="13.65" customHeight="1">
      <c r="A3673" s="8">
        <v>10</v>
      </c>
      <c r="B3673" t="s" s="9">
        <v>30</v>
      </c>
      <c r="C3673" t="s" s="9">
        <v>67</v>
      </c>
      <c r="D3673" t="s" s="9">
        <v>51</v>
      </c>
      <c r="E3673" t="s" s="9">
        <v>71</v>
      </c>
      <c r="F3673" s="10">
        <v>603</v>
      </c>
      <c r="G3673" s="14"/>
      <c r="H3673" s="15"/>
    </row>
    <row r="3674" ht="13.65" customHeight="1">
      <c r="A3674" s="8">
        <v>1</v>
      </c>
      <c r="B3674" t="s" s="9">
        <v>35</v>
      </c>
      <c r="C3674" t="s" s="9">
        <v>67</v>
      </c>
      <c r="D3674" t="s" s="9">
        <v>52</v>
      </c>
      <c r="E3674" t="s" s="9">
        <v>71</v>
      </c>
      <c r="F3674" s="10">
        <v>6088</v>
      </c>
      <c r="G3674" s="14"/>
      <c r="H3674" s="15"/>
    </row>
    <row r="3675" ht="13.65" customHeight="1">
      <c r="A3675" s="8">
        <v>2</v>
      </c>
      <c r="B3675" t="s" s="9">
        <v>30</v>
      </c>
      <c r="C3675" t="s" s="9">
        <v>67</v>
      </c>
      <c r="D3675" t="s" s="9">
        <v>52</v>
      </c>
      <c r="E3675" t="s" s="9">
        <v>71</v>
      </c>
      <c r="F3675" s="10">
        <v>5049</v>
      </c>
      <c r="G3675" s="14"/>
      <c r="H3675" s="15"/>
    </row>
    <row r="3676" ht="13.65" customHeight="1">
      <c r="A3676" s="8">
        <v>3</v>
      </c>
      <c r="B3676" t="s" s="9">
        <v>34</v>
      </c>
      <c r="C3676" t="s" s="9">
        <v>67</v>
      </c>
      <c r="D3676" t="s" s="9">
        <v>52</v>
      </c>
      <c r="E3676" t="s" s="9">
        <v>71</v>
      </c>
      <c r="F3676" s="10">
        <v>2660</v>
      </c>
      <c r="G3676" s="14"/>
      <c r="H3676" s="15"/>
    </row>
    <row r="3677" ht="13.65" customHeight="1">
      <c r="A3677" s="8">
        <v>4</v>
      </c>
      <c r="B3677" t="s" s="9">
        <v>30</v>
      </c>
      <c r="C3677" t="s" s="9">
        <v>67</v>
      </c>
      <c r="D3677" t="s" s="9">
        <v>52</v>
      </c>
      <c r="E3677" t="s" s="9">
        <v>71</v>
      </c>
      <c r="F3677" s="10">
        <v>1732</v>
      </c>
      <c r="G3677" s="14"/>
      <c r="H3677" s="15"/>
    </row>
    <row r="3678" ht="13.65" customHeight="1">
      <c r="A3678" s="8">
        <v>5</v>
      </c>
      <c r="B3678" t="s" s="9">
        <v>39</v>
      </c>
      <c r="C3678" t="s" s="9">
        <v>67</v>
      </c>
      <c r="D3678" t="s" s="9">
        <v>52</v>
      </c>
      <c r="E3678" t="s" s="9">
        <v>71</v>
      </c>
      <c r="F3678" s="10">
        <v>1384</v>
      </c>
      <c r="G3678" s="14"/>
      <c r="H3678" s="15"/>
    </row>
    <row r="3679" ht="13.65" customHeight="1">
      <c r="A3679" s="8">
        <v>6</v>
      </c>
      <c r="B3679" t="s" s="9">
        <v>35</v>
      </c>
      <c r="C3679" t="s" s="9">
        <v>67</v>
      </c>
      <c r="D3679" t="s" s="9">
        <v>52</v>
      </c>
      <c r="E3679" t="s" s="9">
        <v>71</v>
      </c>
      <c r="F3679" s="10">
        <v>565</v>
      </c>
      <c r="G3679" s="14"/>
      <c r="H3679" s="15"/>
    </row>
    <row r="3680" ht="13.65" customHeight="1">
      <c r="A3680" s="8">
        <v>7</v>
      </c>
      <c r="B3680" t="s" s="9">
        <v>37</v>
      </c>
      <c r="C3680" t="s" s="9">
        <v>67</v>
      </c>
      <c r="D3680" t="s" s="9">
        <v>52</v>
      </c>
      <c r="E3680" t="s" s="9">
        <v>71</v>
      </c>
      <c r="F3680" s="10">
        <v>802</v>
      </c>
      <c r="G3680" s="14"/>
      <c r="H3680" s="15"/>
    </row>
    <row r="3681" ht="13.65" customHeight="1">
      <c r="A3681" s="8">
        <v>8</v>
      </c>
      <c r="B3681" t="s" s="9">
        <v>45</v>
      </c>
      <c r="C3681" t="s" s="9">
        <v>67</v>
      </c>
      <c r="D3681" t="s" s="9">
        <v>52</v>
      </c>
      <c r="E3681" t="s" s="9">
        <v>71</v>
      </c>
      <c r="F3681" s="10">
        <v>578</v>
      </c>
      <c r="G3681" s="14"/>
      <c r="H3681" s="15"/>
    </row>
    <row r="3682" ht="13.65" customHeight="1">
      <c r="A3682" s="8">
        <v>9</v>
      </c>
      <c r="B3682" t="s" s="9">
        <v>36</v>
      </c>
      <c r="C3682" t="s" s="9">
        <v>67</v>
      </c>
      <c r="D3682" t="s" s="9">
        <v>52</v>
      </c>
      <c r="E3682" t="s" s="9">
        <v>71</v>
      </c>
      <c r="F3682" s="10">
        <v>598</v>
      </c>
      <c r="G3682" s="14"/>
      <c r="H3682" s="15"/>
    </row>
    <row r="3683" ht="13.65" customHeight="1">
      <c r="A3683" s="8">
        <v>10</v>
      </c>
      <c r="B3683" t="s" s="9">
        <v>30</v>
      </c>
      <c r="C3683" t="s" s="9">
        <v>67</v>
      </c>
      <c r="D3683" t="s" s="9">
        <v>52</v>
      </c>
      <c r="E3683" t="s" s="9">
        <v>71</v>
      </c>
      <c r="F3683" s="10">
        <v>635</v>
      </c>
      <c r="G3683" s="16"/>
      <c r="H3683" s="17"/>
    </row>
    <row r="3684" ht="13" customHeight="1">
      <c r="A3684" s="8">
        <v>1</v>
      </c>
      <c r="B3684" t="s" s="9">
        <v>30</v>
      </c>
      <c r="C3684" t="s" s="9">
        <v>67</v>
      </c>
      <c r="D3684" t="s" s="9">
        <v>53</v>
      </c>
      <c r="E3684" t="s" s="9">
        <v>71</v>
      </c>
      <c r="F3684" s="10">
        <v>5590</v>
      </c>
      <c r="G3684" s="10">
        <v>5049226</v>
      </c>
      <c r="H3684" s="11" cm="1">
        <f t="array" ref="H3684">F3684/G3684*100000</f>
        <v>110.710037538427</v>
      </c>
    </row>
    <row r="3685" ht="13" customHeight="1">
      <c r="A3685" s="8">
        <v>2</v>
      </c>
      <c r="B3685" t="s" s="9">
        <v>34</v>
      </c>
      <c r="C3685" t="s" s="9">
        <v>67</v>
      </c>
      <c r="D3685" t="s" s="9">
        <v>53</v>
      </c>
      <c r="E3685" t="s" s="9">
        <v>71</v>
      </c>
      <c r="F3685" s="10">
        <v>3459</v>
      </c>
      <c r="G3685" s="10">
        <v>5049226</v>
      </c>
      <c r="H3685" s="11" cm="1">
        <f t="array" ref="H3685">F3685/G3685*100000</f>
        <v>68.5055491673377</v>
      </c>
    </row>
    <row r="3686" ht="13" customHeight="1">
      <c r="A3686" s="8">
        <v>3</v>
      </c>
      <c r="B3686" t="s" s="9">
        <v>35</v>
      </c>
      <c r="C3686" t="s" s="9">
        <v>67</v>
      </c>
      <c r="D3686" t="s" s="9">
        <v>53</v>
      </c>
      <c r="E3686" t="s" s="9">
        <v>71</v>
      </c>
      <c r="F3686" s="10">
        <v>1936</v>
      </c>
      <c r="G3686" s="10">
        <v>5049226</v>
      </c>
      <c r="H3686" s="11" cm="1">
        <f t="array" ref="H3686">F3686/G3686*100000</f>
        <v>38.3425103174229</v>
      </c>
    </row>
    <row r="3687" ht="13" customHeight="1">
      <c r="A3687" s="8">
        <v>4</v>
      </c>
      <c r="B3687" t="s" s="9">
        <v>30</v>
      </c>
      <c r="C3687" t="s" s="9">
        <v>67</v>
      </c>
      <c r="D3687" t="s" s="9">
        <v>53</v>
      </c>
      <c r="E3687" t="s" s="9">
        <v>71</v>
      </c>
      <c r="F3687" s="10">
        <v>2021</v>
      </c>
      <c r="G3687" s="10">
        <v>5049226</v>
      </c>
      <c r="H3687" s="11" cm="1">
        <f t="array" ref="H3687">F3687/G3687*100000</f>
        <v>40.0259366485081</v>
      </c>
    </row>
    <row r="3688" ht="13" customHeight="1">
      <c r="A3688" s="8">
        <v>5</v>
      </c>
      <c r="B3688" t="s" s="9">
        <v>30</v>
      </c>
      <c r="C3688" t="s" s="9">
        <v>67</v>
      </c>
      <c r="D3688" t="s" s="9">
        <v>53</v>
      </c>
      <c r="E3688" t="s" s="9">
        <v>71</v>
      </c>
      <c r="F3688" s="10">
        <v>1228</v>
      </c>
      <c r="G3688" s="10">
        <v>5049226</v>
      </c>
      <c r="H3688" s="11" cm="1">
        <f t="array" ref="H3688">F3688/G3688*100000</f>
        <v>24.3205592302662</v>
      </c>
    </row>
    <row r="3689" ht="13" customHeight="1">
      <c r="A3689" s="8">
        <v>6</v>
      </c>
      <c r="B3689" t="s" s="9">
        <v>39</v>
      </c>
      <c r="C3689" t="s" s="9">
        <v>67</v>
      </c>
      <c r="D3689" t="s" s="9">
        <v>53</v>
      </c>
      <c r="E3689" t="s" s="9">
        <v>71</v>
      </c>
      <c r="F3689" s="10">
        <v>1467</v>
      </c>
      <c r="G3689" s="10">
        <v>5049226</v>
      </c>
      <c r="H3689" s="11" cm="1">
        <f t="array" ref="H3689">F3689/G3689*100000</f>
        <v>29.0539579729646</v>
      </c>
    </row>
    <row r="3690" ht="13" customHeight="1">
      <c r="A3690" s="8">
        <v>7</v>
      </c>
      <c r="B3690" t="s" s="9">
        <v>36</v>
      </c>
      <c r="C3690" t="s" s="9">
        <v>67</v>
      </c>
      <c r="D3690" t="s" s="9">
        <v>53</v>
      </c>
      <c r="E3690" t="s" s="9">
        <v>71</v>
      </c>
      <c r="F3690" s="10">
        <v>712</v>
      </c>
      <c r="G3690" s="10">
        <v>5049226</v>
      </c>
      <c r="H3690" s="11" cm="1">
        <f t="array" ref="H3690">F3690/G3690*100000</f>
        <v>14.101171149796</v>
      </c>
    </row>
    <row r="3691" ht="13" customHeight="1">
      <c r="A3691" s="8">
        <v>8</v>
      </c>
      <c r="B3691" t="s" s="9">
        <v>35</v>
      </c>
      <c r="C3691" t="s" s="9">
        <v>67</v>
      </c>
      <c r="D3691" t="s" s="9">
        <v>53</v>
      </c>
      <c r="E3691" t="s" s="9">
        <v>71</v>
      </c>
      <c r="F3691" s="10">
        <v>495</v>
      </c>
      <c r="G3691" s="10">
        <v>5049226</v>
      </c>
      <c r="H3691" s="11" cm="1">
        <f t="array" ref="H3691">F3691/G3691*100000</f>
        <v>9.80348275161381</v>
      </c>
    </row>
    <row r="3692" ht="13" customHeight="1">
      <c r="A3692" s="8">
        <v>9</v>
      </c>
      <c r="B3692" t="s" s="9">
        <v>36</v>
      </c>
      <c r="C3692" t="s" s="9">
        <v>67</v>
      </c>
      <c r="D3692" t="s" s="9">
        <v>53</v>
      </c>
      <c r="E3692" t="s" s="9">
        <v>71</v>
      </c>
      <c r="F3692" s="10">
        <v>566</v>
      </c>
      <c r="G3692" s="10">
        <v>5049226</v>
      </c>
      <c r="H3692" s="11" cm="1">
        <f t="array" ref="H3692">F3692/G3692*100000</f>
        <v>11.2096388634614</v>
      </c>
    </row>
    <row r="3693" ht="13" customHeight="1">
      <c r="A3693" s="8">
        <v>10</v>
      </c>
      <c r="B3693" t="s" s="9">
        <v>41</v>
      </c>
      <c r="C3693" t="s" s="9">
        <v>67</v>
      </c>
      <c r="D3693" t="s" s="9">
        <v>53</v>
      </c>
      <c r="E3693" t="s" s="9">
        <v>71</v>
      </c>
      <c r="F3693" s="10">
        <v>570</v>
      </c>
      <c r="G3693" s="10">
        <v>5049226</v>
      </c>
      <c r="H3693" s="11" cm="1">
        <f t="array" ref="H3693">F3693/G3693*100000</f>
        <v>11.2888589261008</v>
      </c>
    </row>
    <row r="3694" ht="13" customHeight="1">
      <c r="A3694" s="8">
        <v>1</v>
      </c>
      <c r="B3694" t="s" s="9">
        <v>30</v>
      </c>
      <c r="C3694" t="s" s="9">
        <v>67</v>
      </c>
      <c r="D3694" t="s" s="9">
        <v>54</v>
      </c>
      <c r="E3694" t="s" s="9">
        <v>71</v>
      </c>
      <c r="F3694" s="10">
        <v>2577</v>
      </c>
      <c r="G3694" s="10">
        <v>3901529</v>
      </c>
      <c r="H3694" s="11" cm="1">
        <f t="array" ref="H3694">F3694/G3694*100000</f>
        <v>66.0510276868376</v>
      </c>
    </row>
    <row r="3695" ht="13" customHeight="1">
      <c r="A3695" s="8">
        <v>2</v>
      </c>
      <c r="B3695" t="s" s="9">
        <v>41</v>
      </c>
      <c r="C3695" t="s" s="9">
        <v>67</v>
      </c>
      <c r="D3695" t="s" s="9">
        <v>54</v>
      </c>
      <c r="E3695" t="s" s="9">
        <v>71</v>
      </c>
      <c r="F3695" s="10">
        <v>1079</v>
      </c>
      <c r="G3695" s="10">
        <v>3901529</v>
      </c>
      <c r="H3695" s="11" cm="1">
        <f t="array" ref="H3695">F3695/G3695*100000</f>
        <v>27.6558241653465</v>
      </c>
    </row>
    <row r="3696" ht="13" customHeight="1">
      <c r="A3696" s="8">
        <v>3</v>
      </c>
      <c r="B3696" t="s" s="9">
        <v>34</v>
      </c>
      <c r="C3696" t="s" s="9">
        <v>67</v>
      </c>
      <c r="D3696" t="s" s="9">
        <v>54</v>
      </c>
      <c r="E3696" t="s" s="9">
        <v>71</v>
      </c>
      <c r="F3696" s="10">
        <v>1212</v>
      </c>
      <c r="G3696" s="10">
        <v>3901529</v>
      </c>
      <c r="H3696" s="11" cm="1">
        <f t="array" ref="H3696">F3696/G3696*100000</f>
        <v>31.0647441041704</v>
      </c>
    </row>
    <row r="3697" ht="13" customHeight="1">
      <c r="A3697" s="8">
        <v>4</v>
      </c>
      <c r="B3697" t="s" s="9">
        <v>30</v>
      </c>
      <c r="C3697" t="s" s="9">
        <v>67</v>
      </c>
      <c r="D3697" t="s" s="9">
        <v>54</v>
      </c>
      <c r="E3697" t="s" s="9">
        <v>71</v>
      </c>
      <c r="F3697" s="10">
        <v>1003</v>
      </c>
      <c r="G3697" s="10">
        <v>3901529</v>
      </c>
      <c r="H3697" s="11" cm="1">
        <f t="array" ref="H3697">F3697/G3697*100000</f>
        <v>25.7078699145899</v>
      </c>
    </row>
    <row r="3698" ht="13" customHeight="1">
      <c r="A3698" s="8">
        <v>5</v>
      </c>
      <c r="B3698" t="s" s="9">
        <v>30</v>
      </c>
      <c r="C3698" t="s" s="9">
        <v>67</v>
      </c>
      <c r="D3698" t="s" s="9">
        <v>54</v>
      </c>
      <c r="E3698" t="s" s="9">
        <v>71</v>
      </c>
      <c r="F3698" s="10">
        <v>975</v>
      </c>
      <c r="G3698" s="10">
        <v>3901529</v>
      </c>
      <c r="H3698" s="11" cm="1">
        <f t="array" ref="H3698">F3698/G3698*100000</f>
        <v>24.990202559048</v>
      </c>
    </row>
    <row r="3699" ht="13" customHeight="1">
      <c r="A3699" s="8">
        <v>6</v>
      </c>
      <c r="B3699" t="s" s="9">
        <v>35</v>
      </c>
      <c r="C3699" t="s" s="9">
        <v>67</v>
      </c>
      <c r="D3699" t="s" s="9">
        <v>54</v>
      </c>
      <c r="E3699" t="s" s="9">
        <v>71</v>
      </c>
      <c r="F3699" s="10">
        <v>495</v>
      </c>
      <c r="G3699" s="10">
        <v>3901529</v>
      </c>
      <c r="H3699" s="11" cm="1">
        <f t="array" ref="H3699">F3699/G3699*100000</f>
        <v>12.6873336069013</v>
      </c>
    </row>
    <row r="3700" ht="13" customHeight="1">
      <c r="A3700" s="8">
        <v>7</v>
      </c>
      <c r="B3700" t="s" s="9">
        <v>35</v>
      </c>
      <c r="C3700" t="s" s="9">
        <v>67</v>
      </c>
      <c r="D3700" t="s" s="9">
        <v>54</v>
      </c>
      <c r="E3700" t="s" s="9">
        <v>71</v>
      </c>
      <c r="F3700" s="10">
        <v>588</v>
      </c>
      <c r="G3700" s="10">
        <v>3901529</v>
      </c>
      <c r="H3700" s="11" cm="1">
        <f t="array" ref="H3700">F3700/G3700*100000</f>
        <v>15.0710144663797</v>
      </c>
    </row>
    <row r="3701" ht="13" customHeight="1">
      <c r="A3701" s="8">
        <v>8</v>
      </c>
      <c r="B3701" t="s" s="9">
        <v>41</v>
      </c>
      <c r="C3701" t="s" s="9">
        <v>67</v>
      </c>
      <c r="D3701" t="s" s="9">
        <v>54</v>
      </c>
      <c r="E3701" t="s" s="9">
        <v>71</v>
      </c>
      <c r="F3701" s="10">
        <v>597</v>
      </c>
      <c r="G3701" s="10">
        <v>3901529</v>
      </c>
      <c r="H3701" s="11" cm="1">
        <f t="array" ref="H3701">F3701/G3701*100000</f>
        <v>15.3016932592325</v>
      </c>
    </row>
    <row r="3702" ht="13" customHeight="1">
      <c r="A3702" s="8">
        <v>9</v>
      </c>
      <c r="B3702" t="s" s="9">
        <v>30</v>
      </c>
      <c r="C3702" t="s" s="9">
        <v>67</v>
      </c>
      <c r="D3702" t="s" s="9">
        <v>54</v>
      </c>
      <c r="E3702" t="s" s="9">
        <v>71</v>
      </c>
      <c r="F3702" s="10">
        <v>512</v>
      </c>
      <c r="G3702" s="10">
        <v>3901529</v>
      </c>
      <c r="H3702" s="11" cm="1">
        <f t="array" ref="H3702">F3702/G3702*100000</f>
        <v>13.1230602156232</v>
      </c>
    </row>
    <row r="3703" ht="13" customHeight="1">
      <c r="A3703" s="8">
        <v>10</v>
      </c>
      <c r="B3703" t="s" s="9">
        <v>39</v>
      </c>
      <c r="C3703" t="s" s="9">
        <v>67</v>
      </c>
      <c r="D3703" t="s" s="9">
        <v>54</v>
      </c>
      <c r="E3703" t="s" s="9">
        <v>71</v>
      </c>
      <c r="F3703" s="10">
        <v>429</v>
      </c>
      <c r="G3703" s="10">
        <v>3901529</v>
      </c>
      <c r="H3703" s="11" cm="1">
        <f t="array" ref="H3703">F3703/G3703*100000</f>
        <v>10.9956891259811</v>
      </c>
    </row>
    <row r="3704" ht="13" customHeight="1">
      <c r="A3704" s="8">
        <v>1</v>
      </c>
      <c r="B3704" t="s" s="9">
        <v>30</v>
      </c>
      <c r="C3704" t="s" s="9">
        <v>67</v>
      </c>
      <c r="D3704" t="s" s="9">
        <v>55</v>
      </c>
      <c r="E3704" t="s" s="9">
        <v>71</v>
      </c>
      <c r="F3704" s="10">
        <v>4594</v>
      </c>
      <c r="G3704" s="10">
        <v>5273604</v>
      </c>
      <c r="H3704" s="11" cm="1">
        <f t="array" ref="H3704">F3704/G3704*100000</f>
        <v>87.1131014008636</v>
      </c>
    </row>
    <row r="3705" ht="13" customHeight="1">
      <c r="A3705" s="8">
        <v>2</v>
      </c>
      <c r="B3705" t="s" s="9">
        <v>35</v>
      </c>
      <c r="C3705" t="s" s="9">
        <v>67</v>
      </c>
      <c r="D3705" t="s" s="9">
        <v>55</v>
      </c>
      <c r="E3705" t="s" s="9">
        <v>71</v>
      </c>
      <c r="F3705" s="10">
        <v>2410</v>
      </c>
      <c r="G3705" s="10">
        <v>5273604</v>
      </c>
      <c r="H3705" s="11" cm="1">
        <f t="array" ref="H3705">F3705/G3705*100000</f>
        <v>45.6992978615763</v>
      </c>
    </row>
    <row r="3706" ht="13" customHeight="1">
      <c r="A3706" s="8">
        <v>3</v>
      </c>
      <c r="B3706" t="s" s="9">
        <v>35</v>
      </c>
      <c r="C3706" t="s" s="9">
        <v>67</v>
      </c>
      <c r="D3706" t="s" s="9">
        <v>55</v>
      </c>
      <c r="E3706" t="s" s="9">
        <v>71</v>
      </c>
      <c r="F3706" s="10">
        <v>1179</v>
      </c>
      <c r="G3706" s="10">
        <v>5273604</v>
      </c>
      <c r="H3706" s="11" cm="1">
        <f t="array" ref="H3706">F3706/G3706*100000</f>
        <v>22.3566274600823</v>
      </c>
    </row>
    <row r="3707" ht="13" customHeight="1">
      <c r="A3707" s="8">
        <v>4</v>
      </c>
      <c r="B3707" t="s" s="9">
        <v>30</v>
      </c>
      <c r="C3707" t="s" s="9">
        <v>67</v>
      </c>
      <c r="D3707" t="s" s="9">
        <v>55</v>
      </c>
      <c r="E3707" t="s" s="9">
        <v>71</v>
      </c>
      <c r="F3707" s="10">
        <v>1366</v>
      </c>
      <c r="G3707" s="10">
        <v>5273604</v>
      </c>
      <c r="H3707" s="11" cm="1">
        <f t="array" ref="H3707">F3707/G3707*100000</f>
        <v>25.9025895763125</v>
      </c>
    </row>
    <row r="3708" ht="13" customHeight="1">
      <c r="A3708" s="8">
        <v>5</v>
      </c>
      <c r="B3708" t="s" s="9">
        <v>34</v>
      </c>
      <c r="C3708" t="s" s="9">
        <v>67</v>
      </c>
      <c r="D3708" t="s" s="9">
        <v>55</v>
      </c>
      <c r="E3708" t="s" s="9">
        <v>71</v>
      </c>
      <c r="F3708" s="10">
        <v>1324</v>
      </c>
      <c r="G3708" s="10">
        <v>5273604</v>
      </c>
      <c r="H3708" s="11" cm="1">
        <f t="array" ref="H3708">F3708/G3708*100000</f>
        <v>25.1061702774801</v>
      </c>
    </row>
    <row r="3709" ht="13" customHeight="1">
      <c r="A3709" s="8">
        <v>6</v>
      </c>
      <c r="B3709" t="s" s="9">
        <v>36</v>
      </c>
      <c r="C3709" t="s" s="9">
        <v>67</v>
      </c>
      <c r="D3709" t="s" s="9">
        <v>55</v>
      </c>
      <c r="E3709" t="s" s="9">
        <v>71</v>
      </c>
      <c r="F3709" s="10">
        <v>724</v>
      </c>
      <c r="G3709" s="10">
        <v>5273604</v>
      </c>
      <c r="H3709" s="11" cm="1">
        <f t="array" ref="H3709">F3709/G3709*100000</f>
        <v>13.7287517227308</v>
      </c>
    </row>
    <row r="3710" ht="13" customHeight="1">
      <c r="A3710" s="8">
        <v>7</v>
      </c>
      <c r="B3710" t="s" s="9">
        <v>41</v>
      </c>
      <c r="C3710" t="s" s="9">
        <v>67</v>
      </c>
      <c r="D3710" t="s" s="9">
        <v>55</v>
      </c>
      <c r="E3710" t="s" s="9">
        <v>71</v>
      </c>
      <c r="F3710" s="10">
        <v>734</v>
      </c>
      <c r="G3710" s="10">
        <v>5273604</v>
      </c>
      <c r="H3710" s="11" cm="1">
        <f t="array" ref="H3710">F3710/G3710*100000</f>
        <v>13.9183753653099</v>
      </c>
    </row>
    <row r="3711" ht="13" customHeight="1">
      <c r="A3711" s="8">
        <v>8</v>
      </c>
      <c r="B3711" t="s" s="9">
        <v>36</v>
      </c>
      <c r="C3711" t="s" s="9">
        <v>67</v>
      </c>
      <c r="D3711" t="s" s="9">
        <v>55</v>
      </c>
      <c r="E3711" t="s" s="9">
        <v>71</v>
      </c>
      <c r="F3711" s="10">
        <v>551</v>
      </c>
      <c r="G3711" s="10">
        <v>5273604</v>
      </c>
      <c r="H3711" s="11" cm="1">
        <f t="array" ref="H3711">F3711/G3711*100000</f>
        <v>10.4482627061114</v>
      </c>
    </row>
    <row r="3712" ht="13" customHeight="1">
      <c r="A3712" s="8">
        <v>9</v>
      </c>
      <c r="B3712" t="s" s="9">
        <v>39</v>
      </c>
      <c r="C3712" t="s" s="9">
        <v>67</v>
      </c>
      <c r="D3712" t="s" s="9">
        <v>55</v>
      </c>
      <c r="E3712" t="s" s="9">
        <v>71</v>
      </c>
      <c r="F3712" s="10">
        <v>695</v>
      </c>
      <c r="G3712" s="10">
        <v>5273604</v>
      </c>
      <c r="H3712" s="11" cm="1">
        <f t="array" ref="H3712">F3712/G3712*100000</f>
        <v>13.1788431592512</v>
      </c>
    </row>
    <row r="3713" ht="13" customHeight="1">
      <c r="A3713" s="8">
        <v>10</v>
      </c>
      <c r="B3713" t="s" s="9">
        <v>45</v>
      </c>
      <c r="C3713" t="s" s="9">
        <v>67</v>
      </c>
      <c r="D3713" t="s" s="9">
        <v>55</v>
      </c>
      <c r="E3713" t="s" s="9">
        <v>71</v>
      </c>
      <c r="F3713" s="10">
        <v>403</v>
      </c>
      <c r="G3713" s="10">
        <v>5273604</v>
      </c>
      <c r="H3713" s="11" cm="1">
        <f t="array" ref="H3713">F3713/G3713*100000</f>
        <v>7.64183279593993</v>
      </c>
    </row>
    <row r="3714" ht="13" customHeight="1">
      <c r="A3714" s="8">
        <v>1</v>
      </c>
      <c r="B3714" t="s" s="9">
        <v>34</v>
      </c>
      <c r="C3714" t="s" s="9">
        <v>67</v>
      </c>
      <c r="D3714" t="s" s="9">
        <v>56</v>
      </c>
      <c r="E3714" t="s" s="9">
        <v>71</v>
      </c>
      <c r="F3714" s="10">
        <v>2065</v>
      </c>
      <c r="G3714" s="10">
        <v>5691183</v>
      </c>
      <c r="H3714" s="11" cm="1">
        <f t="array" ref="H3714">F3714/G3714*100000</f>
        <v>36.2841960977182</v>
      </c>
    </row>
    <row r="3715" ht="13" customHeight="1">
      <c r="A3715" s="8">
        <v>2</v>
      </c>
      <c r="B3715" t="s" s="9">
        <v>30</v>
      </c>
      <c r="C3715" t="s" s="9">
        <v>67</v>
      </c>
      <c r="D3715" t="s" s="9">
        <v>56</v>
      </c>
      <c r="E3715" t="s" s="9">
        <v>71</v>
      </c>
      <c r="F3715" s="10">
        <v>2265</v>
      </c>
      <c r="G3715" s="10">
        <v>5691183</v>
      </c>
      <c r="H3715" s="11" cm="1">
        <f t="array" ref="H3715">F3715/G3715*100000</f>
        <v>39.7984039522187</v>
      </c>
    </row>
    <row r="3716" ht="13" customHeight="1">
      <c r="A3716" s="8">
        <v>3</v>
      </c>
      <c r="B3716" t="s" s="9">
        <v>35</v>
      </c>
      <c r="C3716" t="s" s="9">
        <v>67</v>
      </c>
      <c r="D3716" t="s" s="9">
        <v>56</v>
      </c>
      <c r="E3716" t="s" s="9">
        <v>71</v>
      </c>
      <c r="F3716" s="10">
        <v>1877</v>
      </c>
      <c r="G3716" s="10">
        <v>5691183</v>
      </c>
      <c r="H3716" s="11" cm="1">
        <f t="array" ref="H3716">F3716/G3716*100000</f>
        <v>32.9808407144877</v>
      </c>
    </row>
    <row r="3717" ht="13" customHeight="1">
      <c r="A3717" s="8">
        <v>4</v>
      </c>
      <c r="B3717" t="s" s="9">
        <v>37</v>
      </c>
      <c r="C3717" t="s" s="9">
        <v>67</v>
      </c>
      <c r="D3717" t="s" s="9">
        <v>56</v>
      </c>
      <c r="E3717" t="s" s="9">
        <v>71</v>
      </c>
      <c r="F3717" s="10">
        <v>1047</v>
      </c>
      <c r="G3717" s="10">
        <v>5691183</v>
      </c>
      <c r="H3717" s="11" cm="1">
        <f t="array" ref="H3717">F3717/G3717*100000</f>
        <v>18.3968781183104</v>
      </c>
    </row>
    <row r="3718" ht="13" customHeight="1">
      <c r="A3718" s="8">
        <v>5</v>
      </c>
      <c r="B3718" t="s" s="9">
        <v>35</v>
      </c>
      <c r="C3718" t="s" s="9">
        <v>67</v>
      </c>
      <c r="D3718" t="s" s="9">
        <v>56</v>
      </c>
      <c r="E3718" t="s" s="9">
        <v>71</v>
      </c>
      <c r="F3718" s="10">
        <v>567</v>
      </c>
      <c r="G3718" s="10">
        <v>5691183</v>
      </c>
      <c r="H3718" s="11" cm="1">
        <f t="array" ref="H3718">F3718/G3718*100000</f>
        <v>9.96277926750906</v>
      </c>
    </row>
    <row r="3719" ht="13" customHeight="1">
      <c r="A3719" s="8">
        <v>6</v>
      </c>
      <c r="B3719" t="s" s="9">
        <v>30</v>
      </c>
      <c r="C3719" t="s" s="9">
        <v>67</v>
      </c>
      <c r="D3719" t="s" s="9">
        <v>56</v>
      </c>
      <c r="E3719" t="s" s="9">
        <v>71</v>
      </c>
      <c r="F3719" s="10">
        <v>647</v>
      </c>
      <c r="G3719" s="10">
        <v>5691183</v>
      </c>
      <c r="H3719" s="11" cm="1">
        <f t="array" ref="H3719">F3719/G3719*100000</f>
        <v>11.3684624093093</v>
      </c>
    </row>
    <row r="3720" ht="13" customHeight="1">
      <c r="A3720" s="8">
        <v>7</v>
      </c>
      <c r="B3720" t="s" s="9">
        <v>30</v>
      </c>
      <c r="C3720" t="s" s="9">
        <v>67</v>
      </c>
      <c r="D3720" t="s" s="9">
        <v>56</v>
      </c>
      <c r="E3720" t="s" s="9">
        <v>71</v>
      </c>
      <c r="F3720" s="10">
        <v>560</v>
      </c>
      <c r="G3720" s="10">
        <v>5691183</v>
      </c>
      <c r="H3720" s="11" cm="1">
        <f t="array" ref="H3720">F3720/G3720*100000</f>
        <v>9.839781992601541</v>
      </c>
    </row>
    <row r="3721" ht="13" customHeight="1">
      <c r="A3721" s="8">
        <v>8</v>
      </c>
      <c r="B3721" t="s" s="9">
        <v>39</v>
      </c>
      <c r="C3721" t="s" s="9">
        <v>67</v>
      </c>
      <c r="D3721" t="s" s="9">
        <v>56</v>
      </c>
      <c r="E3721" t="s" s="9">
        <v>71</v>
      </c>
      <c r="F3721" s="10">
        <v>418</v>
      </c>
      <c r="G3721" s="10">
        <v>5691183</v>
      </c>
      <c r="H3721" s="11" cm="1">
        <f t="array" ref="H3721">F3721/G3721*100000</f>
        <v>7.34469441590615</v>
      </c>
    </row>
    <row r="3722" ht="13" customHeight="1">
      <c r="A3722" s="8">
        <v>9</v>
      </c>
      <c r="B3722" t="s" s="9">
        <v>36</v>
      </c>
      <c r="C3722" t="s" s="9">
        <v>67</v>
      </c>
      <c r="D3722" t="s" s="9">
        <v>56</v>
      </c>
      <c r="E3722" t="s" s="9">
        <v>71</v>
      </c>
      <c r="F3722" s="10">
        <v>284</v>
      </c>
      <c r="G3722" s="10">
        <v>5691183</v>
      </c>
      <c r="H3722" s="11" cm="1">
        <f t="array" ref="H3722">F3722/G3722*100000</f>
        <v>4.99017515339078</v>
      </c>
    </row>
    <row r="3723" ht="13" customHeight="1">
      <c r="A3723" s="8">
        <v>10</v>
      </c>
      <c r="B3723" t="s" s="9">
        <v>45</v>
      </c>
      <c r="C3723" t="s" s="9">
        <v>67</v>
      </c>
      <c r="D3723" t="s" s="9">
        <v>56</v>
      </c>
      <c r="E3723" t="s" s="9">
        <v>71</v>
      </c>
      <c r="F3723" s="10">
        <v>241</v>
      </c>
      <c r="G3723" s="10">
        <v>5691183</v>
      </c>
      <c r="H3723" s="11" cm="1">
        <f t="array" ref="H3723">F3723/G3723*100000</f>
        <v>4.23462046467316</v>
      </c>
    </row>
    <row r="3724" ht="13" customHeight="1">
      <c r="A3724" s="8">
        <v>1</v>
      </c>
      <c r="B3724" t="s" s="9">
        <v>35</v>
      </c>
      <c r="C3724" t="s" s="9">
        <v>67</v>
      </c>
      <c r="D3724" t="s" s="9">
        <v>57</v>
      </c>
      <c r="E3724" t="s" s="9">
        <v>71</v>
      </c>
      <c r="F3724" s="10">
        <v>2075</v>
      </c>
      <c r="G3724" s="10">
        <v>5214931</v>
      </c>
      <c r="H3724" s="11" cm="1">
        <f t="array" ref="H3724">F3724/G3724*100000</f>
        <v>39.7895964491189</v>
      </c>
    </row>
    <row r="3725" ht="13" customHeight="1">
      <c r="A3725" s="8">
        <v>2</v>
      </c>
      <c r="B3725" t="s" s="9">
        <v>30</v>
      </c>
      <c r="C3725" t="s" s="9">
        <v>67</v>
      </c>
      <c r="D3725" t="s" s="9">
        <v>57</v>
      </c>
      <c r="E3725" t="s" s="9">
        <v>71</v>
      </c>
      <c r="F3725" s="10">
        <v>550</v>
      </c>
      <c r="G3725" s="10">
        <v>5214931</v>
      </c>
      <c r="H3725" s="11" cm="1">
        <f t="array" ref="H3725">F3725/G3725*100000</f>
        <v>10.546640022658</v>
      </c>
    </row>
    <row r="3726" ht="13" customHeight="1">
      <c r="A3726" s="8">
        <v>3</v>
      </c>
      <c r="B3726" t="s" s="9">
        <v>34</v>
      </c>
      <c r="C3726" t="s" s="9">
        <v>67</v>
      </c>
      <c r="D3726" t="s" s="9">
        <v>57</v>
      </c>
      <c r="E3726" t="s" s="9">
        <v>71</v>
      </c>
      <c r="F3726" s="10">
        <v>170</v>
      </c>
      <c r="G3726" s="10">
        <v>5214931</v>
      </c>
      <c r="H3726" s="11" cm="1">
        <f t="array" ref="H3726">F3726/G3726*100000</f>
        <v>3.25987055245793</v>
      </c>
    </row>
    <row r="3727" ht="13" customHeight="1">
      <c r="A3727" s="8">
        <v>4</v>
      </c>
      <c r="B3727" t="s" s="9">
        <v>30</v>
      </c>
      <c r="C3727" t="s" s="9">
        <v>67</v>
      </c>
      <c r="D3727" t="s" s="9">
        <v>57</v>
      </c>
      <c r="E3727" t="s" s="9">
        <v>71</v>
      </c>
      <c r="F3727" s="10">
        <v>90</v>
      </c>
      <c r="G3727" s="10">
        <v>5214931</v>
      </c>
      <c r="H3727" s="11" cm="1">
        <f t="array" ref="H3727">F3727/G3727*100000</f>
        <v>1.72581382188949</v>
      </c>
    </row>
    <row r="3728" ht="13" customHeight="1">
      <c r="A3728" s="8">
        <v>5</v>
      </c>
      <c r="B3728" t="s" s="9">
        <v>30</v>
      </c>
      <c r="C3728" t="s" s="9">
        <v>67</v>
      </c>
      <c r="D3728" t="s" s="9">
        <v>57</v>
      </c>
      <c r="E3728" t="s" s="9">
        <v>71</v>
      </c>
      <c r="F3728" s="10">
        <v>61</v>
      </c>
      <c r="G3728" s="10">
        <v>5214931</v>
      </c>
      <c r="H3728" s="11" cm="1">
        <f t="array" ref="H3728">F3728/G3728*100000</f>
        <v>1.16971825705843</v>
      </c>
    </row>
    <row r="3729" ht="13" customHeight="1">
      <c r="A3729" s="8">
        <v>6</v>
      </c>
      <c r="B3729" t="s" s="9">
        <v>45</v>
      </c>
      <c r="C3729" t="s" s="9">
        <v>67</v>
      </c>
      <c r="D3729" t="s" s="9">
        <v>57</v>
      </c>
      <c r="E3729" t="s" s="9">
        <v>71</v>
      </c>
      <c r="F3729" s="10">
        <v>80</v>
      </c>
      <c r="G3729" s="10">
        <v>5214931</v>
      </c>
      <c r="H3729" s="11" cm="1">
        <f t="array" ref="H3729">F3729/G3729*100000</f>
        <v>1.53405673056844</v>
      </c>
    </row>
    <row r="3730" ht="13" customHeight="1">
      <c r="A3730" s="8">
        <v>7</v>
      </c>
      <c r="B3730" t="s" s="9">
        <v>45</v>
      </c>
      <c r="C3730" t="s" s="9">
        <v>67</v>
      </c>
      <c r="D3730" t="s" s="9">
        <v>57</v>
      </c>
      <c r="E3730" t="s" s="9">
        <v>71</v>
      </c>
      <c r="F3730" s="10">
        <v>81</v>
      </c>
      <c r="G3730" s="10">
        <v>5214931</v>
      </c>
      <c r="H3730" s="11" cm="1">
        <f t="array" ref="H3730">F3730/G3730*100000</f>
        <v>1.55323243970054</v>
      </c>
    </row>
    <row r="3731" ht="13" customHeight="1">
      <c r="A3731" s="8">
        <v>8</v>
      </c>
      <c r="B3731" t="s" s="9">
        <v>45</v>
      </c>
      <c r="C3731" t="s" s="9">
        <v>67</v>
      </c>
      <c r="D3731" t="s" s="9">
        <v>57</v>
      </c>
      <c r="E3731" t="s" s="9">
        <v>71</v>
      </c>
      <c r="F3731" s="10">
        <v>61</v>
      </c>
      <c r="G3731" s="10">
        <v>5214931</v>
      </c>
      <c r="H3731" s="11" cm="1">
        <f t="array" ref="H3731">F3731/G3731*100000</f>
        <v>1.16971825705843</v>
      </c>
    </row>
    <row r="3732" ht="13" customHeight="1">
      <c r="A3732" s="8">
        <v>9</v>
      </c>
      <c r="B3732" t="s" s="9">
        <v>45</v>
      </c>
      <c r="C3732" t="s" s="9">
        <v>67</v>
      </c>
      <c r="D3732" t="s" s="9">
        <v>57</v>
      </c>
      <c r="E3732" t="s" s="9">
        <v>71</v>
      </c>
      <c r="F3732" s="10">
        <v>48</v>
      </c>
      <c r="G3732" s="10">
        <v>5214931</v>
      </c>
      <c r="H3732" s="11" cm="1">
        <f t="array" ref="H3732">F3732/G3732*100000</f>
        <v>0.920434038341063</v>
      </c>
    </row>
    <row r="3733" ht="13" customHeight="1">
      <c r="A3733" s="8">
        <v>10</v>
      </c>
      <c r="B3733" t="s" s="9">
        <v>41</v>
      </c>
      <c r="C3733" t="s" s="9">
        <v>67</v>
      </c>
      <c r="D3733" t="s" s="9">
        <v>57</v>
      </c>
      <c r="E3733" t="s" s="9">
        <v>71</v>
      </c>
      <c r="F3733" s="10">
        <v>42</v>
      </c>
      <c r="G3733" s="10">
        <v>5214931</v>
      </c>
      <c r="H3733" s="11" cm="1">
        <f t="array" ref="H3733">F3733/G3733*100000</f>
        <v>0.80537978354843</v>
      </c>
    </row>
    <row r="3734" ht="13" customHeight="1">
      <c r="A3734" s="8">
        <v>1</v>
      </c>
      <c r="B3734" t="s" s="9">
        <v>30</v>
      </c>
      <c r="C3734" t="s" s="9">
        <v>67</v>
      </c>
      <c r="D3734" t="s" s="9">
        <v>20</v>
      </c>
      <c r="E3734" t="s" s="9">
        <v>71</v>
      </c>
      <c r="F3734" s="10">
        <v>22396</v>
      </c>
      <c r="G3734" s="10">
        <v>2889689</v>
      </c>
      <c r="H3734" s="11" cm="1">
        <f t="array" ref="H3734">F3734/G3734*100000</f>
        <v>775.031499929577</v>
      </c>
    </row>
    <row r="3735" ht="13" customHeight="1">
      <c r="A3735" s="8">
        <v>2</v>
      </c>
      <c r="B3735" t="s" s="9">
        <v>34</v>
      </c>
      <c r="C3735" t="s" s="9">
        <v>67</v>
      </c>
      <c r="D3735" t="s" s="9">
        <v>20</v>
      </c>
      <c r="E3735" t="s" s="9">
        <v>71</v>
      </c>
      <c r="F3735" s="10">
        <v>15762</v>
      </c>
      <c r="G3735" s="10">
        <v>2889689</v>
      </c>
      <c r="H3735" s="11" cm="1">
        <f t="array" ref="H3735">F3735/G3735*100000</f>
        <v>545.456621802554</v>
      </c>
    </row>
    <row r="3736" ht="13" customHeight="1">
      <c r="A3736" s="8">
        <v>3</v>
      </c>
      <c r="B3736" t="s" s="9">
        <v>37</v>
      </c>
      <c r="C3736" t="s" s="9">
        <v>67</v>
      </c>
      <c r="D3736" t="s" s="9">
        <v>20</v>
      </c>
      <c r="E3736" t="s" s="9">
        <v>71</v>
      </c>
      <c r="F3736" s="10">
        <v>7008</v>
      </c>
      <c r="G3736" s="10">
        <v>2889689</v>
      </c>
      <c r="H3736" s="11" cm="1">
        <f t="array" ref="H3736">F3736/G3736*100000</f>
        <v>242.517447379285</v>
      </c>
    </row>
    <row r="3737" ht="13" customHeight="1">
      <c r="A3737" s="8">
        <v>4</v>
      </c>
      <c r="B3737" t="s" s="9">
        <v>35</v>
      </c>
      <c r="C3737" t="s" s="9">
        <v>67</v>
      </c>
      <c r="D3737" t="s" s="9">
        <v>20</v>
      </c>
      <c r="E3737" t="s" s="9">
        <v>71</v>
      </c>
      <c r="F3737" s="10">
        <v>5343</v>
      </c>
      <c r="G3737" s="10">
        <v>2889689</v>
      </c>
      <c r="H3737" s="11" cm="1">
        <f t="array" ref="H3737">F3737/G3737*100000</f>
        <v>184.898790146621</v>
      </c>
    </row>
    <row r="3738" ht="13" customHeight="1">
      <c r="A3738" s="8">
        <v>5</v>
      </c>
      <c r="B3738" t="s" s="9">
        <v>37</v>
      </c>
      <c r="C3738" t="s" s="9">
        <v>67</v>
      </c>
      <c r="D3738" t="s" s="9">
        <v>20</v>
      </c>
      <c r="E3738" t="s" s="9">
        <v>71</v>
      </c>
      <c r="F3738" s="10">
        <v>3782</v>
      </c>
      <c r="G3738" s="10">
        <v>2889689</v>
      </c>
      <c r="H3738" s="11" cm="1">
        <f t="array" ref="H3738">F3738/G3738*100000</f>
        <v>130.879136128490</v>
      </c>
    </row>
    <row r="3739" ht="13" customHeight="1">
      <c r="A3739" s="8">
        <v>6</v>
      </c>
      <c r="B3739" t="s" s="9">
        <v>39</v>
      </c>
      <c r="C3739" t="s" s="9">
        <v>67</v>
      </c>
      <c r="D3739" t="s" s="9">
        <v>20</v>
      </c>
      <c r="E3739" t="s" s="9">
        <v>71</v>
      </c>
      <c r="F3739" s="10">
        <v>4103</v>
      </c>
      <c r="G3739" s="10">
        <v>2889689</v>
      </c>
      <c r="H3739" s="11" cm="1">
        <f t="array" ref="H3739">F3739/G3739*100000</f>
        <v>141.987597973346</v>
      </c>
    </row>
    <row r="3740" ht="13" customHeight="1">
      <c r="A3740" s="8">
        <v>7</v>
      </c>
      <c r="B3740" t="s" s="9">
        <v>30</v>
      </c>
      <c r="C3740" t="s" s="9">
        <v>67</v>
      </c>
      <c r="D3740" t="s" s="9">
        <v>20</v>
      </c>
      <c r="E3740" t="s" s="9">
        <v>71</v>
      </c>
      <c r="F3740" s="10">
        <v>2491</v>
      </c>
      <c r="G3740" s="10">
        <v>2889689</v>
      </c>
      <c r="H3740" s="11" cm="1">
        <f t="array" ref="H3740">F3740/G3740*100000</f>
        <v>86.2030481480879</v>
      </c>
    </row>
    <row r="3741" ht="13" customHeight="1">
      <c r="A3741" s="8">
        <v>8</v>
      </c>
      <c r="B3741" t="s" s="9">
        <v>30</v>
      </c>
      <c r="C3741" t="s" s="9">
        <v>67</v>
      </c>
      <c r="D3741" t="s" s="9">
        <v>20</v>
      </c>
      <c r="E3741" t="s" s="9">
        <v>71</v>
      </c>
      <c r="F3741" s="10">
        <v>2183</v>
      </c>
      <c r="G3741" s="10">
        <v>2889689</v>
      </c>
      <c r="H3741" s="11" cm="1">
        <f t="array" ref="H3741">F3741/G3741*100000</f>
        <v>75.5444617050485</v>
      </c>
    </row>
    <row r="3742" ht="13" customHeight="1">
      <c r="A3742" s="8">
        <v>9</v>
      </c>
      <c r="B3742" t="s" s="9">
        <v>30</v>
      </c>
      <c r="C3742" t="s" s="9">
        <v>67</v>
      </c>
      <c r="D3742" t="s" s="9">
        <v>20</v>
      </c>
      <c r="E3742" t="s" s="9">
        <v>71</v>
      </c>
      <c r="F3742" s="10">
        <v>1724</v>
      </c>
      <c r="G3742" s="10">
        <v>2889689</v>
      </c>
      <c r="H3742" s="11" cm="1">
        <f t="array" ref="H3742">F3742/G3742*100000</f>
        <v>59.6603994409087</v>
      </c>
    </row>
    <row r="3743" ht="13" customHeight="1">
      <c r="A3743" s="8">
        <v>10</v>
      </c>
      <c r="B3743" t="s" s="9">
        <v>30</v>
      </c>
      <c r="C3743" t="s" s="9">
        <v>67</v>
      </c>
      <c r="D3743" t="s" s="9">
        <v>20</v>
      </c>
      <c r="E3743" t="s" s="9">
        <v>71</v>
      </c>
      <c r="F3743" s="10">
        <v>1977</v>
      </c>
      <c r="G3743" s="10">
        <v>2889689</v>
      </c>
      <c r="H3743" s="11" cm="1">
        <f t="array" ref="H3743">F3743/G3743*100000</f>
        <v>68.41566687626251</v>
      </c>
    </row>
    <row r="3744" ht="13" customHeight="1">
      <c r="A3744" s="8">
        <v>1</v>
      </c>
      <c r="B3744" t="s" s="9">
        <v>30</v>
      </c>
      <c r="C3744" t="s" s="9">
        <v>67</v>
      </c>
      <c r="D3744" t="s" s="9">
        <v>21</v>
      </c>
      <c r="E3744" t="s" s="9">
        <v>71</v>
      </c>
      <c r="F3744" s="10">
        <v>4645</v>
      </c>
      <c r="G3744" s="10">
        <v>4635519</v>
      </c>
      <c r="H3744" s="11" cm="1">
        <f t="array" ref="H3744">F3744/G3744*100000</f>
        <v>100.204529417310</v>
      </c>
    </row>
    <row r="3745" ht="13" customHeight="1">
      <c r="A3745" s="8">
        <v>2</v>
      </c>
      <c r="B3745" t="s" s="9">
        <v>36</v>
      </c>
      <c r="C3745" t="s" s="9">
        <v>67</v>
      </c>
      <c r="D3745" t="s" s="9">
        <v>21</v>
      </c>
      <c r="E3745" t="s" s="9">
        <v>71</v>
      </c>
      <c r="F3745" s="10">
        <v>2013</v>
      </c>
      <c r="G3745" s="10">
        <v>4635519</v>
      </c>
      <c r="H3745" s="11" cm="1">
        <f t="array" ref="H3745">F3745/G3745*100000</f>
        <v>43.4255581737449</v>
      </c>
    </row>
    <row r="3746" ht="13" customHeight="1">
      <c r="A3746" s="8">
        <v>3</v>
      </c>
      <c r="B3746" t="s" s="9">
        <v>30</v>
      </c>
      <c r="C3746" t="s" s="9">
        <v>67</v>
      </c>
      <c r="D3746" t="s" s="9">
        <v>21</v>
      </c>
      <c r="E3746" t="s" s="9">
        <v>71</v>
      </c>
      <c r="F3746" s="10">
        <v>2001</v>
      </c>
      <c r="G3746" s="10">
        <v>4635519</v>
      </c>
      <c r="H3746" s="11" cm="1">
        <f t="array" ref="H3746">F3746/G3746*100000</f>
        <v>43.1666874841846</v>
      </c>
    </row>
    <row r="3747" ht="13" customHeight="1">
      <c r="A3747" s="8">
        <v>4</v>
      </c>
      <c r="B3747" t="s" s="9">
        <v>34</v>
      </c>
      <c r="C3747" t="s" s="9">
        <v>67</v>
      </c>
      <c r="D3747" t="s" s="9">
        <v>21</v>
      </c>
      <c r="E3747" t="s" s="9">
        <v>71</v>
      </c>
      <c r="F3747" s="10">
        <v>2159</v>
      </c>
      <c r="G3747" s="10">
        <v>4635519</v>
      </c>
      <c r="H3747" s="11" cm="1">
        <f t="array" ref="H3747">F3747/G3747*100000</f>
        <v>46.5751515633956</v>
      </c>
    </row>
    <row r="3748" ht="13" customHeight="1">
      <c r="A3748" s="8">
        <v>5</v>
      </c>
      <c r="B3748" t="s" s="9">
        <v>36</v>
      </c>
      <c r="C3748" t="s" s="9">
        <v>67</v>
      </c>
      <c r="D3748" t="s" s="9">
        <v>21</v>
      </c>
      <c r="E3748" t="s" s="9">
        <v>71</v>
      </c>
      <c r="F3748" s="10">
        <v>835</v>
      </c>
      <c r="G3748" s="10">
        <v>4635519</v>
      </c>
      <c r="H3748" s="11" cm="1">
        <f t="array" ref="H3748">F3748/G3748*100000</f>
        <v>18.0130854819061</v>
      </c>
    </row>
    <row r="3749" ht="13" customHeight="1">
      <c r="A3749" s="8">
        <v>6</v>
      </c>
      <c r="B3749" t="s" s="9">
        <v>45</v>
      </c>
      <c r="C3749" t="s" s="9">
        <v>67</v>
      </c>
      <c r="D3749" t="s" s="9">
        <v>21</v>
      </c>
      <c r="E3749" t="s" s="9">
        <v>71</v>
      </c>
      <c r="F3749" s="10">
        <v>827</v>
      </c>
      <c r="G3749" s="10">
        <v>4635519</v>
      </c>
      <c r="H3749" s="11" cm="1">
        <f t="array" ref="H3749">F3749/G3749*100000</f>
        <v>17.8405050221992</v>
      </c>
    </row>
    <row r="3750" ht="13" customHeight="1">
      <c r="A3750" s="8">
        <v>7</v>
      </c>
      <c r="B3750" t="s" s="9">
        <v>41</v>
      </c>
      <c r="C3750" t="s" s="9">
        <v>67</v>
      </c>
      <c r="D3750" t="s" s="9">
        <v>21</v>
      </c>
      <c r="E3750" t="s" s="9">
        <v>71</v>
      </c>
      <c r="F3750" s="10">
        <v>819</v>
      </c>
      <c r="G3750" s="10">
        <v>4635519</v>
      </c>
      <c r="H3750" s="11" cm="1">
        <f t="array" ref="H3750">F3750/G3750*100000</f>
        <v>17.6679245624924</v>
      </c>
    </row>
    <row r="3751" ht="13" customHeight="1">
      <c r="A3751" s="8">
        <v>8</v>
      </c>
      <c r="B3751" t="s" s="9">
        <v>30</v>
      </c>
      <c r="C3751" t="s" s="9">
        <v>67</v>
      </c>
      <c r="D3751" t="s" s="9">
        <v>21</v>
      </c>
      <c r="E3751" t="s" s="9">
        <v>71</v>
      </c>
      <c r="F3751" s="10">
        <v>750</v>
      </c>
      <c r="G3751" s="10">
        <v>4635519</v>
      </c>
      <c r="H3751" s="11" cm="1">
        <f t="array" ref="H3751">F3751/G3751*100000</f>
        <v>16.1794180975205</v>
      </c>
    </row>
    <row r="3752" ht="13" customHeight="1">
      <c r="A3752" s="8">
        <v>9</v>
      </c>
      <c r="B3752" t="s" s="9">
        <v>37</v>
      </c>
      <c r="C3752" t="s" s="9">
        <v>67</v>
      </c>
      <c r="D3752" t="s" s="9">
        <v>21</v>
      </c>
      <c r="E3752" t="s" s="9">
        <v>71</v>
      </c>
      <c r="F3752" s="10">
        <v>622</v>
      </c>
      <c r="G3752" s="10">
        <v>4635519</v>
      </c>
      <c r="H3752" s="11" cm="1">
        <f t="array" ref="H3752">F3752/G3752*100000</f>
        <v>13.4181307422103</v>
      </c>
    </row>
    <row r="3753" ht="13" customHeight="1">
      <c r="A3753" s="8">
        <v>10</v>
      </c>
      <c r="B3753" t="s" s="9">
        <v>37</v>
      </c>
      <c r="C3753" t="s" s="9">
        <v>67</v>
      </c>
      <c r="D3753" t="s" s="9">
        <v>21</v>
      </c>
      <c r="E3753" t="s" s="9">
        <v>71</v>
      </c>
      <c r="F3753" s="10">
        <v>650</v>
      </c>
      <c r="G3753" s="10">
        <v>4635519</v>
      </c>
      <c r="H3753" s="11" cm="1">
        <f t="array" ref="H3753">F3753/G3753*100000</f>
        <v>14.0221623511844</v>
      </c>
    </row>
    <row r="3754" ht="13.65" customHeight="1">
      <c r="A3754" s="8">
        <v>1</v>
      </c>
      <c r="B3754" t="s" s="9">
        <v>30</v>
      </c>
      <c r="C3754" t="s" s="9">
        <v>67</v>
      </c>
      <c r="D3754" t="s" s="9">
        <v>58</v>
      </c>
      <c r="E3754" t="s" s="9">
        <v>71</v>
      </c>
      <c r="F3754" s="10">
        <v>6178</v>
      </c>
      <c r="G3754" s="12"/>
      <c r="H3754" s="13"/>
    </row>
    <row r="3755" ht="13.65" customHeight="1">
      <c r="A3755" s="8">
        <v>2</v>
      </c>
      <c r="B3755" t="s" s="9">
        <v>35</v>
      </c>
      <c r="C3755" t="s" s="9">
        <v>67</v>
      </c>
      <c r="D3755" t="s" s="9">
        <v>58</v>
      </c>
      <c r="E3755" t="s" s="9">
        <v>71</v>
      </c>
      <c r="F3755" s="10">
        <v>2706</v>
      </c>
      <c r="G3755" s="14"/>
      <c r="H3755" s="15"/>
    </row>
    <row r="3756" ht="13.65" customHeight="1">
      <c r="A3756" s="8">
        <v>3</v>
      </c>
      <c r="B3756" t="s" s="9">
        <v>30</v>
      </c>
      <c r="C3756" t="s" s="9">
        <v>67</v>
      </c>
      <c r="D3756" t="s" s="9">
        <v>58</v>
      </c>
      <c r="E3756" t="s" s="9">
        <v>71</v>
      </c>
      <c r="F3756" s="10">
        <v>1652</v>
      </c>
      <c r="G3756" s="14"/>
      <c r="H3756" s="15"/>
    </row>
    <row r="3757" ht="13.65" customHeight="1">
      <c r="A3757" s="8">
        <v>4</v>
      </c>
      <c r="B3757" t="s" s="9">
        <v>34</v>
      </c>
      <c r="C3757" t="s" s="9">
        <v>67</v>
      </c>
      <c r="D3757" t="s" s="9">
        <v>58</v>
      </c>
      <c r="E3757" t="s" s="9">
        <v>71</v>
      </c>
      <c r="F3757" s="10">
        <v>1649</v>
      </c>
      <c r="G3757" s="14"/>
      <c r="H3757" s="15"/>
    </row>
    <row r="3758" ht="13.65" customHeight="1">
      <c r="A3758" s="8">
        <v>5</v>
      </c>
      <c r="B3758" t="s" s="9">
        <v>41</v>
      </c>
      <c r="C3758" t="s" s="9">
        <v>67</v>
      </c>
      <c r="D3758" t="s" s="9">
        <v>58</v>
      </c>
      <c r="E3758" t="s" s="9">
        <v>71</v>
      </c>
      <c r="F3758" s="10">
        <v>690</v>
      </c>
      <c r="G3758" s="14"/>
      <c r="H3758" s="15"/>
    </row>
    <row r="3759" ht="13.65" customHeight="1">
      <c r="A3759" s="8">
        <v>6</v>
      </c>
      <c r="B3759" t="s" s="9">
        <v>30</v>
      </c>
      <c r="C3759" t="s" s="9">
        <v>67</v>
      </c>
      <c r="D3759" t="s" s="9">
        <v>58</v>
      </c>
      <c r="E3759" t="s" s="9">
        <v>71</v>
      </c>
      <c r="F3759" s="10">
        <v>386</v>
      </c>
      <c r="G3759" s="14"/>
      <c r="H3759" s="15"/>
    </row>
    <row r="3760" ht="13.65" customHeight="1">
      <c r="A3760" s="8">
        <v>7</v>
      </c>
      <c r="B3760" t="s" s="9">
        <v>30</v>
      </c>
      <c r="C3760" t="s" s="9">
        <v>67</v>
      </c>
      <c r="D3760" t="s" s="9">
        <v>58</v>
      </c>
      <c r="E3760" t="s" s="9">
        <v>71</v>
      </c>
      <c r="F3760" s="10">
        <v>548</v>
      </c>
      <c r="G3760" s="14"/>
      <c r="H3760" s="15"/>
    </row>
    <row r="3761" ht="13.65" customHeight="1">
      <c r="A3761" s="8">
        <v>8</v>
      </c>
      <c r="B3761" t="s" s="9">
        <v>39</v>
      </c>
      <c r="C3761" t="s" s="9">
        <v>67</v>
      </c>
      <c r="D3761" t="s" s="9">
        <v>58</v>
      </c>
      <c r="E3761" t="s" s="9">
        <v>71</v>
      </c>
      <c r="F3761" s="10">
        <v>686</v>
      </c>
      <c r="G3761" s="14"/>
      <c r="H3761" s="15"/>
    </row>
    <row r="3762" ht="13.65" customHeight="1">
      <c r="A3762" s="8">
        <v>9</v>
      </c>
      <c r="B3762" t="s" s="9">
        <v>35</v>
      </c>
      <c r="C3762" t="s" s="9">
        <v>67</v>
      </c>
      <c r="D3762" t="s" s="9">
        <v>58</v>
      </c>
      <c r="E3762" t="s" s="9">
        <v>71</v>
      </c>
      <c r="F3762" s="10">
        <v>441</v>
      </c>
      <c r="G3762" s="14"/>
      <c r="H3762" s="15"/>
    </row>
    <row r="3763" ht="13.65" customHeight="1">
      <c r="A3763" s="8">
        <v>10</v>
      </c>
      <c r="B3763" t="s" s="9">
        <v>36</v>
      </c>
      <c r="C3763" t="s" s="9">
        <v>67</v>
      </c>
      <c r="D3763" t="s" s="9">
        <v>58</v>
      </c>
      <c r="E3763" t="s" s="9">
        <v>71</v>
      </c>
      <c r="F3763" s="10">
        <v>470</v>
      </c>
      <c r="G3763" s="16"/>
      <c r="H3763" s="17"/>
    </row>
    <row r="3764" ht="13" customHeight="1">
      <c r="A3764" s="8">
        <v>1</v>
      </c>
      <c r="B3764" t="s" s="9">
        <v>30</v>
      </c>
      <c r="C3764" t="s" s="9">
        <v>68</v>
      </c>
      <c r="D3764" t="s" s="9">
        <v>32</v>
      </c>
      <c r="E3764" t="s" s="9">
        <v>71</v>
      </c>
      <c r="F3764" s="10">
        <v>28438</v>
      </c>
      <c r="G3764" s="10">
        <v>14521657</v>
      </c>
      <c r="H3764" s="11" cm="1">
        <f t="array" ref="H3764">F3764/G3764*100000</f>
        <v>195.831646484971</v>
      </c>
    </row>
    <row r="3765" ht="13" customHeight="1">
      <c r="A3765" s="8">
        <v>2</v>
      </c>
      <c r="B3765" t="s" s="9">
        <v>34</v>
      </c>
      <c r="C3765" t="s" s="9">
        <v>68</v>
      </c>
      <c r="D3765" t="s" s="9">
        <v>32</v>
      </c>
      <c r="E3765" t="s" s="9">
        <v>71</v>
      </c>
      <c r="F3765" s="10">
        <v>21170</v>
      </c>
      <c r="G3765" s="10">
        <v>14521657</v>
      </c>
      <c r="H3765" s="11" cm="1">
        <f t="array" ref="H3765">F3765/G3765*100000</f>
        <v>145.782261624827</v>
      </c>
    </row>
    <row r="3766" ht="13" customHeight="1">
      <c r="A3766" s="8">
        <v>3</v>
      </c>
      <c r="B3766" t="s" s="9">
        <v>37</v>
      </c>
      <c r="C3766" t="s" s="9">
        <v>68</v>
      </c>
      <c r="D3766" t="s" s="9">
        <v>32</v>
      </c>
      <c r="E3766" t="s" s="9">
        <v>71</v>
      </c>
      <c r="F3766" s="10">
        <v>7793</v>
      </c>
      <c r="G3766" s="10">
        <v>14521657</v>
      </c>
      <c r="H3766" s="11" cm="1">
        <f t="array" ref="H3766">F3766/G3766*100000</f>
        <v>53.6646747681756</v>
      </c>
    </row>
    <row r="3767" ht="13" customHeight="1">
      <c r="A3767" s="8">
        <v>4</v>
      </c>
      <c r="B3767" t="s" s="9">
        <v>35</v>
      </c>
      <c r="C3767" t="s" s="9">
        <v>68</v>
      </c>
      <c r="D3767" t="s" s="9">
        <v>32</v>
      </c>
      <c r="E3767" t="s" s="9">
        <v>71</v>
      </c>
      <c r="F3767" s="10">
        <v>6842</v>
      </c>
      <c r="G3767" s="10">
        <v>14521657</v>
      </c>
      <c r="H3767" s="11" cm="1">
        <f t="array" ref="H3767">F3767/G3767*100000</f>
        <v>47.1158353347693</v>
      </c>
    </row>
    <row r="3768" ht="13" customHeight="1">
      <c r="A3768" s="8">
        <v>5</v>
      </c>
      <c r="B3768" t="s" s="9">
        <v>37</v>
      </c>
      <c r="C3768" t="s" s="9">
        <v>68</v>
      </c>
      <c r="D3768" t="s" s="9">
        <v>32</v>
      </c>
      <c r="E3768" t="s" s="9">
        <v>71</v>
      </c>
      <c r="F3768" s="10">
        <v>4341</v>
      </c>
      <c r="G3768" s="10">
        <v>14521657</v>
      </c>
      <c r="H3768" s="11" cm="1">
        <f t="array" ref="H3768">F3768/G3768*100000</f>
        <v>29.8932828395547</v>
      </c>
    </row>
    <row r="3769" ht="13" customHeight="1">
      <c r="A3769" s="8">
        <v>6</v>
      </c>
      <c r="B3769" t="s" s="9">
        <v>39</v>
      </c>
      <c r="C3769" t="s" s="9">
        <v>68</v>
      </c>
      <c r="D3769" t="s" s="9">
        <v>32</v>
      </c>
      <c r="E3769" t="s" s="9">
        <v>71</v>
      </c>
      <c r="F3769" s="10">
        <v>4656</v>
      </c>
      <c r="G3769" s="10">
        <v>14521657</v>
      </c>
      <c r="H3769" s="11" cm="1">
        <f t="array" ref="H3769">F3769/G3769*100000</f>
        <v>32.0624567843738</v>
      </c>
    </row>
    <row r="3770" ht="13" customHeight="1">
      <c r="A3770" s="8">
        <v>7</v>
      </c>
      <c r="B3770" t="s" s="9">
        <v>30</v>
      </c>
      <c r="C3770" t="s" s="9">
        <v>68</v>
      </c>
      <c r="D3770" t="s" s="9">
        <v>32</v>
      </c>
      <c r="E3770" t="s" s="9">
        <v>71</v>
      </c>
      <c r="F3770" s="10">
        <v>3140</v>
      </c>
      <c r="G3770" s="10">
        <v>14521657</v>
      </c>
      <c r="H3770" s="11" cm="1">
        <f t="array" ref="H3770">F3770/G3770*100000</f>
        <v>21.6228767832762</v>
      </c>
    </row>
    <row r="3771" ht="13" customHeight="1">
      <c r="A3771" s="8">
        <v>8</v>
      </c>
      <c r="B3771" t="s" s="9">
        <v>30</v>
      </c>
      <c r="C3771" t="s" s="9">
        <v>68</v>
      </c>
      <c r="D3771" t="s" s="9">
        <v>32</v>
      </c>
      <c r="E3771" t="s" s="9">
        <v>71</v>
      </c>
      <c r="F3771" s="10">
        <v>2866</v>
      </c>
      <c r="G3771" s="10">
        <v>14521657</v>
      </c>
      <c r="H3771" s="11" cm="1">
        <f t="array" ref="H3771">F3771/G3771*100000</f>
        <v>19.7360397646081</v>
      </c>
    </row>
    <row r="3772" ht="13" customHeight="1">
      <c r="A3772" s="8">
        <v>9</v>
      </c>
      <c r="B3772" t="s" s="9">
        <v>30</v>
      </c>
      <c r="C3772" t="s" s="9">
        <v>68</v>
      </c>
      <c r="D3772" t="s" s="9">
        <v>32</v>
      </c>
      <c r="E3772" t="s" s="9">
        <v>71</v>
      </c>
      <c r="F3772" s="10">
        <v>2893</v>
      </c>
      <c r="G3772" s="10">
        <v>14521657</v>
      </c>
      <c r="H3772" s="11" cm="1">
        <f t="array" ref="H3772">F3772/G3772*100000</f>
        <v>19.9219689598783</v>
      </c>
    </row>
    <row r="3773" ht="13" customHeight="1">
      <c r="A3773" s="8">
        <v>10</v>
      </c>
      <c r="B3773" t="s" s="9">
        <v>30</v>
      </c>
      <c r="C3773" t="s" s="9">
        <v>68</v>
      </c>
      <c r="D3773" t="s" s="9">
        <v>32</v>
      </c>
      <c r="E3773" t="s" s="9">
        <v>71</v>
      </c>
      <c r="F3773" s="10">
        <v>1881</v>
      </c>
      <c r="G3773" s="10">
        <v>14521657</v>
      </c>
      <c r="H3773" s="11" cm="1">
        <f t="array" ref="H3773">F3773/G3773*100000</f>
        <v>12.9530672704912</v>
      </c>
    </row>
    <row r="3774" ht="13" customHeight="1">
      <c r="A3774" s="8">
        <v>1</v>
      </c>
      <c r="B3774" t="s" s="9">
        <v>30</v>
      </c>
      <c r="C3774" t="s" s="9">
        <v>68</v>
      </c>
      <c r="D3774" t="s" s="9">
        <v>38</v>
      </c>
      <c r="E3774" t="s" s="9">
        <v>71</v>
      </c>
      <c r="F3774" s="10">
        <v>10680</v>
      </c>
      <c r="G3774" s="10">
        <v>1874281</v>
      </c>
      <c r="H3774" s="11" cm="1">
        <f t="array" ref="H3774">F3774/G3774*100000</f>
        <v>569.818506403255</v>
      </c>
    </row>
    <row r="3775" ht="13" customHeight="1">
      <c r="A3775" s="8">
        <v>2</v>
      </c>
      <c r="B3775" t="s" s="9">
        <v>34</v>
      </c>
      <c r="C3775" t="s" s="9">
        <v>68</v>
      </c>
      <c r="D3775" t="s" s="9">
        <v>38</v>
      </c>
      <c r="E3775" t="s" s="9">
        <v>71</v>
      </c>
      <c r="F3775" s="10">
        <v>5072</v>
      </c>
      <c r="G3775" s="10">
        <v>1874281</v>
      </c>
      <c r="H3775" s="11" cm="1">
        <f t="array" ref="H3775">F3775/G3775*100000</f>
        <v>270.610436748812</v>
      </c>
    </row>
    <row r="3776" ht="13" customHeight="1">
      <c r="A3776" s="8">
        <v>3</v>
      </c>
      <c r="B3776" t="s" s="9">
        <v>30</v>
      </c>
      <c r="C3776" t="s" s="9">
        <v>68</v>
      </c>
      <c r="D3776" t="s" s="9">
        <v>38</v>
      </c>
      <c r="E3776" t="s" s="9">
        <v>71</v>
      </c>
      <c r="F3776" s="10">
        <v>1586</v>
      </c>
      <c r="G3776" s="10">
        <v>1874281</v>
      </c>
      <c r="H3776" s="11" cm="1">
        <f t="array" ref="H3776">F3776/G3776*100000</f>
        <v>84.6191152767381</v>
      </c>
    </row>
    <row r="3777" ht="13" customHeight="1">
      <c r="A3777" s="8">
        <v>4</v>
      </c>
      <c r="B3777" t="s" s="9">
        <v>37</v>
      </c>
      <c r="C3777" t="s" s="9">
        <v>68</v>
      </c>
      <c r="D3777" t="s" s="9">
        <v>38</v>
      </c>
      <c r="E3777" t="s" s="9">
        <v>71</v>
      </c>
      <c r="F3777" s="10">
        <v>1257</v>
      </c>
      <c r="G3777" s="10">
        <v>1874281</v>
      </c>
      <c r="H3777" s="11" cm="1">
        <f t="array" ref="H3777">F3777/G3777*100000</f>
        <v>67.0657174671247</v>
      </c>
    </row>
    <row r="3778" ht="13" customHeight="1">
      <c r="A3778" s="8">
        <v>5</v>
      </c>
      <c r="B3778" t="s" s="9">
        <v>35</v>
      </c>
      <c r="C3778" t="s" s="9">
        <v>68</v>
      </c>
      <c r="D3778" t="s" s="9">
        <v>38</v>
      </c>
      <c r="E3778" t="s" s="9">
        <v>71</v>
      </c>
      <c r="F3778" s="10">
        <v>783</v>
      </c>
      <c r="G3778" s="10">
        <v>1874281</v>
      </c>
      <c r="H3778" s="11" cm="1">
        <f t="array" ref="H3778">F3778/G3778*100000</f>
        <v>41.7760197110252</v>
      </c>
    </row>
    <row r="3779" ht="13" customHeight="1">
      <c r="A3779" s="8">
        <v>6</v>
      </c>
      <c r="B3779" t="s" s="9">
        <v>39</v>
      </c>
      <c r="C3779" t="s" s="9">
        <v>68</v>
      </c>
      <c r="D3779" t="s" s="9">
        <v>38</v>
      </c>
      <c r="E3779" t="s" s="9">
        <v>71</v>
      </c>
      <c r="F3779" s="10">
        <v>1261</v>
      </c>
      <c r="G3779" s="10">
        <v>1874281</v>
      </c>
      <c r="H3779" s="11" cm="1">
        <f t="array" ref="H3779">F3779/G3779*100000</f>
        <v>67.27913263806229</v>
      </c>
    </row>
    <row r="3780" ht="13" customHeight="1">
      <c r="A3780" s="8">
        <v>7</v>
      </c>
      <c r="B3780" t="s" s="9">
        <v>37</v>
      </c>
      <c r="C3780" t="s" s="9">
        <v>68</v>
      </c>
      <c r="D3780" t="s" s="9">
        <v>38</v>
      </c>
      <c r="E3780" t="s" s="9">
        <v>71</v>
      </c>
      <c r="F3780" s="10">
        <v>1090</v>
      </c>
      <c r="G3780" s="10">
        <v>1874281</v>
      </c>
      <c r="H3780" s="11" cm="1">
        <f t="array" ref="H3780">F3780/G3780*100000</f>
        <v>58.1556340804821</v>
      </c>
    </row>
    <row r="3781" ht="13" customHeight="1">
      <c r="A3781" s="8">
        <v>8</v>
      </c>
      <c r="B3781" t="s" s="9">
        <v>41</v>
      </c>
      <c r="C3781" t="s" s="9">
        <v>68</v>
      </c>
      <c r="D3781" t="s" s="9">
        <v>38</v>
      </c>
      <c r="E3781" t="s" s="9">
        <v>71</v>
      </c>
      <c r="F3781" s="10">
        <v>992</v>
      </c>
      <c r="G3781" s="10">
        <v>1874281</v>
      </c>
      <c r="H3781" s="11" cm="1">
        <f t="array" ref="H3781">F3781/G3781*100000</f>
        <v>52.9269623925121</v>
      </c>
    </row>
    <row r="3782" ht="13" customHeight="1">
      <c r="A3782" s="8">
        <v>9</v>
      </c>
      <c r="B3782" t="s" s="9">
        <v>35</v>
      </c>
      <c r="C3782" t="s" s="9">
        <v>68</v>
      </c>
      <c r="D3782" t="s" s="9">
        <v>38</v>
      </c>
      <c r="E3782" t="s" s="9">
        <v>71</v>
      </c>
      <c r="F3782" s="10">
        <v>530</v>
      </c>
      <c r="G3782" s="10">
        <v>1874281</v>
      </c>
      <c r="H3782" s="11" cm="1">
        <f t="array" ref="H3782">F3782/G3782*100000</f>
        <v>28.2775101492252</v>
      </c>
    </row>
    <row r="3783" ht="13" customHeight="1">
      <c r="A3783" s="8">
        <v>10</v>
      </c>
      <c r="B3783" t="s" s="9">
        <v>39</v>
      </c>
      <c r="C3783" t="s" s="9">
        <v>68</v>
      </c>
      <c r="D3783" t="s" s="9">
        <v>38</v>
      </c>
      <c r="E3783" t="s" s="9">
        <v>71</v>
      </c>
      <c r="F3783" s="10">
        <v>963</v>
      </c>
      <c r="G3783" s="10">
        <v>1874281</v>
      </c>
      <c r="H3783" s="11" cm="1">
        <f t="array" ref="H3783">F3783/G3783*100000</f>
        <v>51.3797024032149</v>
      </c>
    </row>
    <row r="3784" ht="13" customHeight="1">
      <c r="A3784" s="8">
        <v>1</v>
      </c>
      <c r="B3784" t="s" s="9">
        <v>30</v>
      </c>
      <c r="C3784" t="s" s="9">
        <v>68</v>
      </c>
      <c r="D3784" t="s" s="9">
        <v>42</v>
      </c>
      <c r="E3784" t="s" s="9">
        <v>71</v>
      </c>
      <c r="F3784" s="10">
        <v>11728</v>
      </c>
      <c r="G3784" s="10">
        <v>5458063</v>
      </c>
      <c r="H3784" s="11" cm="1">
        <f t="array" ref="H3784">F3784/G3784*100000</f>
        <v>214.874764179160</v>
      </c>
    </row>
    <row r="3785" ht="13" customHeight="1">
      <c r="A3785" s="8">
        <v>2</v>
      </c>
      <c r="B3785" t="s" s="9">
        <v>30</v>
      </c>
      <c r="C3785" t="s" s="9">
        <v>68</v>
      </c>
      <c r="D3785" t="s" s="9">
        <v>42</v>
      </c>
      <c r="E3785" t="s" s="9">
        <v>71</v>
      </c>
      <c r="F3785" s="10">
        <v>6371</v>
      </c>
      <c r="G3785" s="10">
        <v>5458063</v>
      </c>
      <c r="H3785" s="11" cm="1">
        <f t="array" ref="H3785">F3785/G3785*100000</f>
        <v>116.726391762059</v>
      </c>
    </row>
    <row r="3786" ht="13" customHeight="1">
      <c r="A3786" s="8">
        <v>3</v>
      </c>
      <c r="B3786" t="s" s="9">
        <v>30</v>
      </c>
      <c r="C3786" t="s" s="9">
        <v>68</v>
      </c>
      <c r="D3786" t="s" s="9">
        <v>42</v>
      </c>
      <c r="E3786" t="s" s="9">
        <v>71</v>
      </c>
      <c r="F3786" s="10">
        <v>5436</v>
      </c>
      <c r="G3786" s="10">
        <v>5458063</v>
      </c>
      <c r="H3786" s="11" cm="1">
        <f t="array" ref="H3786">F3786/G3786*100000</f>
        <v>99.5957723463434</v>
      </c>
    </row>
    <row r="3787" ht="13" customHeight="1">
      <c r="A3787" s="8">
        <v>4</v>
      </c>
      <c r="B3787" t="s" s="9">
        <v>34</v>
      </c>
      <c r="C3787" t="s" s="9">
        <v>68</v>
      </c>
      <c r="D3787" t="s" s="9">
        <v>42</v>
      </c>
      <c r="E3787" t="s" s="9">
        <v>71</v>
      </c>
      <c r="F3787" s="10">
        <v>4617</v>
      </c>
      <c r="G3787" s="10">
        <v>5458063</v>
      </c>
      <c r="H3787" s="11" cm="1">
        <f t="array" ref="H3787">F3787/G3787*100000</f>
        <v>84.5904490292618</v>
      </c>
    </row>
    <row r="3788" ht="13" customHeight="1">
      <c r="A3788" s="8">
        <v>5</v>
      </c>
      <c r="B3788" t="s" s="9">
        <v>41</v>
      </c>
      <c r="C3788" t="s" s="9">
        <v>68</v>
      </c>
      <c r="D3788" t="s" s="9">
        <v>42</v>
      </c>
      <c r="E3788" t="s" s="9">
        <v>71</v>
      </c>
      <c r="F3788" s="10">
        <v>4281</v>
      </c>
      <c r="G3788" s="10">
        <v>5458063</v>
      </c>
      <c r="H3788" s="11" cm="1">
        <f t="array" ref="H3788">F3788/G3788*100000</f>
        <v>78.4344189504592</v>
      </c>
    </row>
    <row r="3789" ht="13" customHeight="1">
      <c r="A3789" s="8">
        <v>6</v>
      </c>
      <c r="B3789" t="s" s="9">
        <v>41</v>
      </c>
      <c r="C3789" t="s" s="9">
        <v>68</v>
      </c>
      <c r="D3789" t="s" s="9">
        <v>42</v>
      </c>
      <c r="E3789" t="s" s="9">
        <v>71</v>
      </c>
      <c r="F3789" s="10">
        <v>4031</v>
      </c>
      <c r="G3789" s="10">
        <v>5458063</v>
      </c>
      <c r="H3789" s="11" cm="1">
        <f t="array" ref="H3789">F3789/G3789*100000</f>
        <v>73.8540394275405</v>
      </c>
    </row>
    <row r="3790" ht="13" customHeight="1">
      <c r="A3790" s="8">
        <v>7</v>
      </c>
      <c r="B3790" t="s" s="9">
        <v>35</v>
      </c>
      <c r="C3790" t="s" s="9">
        <v>68</v>
      </c>
      <c r="D3790" t="s" s="9">
        <v>42</v>
      </c>
      <c r="E3790" t="s" s="9">
        <v>71</v>
      </c>
      <c r="F3790" s="10">
        <v>3570</v>
      </c>
      <c r="G3790" s="10">
        <v>5458063</v>
      </c>
      <c r="H3790" s="11" cm="1">
        <f t="array" ref="H3790">F3790/G3790*100000</f>
        <v>65.4078195872785</v>
      </c>
    </row>
    <row r="3791" ht="13" customHeight="1">
      <c r="A3791" s="8">
        <v>8</v>
      </c>
      <c r="B3791" t="s" s="9">
        <v>37</v>
      </c>
      <c r="C3791" t="s" s="9">
        <v>68</v>
      </c>
      <c r="D3791" t="s" s="9">
        <v>42</v>
      </c>
      <c r="E3791" t="s" s="9">
        <v>71</v>
      </c>
      <c r="F3791" s="10">
        <v>2783</v>
      </c>
      <c r="G3791" s="10">
        <v>5458063</v>
      </c>
      <c r="H3791" s="11" cm="1">
        <f t="array" ref="H3791">F3791/G3791*100000</f>
        <v>50.9887848491305</v>
      </c>
    </row>
    <row r="3792" ht="13" customHeight="1">
      <c r="A3792" s="8">
        <v>9</v>
      </c>
      <c r="B3792" t="s" s="9">
        <v>30</v>
      </c>
      <c r="C3792" t="s" s="9">
        <v>68</v>
      </c>
      <c r="D3792" t="s" s="9">
        <v>42</v>
      </c>
      <c r="E3792" t="s" s="9">
        <v>71</v>
      </c>
      <c r="F3792" s="10">
        <v>1996</v>
      </c>
      <c r="G3792" s="10">
        <v>5458063</v>
      </c>
      <c r="H3792" s="11" cm="1">
        <f t="array" ref="H3792">F3792/G3792*100000</f>
        <v>36.5697501109826</v>
      </c>
    </row>
    <row r="3793" ht="13" customHeight="1">
      <c r="A3793" s="8">
        <v>10</v>
      </c>
      <c r="B3793" t="s" s="9">
        <v>37</v>
      </c>
      <c r="C3793" t="s" s="9">
        <v>68</v>
      </c>
      <c r="D3793" t="s" s="9">
        <v>42</v>
      </c>
      <c r="E3793" t="s" s="9">
        <v>71</v>
      </c>
      <c r="F3793" s="10">
        <v>2094</v>
      </c>
      <c r="G3793" s="10">
        <v>5458063</v>
      </c>
      <c r="H3793" s="11" cm="1">
        <f t="array" ref="H3793">F3793/G3793*100000</f>
        <v>38.3652588839667</v>
      </c>
    </row>
    <row r="3794" ht="13" customHeight="1">
      <c r="A3794" s="8">
        <v>1</v>
      </c>
      <c r="B3794" t="s" s="9">
        <v>30</v>
      </c>
      <c r="C3794" t="s" s="9">
        <v>68</v>
      </c>
      <c r="D3794" t="s" s="9">
        <v>43</v>
      </c>
      <c r="E3794" t="s" s="9">
        <v>71</v>
      </c>
      <c r="F3794" s="10">
        <v>6115</v>
      </c>
      <c r="G3794" s="10">
        <v>3817144</v>
      </c>
      <c r="H3794" s="11" cm="1">
        <f t="array" ref="H3794">F3794/G3794*100000</f>
        <v>160.198305329849</v>
      </c>
    </row>
    <row r="3795" ht="13" customHeight="1">
      <c r="A3795" s="8">
        <v>2</v>
      </c>
      <c r="B3795" t="s" s="9">
        <v>34</v>
      </c>
      <c r="C3795" t="s" s="9">
        <v>68</v>
      </c>
      <c r="D3795" t="s" s="9">
        <v>43</v>
      </c>
      <c r="E3795" t="s" s="9">
        <v>71</v>
      </c>
      <c r="F3795" s="10">
        <v>2298</v>
      </c>
      <c r="G3795" s="10">
        <v>3817144</v>
      </c>
      <c r="H3795" s="11" cm="1">
        <f t="array" ref="H3795">F3795/G3795*100000</f>
        <v>60.202077783809</v>
      </c>
    </row>
    <row r="3796" ht="13" customHeight="1">
      <c r="A3796" s="8">
        <v>3</v>
      </c>
      <c r="B3796" t="s" s="9">
        <v>30</v>
      </c>
      <c r="C3796" t="s" s="9">
        <v>68</v>
      </c>
      <c r="D3796" t="s" s="9">
        <v>43</v>
      </c>
      <c r="E3796" t="s" s="9">
        <v>71</v>
      </c>
      <c r="F3796" s="10">
        <v>1320</v>
      </c>
      <c r="G3796" s="10">
        <v>3817144</v>
      </c>
      <c r="H3796" s="11" cm="1">
        <f t="array" ref="H3796">F3796/G3796*100000</f>
        <v>34.580827969812</v>
      </c>
    </row>
    <row r="3797" ht="13" customHeight="1">
      <c r="A3797" s="8">
        <v>4</v>
      </c>
      <c r="B3797" t="s" s="9">
        <v>30</v>
      </c>
      <c r="C3797" t="s" s="9">
        <v>68</v>
      </c>
      <c r="D3797" t="s" s="9">
        <v>43</v>
      </c>
      <c r="E3797" t="s" s="9">
        <v>71</v>
      </c>
      <c r="F3797" s="10">
        <v>1315</v>
      </c>
      <c r="G3797" s="10">
        <v>3817144</v>
      </c>
      <c r="H3797" s="11" cm="1">
        <f t="array" ref="H3797">F3797/G3797*100000</f>
        <v>34.4498399850778</v>
      </c>
    </row>
    <row r="3798" ht="13" customHeight="1">
      <c r="A3798" s="8">
        <v>5</v>
      </c>
      <c r="B3798" t="s" s="9">
        <v>45</v>
      </c>
      <c r="C3798" t="s" s="9">
        <v>68</v>
      </c>
      <c r="D3798" t="s" s="9">
        <v>43</v>
      </c>
      <c r="E3798" t="s" s="9">
        <v>71</v>
      </c>
      <c r="F3798" s="10">
        <v>1007</v>
      </c>
      <c r="G3798" s="10">
        <v>3817144</v>
      </c>
      <c r="H3798" s="11" cm="1">
        <f t="array" ref="H3798">F3798/G3798*100000</f>
        <v>26.3809801254551</v>
      </c>
    </row>
    <row r="3799" ht="13" customHeight="1">
      <c r="A3799" s="8">
        <v>6</v>
      </c>
      <c r="B3799" t="s" s="9">
        <v>37</v>
      </c>
      <c r="C3799" t="s" s="9">
        <v>68</v>
      </c>
      <c r="D3799" t="s" s="9">
        <v>43</v>
      </c>
      <c r="E3799" t="s" s="9">
        <v>71</v>
      </c>
      <c r="F3799" s="10">
        <v>865</v>
      </c>
      <c r="G3799" s="10">
        <v>3817144</v>
      </c>
      <c r="H3799" s="11" cm="1">
        <f t="array" ref="H3799">F3799/G3799*100000</f>
        <v>22.6609213590056</v>
      </c>
    </row>
    <row r="3800" ht="13" customHeight="1">
      <c r="A3800" s="8">
        <v>7</v>
      </c>
      <c r="B3800" t="s" s="9">
        <v>39</v>
      </c>
      <c r="C3800" t="s" s="9">
        <v>68</v>
      </c>
      <c r="D3800" t="s" s="9">
        <v>43</v>
      </c>
      <c r="E3800" t="s" s="9">
        <v>71</v>
      </c>
      <c r="F3800" s="10">
        <v>911</v>
      </c>
      <c r="G3800" s="10">
        <v>3817144</v>
      </c>
      <c r="H3800" s="11" cm="1">
        <f t="array" ref="H3800">F3800/G3800*100000</f>
        <v>23.8660108185596</v>
      </c>
    </row>
    <row r="3801" ht="13" customHeight="1">
      <c r="A3801" s="8">
        <v>8</v>
      </c>
      <c r="B3801" t="s" s="9">
        <v>36</v>
      </c>
      <c r="C3801" t="s" s="9">
        <v>68</v>
      </c>
      <c r="D3801" t="s" s="9">
        <v>43</v>
      </c>
      <c r="E3801" t="s" s="9">
        <v>71</v>
      </c>
      <c r="F3801" s="10">
        <v>571</v>
      </c>
      <c r="G3801" s="10">
        <v>3817144</v>
      </c>
      <c r="H3801" s="11" cm="1">
        <f t="array" ref="H3801">F3801/G3801*100000</f>
        <v>14.9588278566384</v>
      </c>
    </row>
    <row r="3802" ht="13" customHeight="1">
      <c r="A3802" s="8">
        <v>9</v>
      </c>
      <c r="B3802" t="s" s="9">
        <v>35</v>
      </c>
      <c r="C3802" t="s" s="9">
        <v>68</v>
      </c>
      <c r="D3802" t="s" s="9">
        <v>43</v>
      </c>
      <c r="E3802" t="s" s="9">
        <v>71</v>
      </c>
      <c r="F3802" s="10">
        <v>409</v>
      </c>
      <c r="G3802" s="10">
        <v>3817144</v>
      </c>
      <c r="H3802" s="11" cm="1">
        <f t="array" ref="H3802">F3802/G3802*100000</f>
        <v>10.7148171512523</v>
      </c>
    </row>
    <row r="3803" ht="13" customHeight="1">
      <c r="A3803" s="8">
        <v>10</v>
      </c>
      <c r="B3803" t="s" s="9">
        <v>30</v>
      </c>
      <c r="C3803" t="s" s="9">
        <v>68</v>
      </c>
      <c r="D3803" t="s" s="9">
        <v>43</v>
      </c>
      <c r="E3803" t="s" s="9">
        <v>71</v>
      </c>
      <c r="F3803" s="10">
        <v>455</v>
      </c>
      <c r="G3803" s="10">
        <v>3817144</v>
      </c>
      <c r="H3803" s="11" cm="1">
        <f t="array" ref="H3803">F3803/G3803*100000</f>
        <v>11.9199066108064</v>
      </c>
    </row>
    <row r="3804" ht="13" customHeight="1">
      <c r="A3804" s="8">
        <v>1</v>
      </c>
      <c r="B3804" t="s" s="9">
        <v>30</v>
      </c>
      <c r="C3804" t="s" s="9">
        <v>68</v>
      </c>
      <c r="D3804" t="s" s="9">
        <v>44</v>
      </c>
      <c r="E3804" t="s" s="9">
        <v>71</v>
      </c>
      <c r="F3804" s="10">
        <v>30102</v>
      </c>
      <c r="G3804" s="10">
        <v>13239670</v>
      </c>
      <c r="H3804" s="11" cm="1">
        <f t="array" ref="H3804">F3804/G3804*100000</f>
        <v>227.362162349968</v>
      </c>
    </row>
    <row r="3805" ht="13" customHeight="1">
      <c r="A3805" s="8">
        <v>2</v>
      </c>
      <c r="B3805" t="s" s="9">
        <v>34</v>
      </c>
      <c r="C3805" t="s" s="9">
        <v>68</v>
      </c>
      <c r="D3805" t="s" s="9">
        <v>44</v>
      </c>
      <c r="E3805" t="s" s="9">
        <v>71</v>
      </c>
      <c r="F3805" s="10">
        <v>11828</v>
      </c>
      <c r="G3805" s="10">
        <v>13239670</v>
      </c>
      <c r="H3805" s="11" cm="1">
        <f t="array" ref="H3805">F3805/G3805*100000</f>
        <v>89.3375741238263</v>
      </c>
    </row>
    <row r="3806" ht="13" customHeight="1">
      <c r="A3806" s="8">
        <v>3</v>
      </c>
      <c r="B3806" t="s" s="9">
        <v>35</v>
      </c>
      <c r="C3806" t="s" s="9">
        <v>68</v>
      </c>
      <c r="D3806" t="s" s="9">
        <v>44</v>
      </c>
      <c r="E3806" t="s" s="9">
        <v>71</v>
      </c>
      <c r="F3806" s="10">
        <v>5947</v>
      </c>
      <c r="G3806" s="10">
        <v>13239670</v>
      </c>
      <c r="H3806" s="11" cm="1">
        <f t="array" ref="H3806">F3806/G3806*100000</f>
        <v>44.9180379873516</v>
      </c>
    </row>
    <row r="3807" ht="13" customHeight="1">
      <c r="A3807" s="8">
        <v>4</v>
      </c>
      <c r="B3807" t="s" s="9">
        <v>37</v>
      </c>
      <c r="C3807" t="s" s="9">
        <v>68</v>
      </c>
      <c r="D3807" t="s" s="9">
        <v>44</v>
      </c>
      <c r="E3807" t="s" s="9">
        <v>71</v>
      </c>
      <c r="F3807" s="10">
        <v>4964</v>
      </c>
      <c r="G3807" s="10">
        <v>13239670</v>
      </c>
      <c r="H3807" s="11" cm="1">
        <f t="array" ref="H3807">F3807/G3807*100000</f>
        <v>37.4933816326238</v>
      </c>
    </row>
    <row r="3808" ht="13" customHeight="1">
      <c r="A3808" s="8">
        <v>5</v>
      </c>
      <c r="B3808" t="s" s="9">
        <v>39</v>
      </c>
      <c r="C3808" t="s" s="9">
        <v>68</v>
      </c>
      <c r="D3808" t="s" s="9">
        <v>44</v>
      </c>
      <c r="E3808" t="s" s="9">
        <v>71</v>
      </c>
      <c r="F3808" s="10">
        <v>4173</v>
      </c>
      <c r="G3808" s="10">
        <v>13239670</v>
      </c>
      <c r="H3808" s="11" cm="1">
        <f t="array" ref="H3808">F3808/G3808*100000</f>
        <v>31.518912480447</v>
      </c>
    </row>
    <row r="3809" ht="13" customHeight="1">
      <c r="A3809" s="8">
        <v>6</v>
      </c>
      <c r="B3809" t="s" s="9">
        <v>30</v>
      </c>
      <c r="C3809" t="s" s="9">
        <v>68</v>
      </c>
      <c r="D3809" t="s" s="9">
        <v>44</v>
      </c>
      <c r="E3809" t="s" s="9">
        <v>71</v>
      </c>
      <c r="F3809" s="10">
        <v>2907</v>
      </c>
      <c r="G3809" s="10">
        <v>13239670</v>
      </c>
      <c r="H3809" s="11" cm="1">
        <f t="array" ref="H3809">F3809/G3809*100000</f>
        <v>21.9567406136256</v>
      </c>
    </row>
    <row r="3810" ht="13" customHeight="1">
      <c r="A3810" s="8">
        <v>7</v>
      </c>
      <c r="B3810" t="s" s="9">
        <v>30</v>
      </c>
      <c r="C3810" t="s" s="9">
        <v>68</v>
      </c>
      <c r="D3810" t="s" s="9">
        <v>44</v>
      </c>
      <c r="E3810" t="s" s="9">
        <v>71</v>
      </c>
      <c r="F3810" s="10">
        <v>2708</v>
      </c>
      <c r="G3810" s="10">
        <v>13239670</v>
      </c>
      <c r="H3810" s="11" cm="1">
        <f t="array" ref="H3810">F3810/G3810*100000</f>
        <v>20.4536820026481</v>
      </c>
    </row>
    <row r="3811" ht="13" customHeight="1">
      <c r="A3811" s="8">
        <v>8</v>
      </c>
      <c r="B3811" t="s" s="9">
        <v>30</v>
      </c>
      <c r="C3811" t="s" s="9">
        <v>68</v>
      </c>
      <c r="D3811" t="s" s="9">
        <v>44</v>
      </c>
      <c r="E3811" t="s" s="9">
        <v>71</v>
      </c>
      <c r="F3811" s="10">
        <v>2320</v>
      </c>
      <c r="G3811" s="10">
        <v>13239670</v>
      </c>
      <c r="H3811" s="11" cm="1">
        <f t="array" ref="H3811">F3811/G3811*100000</f>
        <v>17.5230953641594</v>
      </c>
    </row>
    <row r="3812" ht="13" customHeight="1">
      <c r="A3812" s="8">
        <v>9</v>
      </c>
      <c r="B3812" t="s" s="9">
        <v>30</v>
      </c>
      <c r="C3812" t="s" s="9">
        <v>68</v>
      </c>
      <c r="D3812" t="s" s="9">
        <v>44</v>
      </c>
      <c r="E3812" t="s" s="9">
        <v>71</v>
      </c>
      <c r="F3812" s="10">
        <v>2267</v>
      </c>
      <c r="G3812" s="10">
        <v>13239670</v>
      </c>
      <c r="H3812" s="11" cm="1">
        <f t="array" ref="H3812">F3812/G3812*100000</f>
        <v>17.1227832717885</v>
      </c>
    </row>
    <row r="3813" ht="13" customHeight="1">
      <c r="A3813" s="8">
        <v>10</v>
      </c>
      <c r="B3813" t="s" s="9">
        <v>41</v>
      </c>
      <c r="C3813" t="s" s="9">
        <v>68</v>
      </c>
      <c r="D3813" t="s" s="9">
        <v>44</v>
      </c>
      <c r="E3813" t="s" s="9">
        <v>71</v>
      </c>
      <c r="F3813" s="10">
        <v>2146</v>
      </c>
      <c r="G3813" s="10">
        <v>13239670</v>
      </c>
      <c r="H3813" s="11" cm="1">
        <f t="array" ref="H3813">F3813/G3813*100000</f>
        <v>16.2088632118474</v>
      </c>
    </row>
    <row r="3814" ht="13" customHeight="1">
      <c r="A3814" s="8">
        <v>1</v>
      </c>
      <c r="B3814" t="s" s="9">
        <v>30</v>
      </c>
      <c r="C3814" t="s" s="9">
        <v>68</v>
      </c>
      <c r="D3814" t="s" s="9">
        <v>46</v>
      </c>
      <c r="E3814" t="s" s="9">
        <v>71</v>
      </c>
      <c r="F3814" s="10">
        <v>23799</v>
      </c>
      <c r="G3814" s="10">
        <v>17477569</v>
      </c>
      <c r="H3814" s="11" cm="1">
        <f t="array" ref="H3814">F3814/G3814*100000</f>
        <v>136.168823021096</v>
      </c>
    </row>
    <row r="3815" ht="13" customHeight="1">
      <c r="A3815" s="8">
        <v>2</v>
      </c>
      <c r="B3815" t="s" s="9">
        <v>35</v>
      </c>
      <c r="C3815" t="s" s="9">
        <v>68</v>
      </c>
      <c r="D3815" t="s" s="9">
        <v>46</v>
      </c>
      <c r="E3815" t="s" s="9">
        <v>71</v>
      </c>
      <c r="F3815" s="10">
        <v>8690</v>
      </c>
      <c r="G3815" s="10">
        <v>17477569</v>
      </c>
      <c r="H3815" s="11" cm="1">
        <f t="array" ref="H3815">F3815/G3815*100000</f>
        <v>49.7208736523941</v>
      </c>
    </row>
    <row r="3816" ht="13" customHeight="1">
      <c r="A3816" s="8">
        <v>3</v>
      </c>
      <c r="B3816" t="s" s="9">
        <v>30</v>
      </c>
      <c r="C3816" t="s" s="9">
        <v>68</v>
      </c>
      <c r="D3816" t="s" s="9">
        <v>46</v>
      </c>
      <c r="E3816" t="s" s="9">
        <v>71</v>
      </c>
      <c r="F3816" s="10">
        <v>7668</v>
      </c>
      <c r="G3816" s="10">
        <v>17477569</v>
      </c>
      <c r="H3816" s="11" cm="1">
        <f t="array" ref="H3816">F3816/G3816*100000</f>
        <v>43.8733785001793</v>
      </c>
    </row>
    <row r="3817" ht="13" customHeight="1">
      <c r="A3817" s="8">
        <v>4</v>
      </c>
      <c r="B3817" t="s" s="9">
        <v>34</v>
      </c>
      <c r="C3817" t="s" s="9">
        <v>68</v>
      </c>
      <c r="D3817" t="s" s="9">
        <v>46</v>
      </c>
      <c r="E3817" t="s" s="9">
        <v>71</v>
      </c>
      <c r="F3817" s="10">
        <v>5995</v>
      </c>
      <c r="G3817" s="10">
        <v>17477569</v>
      </c>
      <c r="H3817" s="11" cm="1">
        <f t="array" ref="H3817">F3817/G3817*100000</f>
        <v>34.3011090386769</v>
      </c>
    </row>
    <row r="3818" ht="13" customHeight="1">
      <c r="A3818" s="8">
        <v>5</v>
      </c>
      <c r="B3818" t="s" s="9">
        <v>30</v>
      </c>
      <c r="C3818" t="s" s="9">
        <v>68</v>
      </c>
      <c r="D3818" t="s" s="9">
        <v>46</v>
      </c>
      <c r="E3818" t="s" s="9">
        <v>71</v>
      </c>
      <c r="F3818" s="10">
        <v>4841</v>
      </c>
      <c r="G3818" s="10">
        <v>17477569</v>
      </c>
      <c r="H3818" s="11" cm="1">
        <f t="array" ref="H3818">F3818/G3818*100000</f>
        <v>27.6983601094637</v>
      </c>
    </row>
    <row r="3819" ht="13" customHeight="1">
      <c r="A3819" s="8">
        <v>6</v>
      </c>
      <c r="B3819" t="s" s="9">
        <v>41</v>
      </c>
      <c r="C3819" t="s" s="9">
        <v>68</v>
      </c>
      <c r="D3819" t="s" s="9">
        <v>46</v>
      </c>
      <c r="E3819" t="s" s="9">
        <v>71</v>
      </c>
      <c r="F3819" s="10">
        <v>4868</v>
      </c>
      <c r="G3819" s="10">
        <v>17477569</v>
      </c>
      <c r="H3819" s="11" cm="1">
        <f t="array" ref="H3819">F3819/G3819*100000</f>
        <v>27.852843836577</v>
      </c>
    </row>
    <row r="3820" ht="13" customHeight="1">
      <c r="A3820" s="8">
        <v>7</v>
      </c>
      <c r="B3820" t="s" s="9">
        <v>39</v>
      </c>
      <c r="C3820" t="s" s="9">
        <v>68</v>
      </c>
      <c r="D3820" t="s" s="9">
        <v>46</v>
      </c>
      <c r="E3820" t="s" s="9">
        <v>71</v>
      </c>
      <c r="F3820" s="10">
        <v>5001</v>
      </c>
      <c r="G3820" s="10">
        <v>17477569</v>
      </c>
      <c r="H3820" s="11" cm="1">
        <f t="array" ref="H3820">F3820/G3820*100000</f>
        <v>28.6138192330981</v>
      </c>
    </row>
    <row r="3821" ht="13" customHeight="1">
      <c r="A3821" s="8">
        <v>8</v>
      </c>
      <c r="B3821" t="s" s="9">
        <v>30</v>
      </c>
      <c r="C3821" t="s" s="9">
        <v>68</v>
      </c>
      <c r="D3821" t="s" s="9">
        <v>46</v>
      </c>
      <c r="E3821" t="s" s="9">
        <v>71</v>
      </c>
      <c r="F3821" s="10">
        <v>2129</v>
      </c>
      <c r="G3821" s="10">
        <v>17477569</v>
      </c>
      <c r="H3821" s="11" cm="1">
        <f t="array" ref="H3821">F3821/G3821*100000</f>
        <v>12.1813279638604</v>
      </c>
    </row>
    <row r="3822" ht="13" customHeight="1">
      <c r="A3822" s="8">
        <v>9</v>
      </c>
      <c r="B3822" t="s" s="9">
        <v>45</v>
      </c>
      <c r="C3822" t="s" s="9">
        <v>68</v>
      </c>
      <c r="D3822" t="s" s="9">
        <v>46</v>
      </c>
      <c r="E3822" t="s" s="9">
        <v>71</v>
      </c>
      <c r="F3822" s="10">
        <v>2021</v>
      </c>
      <c r="G3822" s="10">
        <v>17477569</v>
      </c>
      <c r="H3822" s="11" cm="1">
        <f t="array" ref="H3822">F3822/G3822*100000</f>
        <v>11.5633930554072</v>
      </c>
    </row>
    <row r="3823" ht="13" customHeight="1">
      <c r="A3823" s="8">
        <v>10</v>
      </c>
      <c r="B3823" t="s" s="9">
        <v>37</v>
      </c>
      <c r="C3823" t="s" s="9">
        <v>68</v>
      </c>
      <c r="D3823" t="s" s="9">
        <v>46</v>
      </c>
      <c r="E3823" t="s" s="9">
        <v>71</v>
      </c>
      <c r="F3823" s="10">
        <v>2288</v>
      </c>
      <c r="G3823" s="10">
        <v>17477569</v>
      </c>
      <c r="H3823" s="11" cm="1">
        <f t="array" ref="H3823">F3823/G3823*100000</f>
        <v>13.0910654679721</v>
      </c>
    </row>
    <row r="3824" ht="13" customHeight="1">
      <c r="A3824" s="8">
        <v>1</v>
      </c>
      <c r="B3824" t="s" s="9">
        <v>30</v>
      </c>
      <c r="C3824" t="s" s="9">
        <v>68</v>
      </c>
      <c r="D3824" t="s" s="9">
        <v>47</v>
      </c>
      <c r="E3824" t="s" s="9">
        <v>71</v>
      </c>
      <c r="F3824" s="10">
        <v>4163</v>
      </c>
      <c r="G3824" s="10">
        <v>3342831</v>
      </c>
      <c r="H3824" s="11" cm="1">
        <f t="array" ref="H3824">F3824/G3824*100000</f>
        <v>124.535161963019</v>
      </c>
    </row>
    <row r="3825" ht="13" customHeight="1">
      <c r="A3825" s="8">
        <v>2</v>
      </c>
      <c r="B3825" t="s" s="9">
        <v>35</v>
      </c>
      <c r="C3825" t="s" s="9">
        <v>68</v>
      </c>
      <c r="D3825" t="s" s="9">
        <v>47</v>
      </c>
      <c r="E3825" t="s" s="9">
        <v>71</v>
      </c>
      <c r="F3825" s="10">
        <v>1854</v>
      </c>
      <c r="G3825" s="10">
        <v>3342831</v>
      </c>
      <c r="H3825" s="11" cm="1">
        <f t="array" ref="H3825">F3825/G3825*100000</f>
        <v>55.4619722026031</v>
      </c>
    </row>
    <row r="3826" ht="13" customHeight="1">
      <c r="A3826" s="8">
        <v>3</v>
      </c>
      <c r="B3826" t="s" s="9">
        <v>34</v>
      </c>
      <c r="C3826" t="s" s="9">
        <v>68</v>
      </c>
      <c r="D3826" t="s" s="9">
        <v>47</v>
      </c>
      <c r="E3826" t="s" s="9">
        <v>71</v>
      </c>
      <c r="F3826" s="10">
        <v>1174</v>
      </c>
      <c r="G3826" s="10">
        <v>3342831</v>
      </c>
      <c r="H3826" s="11" cm="1">
        <f t="array" ref="H3826">F3826/G3826*100000</f>
        <v>35.1199327755426</v>
      </c>
    </row>
    <row r="3827" ht="13" customHeight="1">
      <c r="A3827" s="8">
        <v>4</v>
      </c>
      <c r="B3827" t="s" s="9">
        <v>39</v>
      </c>
      <c r="C3827" t="s" s="9">
        <v>68</v>
      </c>
      <c r="D3827" t="s" s="9">
        <v>47</v>
      </c>
      <c r="E3827" t="s" s="9">
        <v>71</v>
      </c>
      <c r="F3827" s="10">
        <v>911</v>
      </c>
      <c r="G3827" s="10">
        <v>3342831</v>
      </c>
      <c r="H3827" s="11" cm="1">
        <f t="array" ref="H3827">F3827/G3827*100000</f>
        <v>27.2523498794884</v>
      </c>
    </row>
    <row r="3828" ht="13" customHeight="1">
      <c r="A3828" s="8">
        <v>5</v>
      </c>
      <c r="B3828" t="s" s="9">
        <v>30</v>
      </c>
      <c r="C3828" t="s" s="9">
        <v>68</v>
      </c>
      <c r="D3828" t="s" s="9">
        <v>47</v>
      </c>
      <c r="E3828" t="s" s="9">
        <v>71</v>
      </c>
      <c r="F3828" s="10">
        <v>622</v>
      </c>
      <c r="G3828" s="10">
        <v>3342831</v>
      </c>
      <c r="H3828" s="11" cm="1">
        <f t="array" ref="H3828">F3828/G3828*100000</f>
        <v>18.6069831229877</v>
      </c>
    </row>
    <row r="3829" ht="13" customHeight="1">
      <c r="A3829" s="8">
        <v>6</v>
      </c>
      <c r="B3829" t="s" s="9">
        <v>45</v>
      </c>
      <c r="C3829" t="s" s="9">
        <v>68</v>
      </c>
      <c r="D3829" t="s" s="9">
        <v>47</v>
      </c>
      <c r="E3829" t="s" s="9">
        <v>71</v>
      </c>
      <c r="F3829" s="10">
        <v>538</v>
      </c>
      <c r="G3829" s="10">
        <v>3342831</v>
      </c>
      <c r="H3829" s="11" cm="1">
        <f t="array" ref="H3829">F3829/G3829*100000</f>
        <v>16.0941429584684</v>
      </c>
    </row>
    <row r="3830" ht="13" customHeight="1">
      <c r="A3830" s="8">
        <v>7</v>
      </c>
      <c r="B3830" t="s" s="9">
        <v>35</v>
      </c>
      <c r="C3830" t="s" s="9">
        <v>68</v>
      </c>
      <c r="D3830" t="s" s="9">
        <v>47</v>
      </c>
      <c r="E3830" t="s" s="9">
        <v>71</v>
      </c>
      <c r="F3830" s="10">
        <v>357</v>
      </c>
      <c r="G3830" s="10">
        <v>3342831</v>
      </c>
      <c r="H3830" s="11" cm="1">
        <f t="array" ref="H3830">F3830/G3830*100000</f>
        <v>10.6795706992068</v>
      </c>
    </row>
    <row r="3831" ht="13" customHeight="1">
      <c r="A3831" s="8">
        <v>8</v>
      </c>
      <c r="B3831" t="s" s="9">
        <v>30</v>
      </c>
      <c r="C3831" t="s" s="9">
        <v>68</v>
      </c>
      <c r="D3831" t="s" s="9">
        <v>47</v>
      </c>
      <c r="E3831" t="s" s="9">
        <v>71</v>
      </c>
      <c r="F3831" s="10">
        <v>455</v>
      </c>
      <c r="G3831" s="10">
        <v>3342831</v>
      </c>
      <c r="H3831" s="11" cm="1">
        <f t="array" ref="H3831">F3831/G3831*100000</f>
        <v>13.6112175578125</v>
      </c>
    </row>
    <row r="3832" ht="13" customHeight="1">
      <c r="A3832" s="8">
        <v>9</v>
      </c>
      <c r="B3832" t="s" s="9">
        <v>30</v>
      </c>
      <c r="C3832" t="s" s="9">
        <v>68</v>
      </c>
      <c r="D3832" t="s" s="9">
        <v>47</v>
      </c>
      <c r="E3832" t="s" s="9">
        <v>71</v>
      </c>
      <c r="F3832" s="10">
        <v>401</v>
      </c>
      <c r="G3832" s="10">
        <v>3342831</v>
      </c>
      <c r="H3832" s="11" cm="1">
        <f t="array" ref="H3832">F3832/G3832*100000</f>
        <v>11.995820309193</v>
      </c>
    </row>
    <row r="3833" ht="13" customHeight="1">
      <c r="A3833" s="8">
        <v>10</v>
      </c>
      <c r="B3833" t="s" s="9">
        <v>30</v>
      </c>
      <c r="C3833" t="s" s="9">
        <v>68</v>
      </c>
      <c r="D3833" t="s" s="9">
        <v>47</v>
      </c>
      <c r="E3833" t="s" s="9">
        <v>71</v>
      </c>
      <c r="F3833" s="10">
        <v>372</v>
      </c>
      <c r="G3833" s="10">
        <v>3342831</v>
      </c>
      <c r="H3833" s="11" cm="1">
        <f t="array" ref="H3833">F3833/G3833*100000</f>
        <v>11.1282921571566</v>
      </c>
    </row>
    <row r="3834" ht="13" customHeight="1">
      <c r="A3834" s="8">
        <v>1</v>
      </c>
      <c r="B3834" t="s" s="9">
        <v>30</v>
      </c>
      <c r="C3834" t="s" s="9">
        <v>68</v>
      </c>
      <c r="D3834" t="s" s="9">
        <v>49</v>
      </c>
      <c r="E3834" t="s" s="9">
        <v>71</v>
      </c>
      <c r="F3834" s="10">
        <v>11481</v>
      </c>
      <c r="G3834" s="10">
        <v>6397690</v>
      </c>
      <c r="H3834" s="11" cm="1">
        <f t="array" ref="H3834">F3834/G3834*100000</f>
        <v>179.455397182421</v>
      </c>
    </row>
    <row r="3835" ht="13" customHeight="1">
      <c r="A3835" s="8">
        <v>2</v>
      </c>
      <c r="B3835" t="s" s="9">
        <v>34</v>
      </c>
      <c r="C3835" t="s" s="9">
        <v>68</v>
      </c>
      <c r="D3835" t="s" s="9">
        <v>49</v>
      </c>
      <c r="E3835" t="s" s="9">
        <v>71</v>
      </c>
      <c r="F3835" s="10">
        <v>5053</v>
      </c>
      <c r="G3835" s="10">
        <v>6397690</v>
      </c>
      <c r="H3835" s="11" cm="1">
        <f t="array" ref="H3835">F3835/G3835*100000</f>
        <v>78.9816324329563</v>
      </c>
    </row>
    <row r="3836" ht="13" customHeight="1">
      <c r="A3836" s="8">
        <v>3</v>
      </c>
      <c r="B3836" t="s" s="9">
        <v>30</v>
      </c>
      <c r="C3836" t="s" s="9">
        <v>68</v>
      </c>
      <c r="D3836" t="s" s="9">
        <v>49</v>
      </c>
      <c r="E3836" t="s" s="9">
        <v>71</v>
      </c>
      <c r="F3836" s="10">
        <v>2090</v>
      </c>
      <c r="G3836" s="10">
        <v>6397690</v>
      </c>
      <c r="H3836" s="11" cm="1">
        <f t="array" ref="H3836">F3836/G3836*100000</f>
        <v>32.6680411210921</v>
      </c>
    </row>
    <row r="3837" ht="13" customHeight="1">
      <c r="A3837" s="8">
        <v>4</v>
      </c>
      <c r="B3837" t="s" s="9">
        <v>39</v>
      </c>
      <c r="C3837" t="s" s="9">
        <v>68</v>
      </c>
      <c r="D3837" t="s" s="9">
        <v>49</v>
      </c>
      <c r="E3837" t="s" s="9">
        <v>71</v>
      </c>
      <c r="F3837" s="10">
        <v>2211</v>
      </c>
      <c r="G3837" s="10">
        <v>6397690</v>
      </c>
      <c r="H3837" s="11" cm="1">
        <f t="array" ref="H3837">F3837/G3837*100000</f>
        <v>34.5593487649448</v>
      </c>
    </row>
    <row r="3838" ht="13" customHeight="1">
      <c r="A3838" s="8">
        <v>5</v>
      </c>
      <c r="B3838" t="s" s="9">
        <v>30</v>
      </c>
      <c r="C3838" t="s" s="9">
        <v>68</v>
      </c>
      <c r="D3838" t="s" s="9">
        <v>49</v>
      </c>
      <c r="E3838" t="s" s="9">
        <v>71</v>
      </c>
      <c r="F3838" s="10">
        <v>1599</v>
      </c>
      <c r="G3838" s="10">
        <v>6397690</v>
      </c>
      <c r="H3838" s="11" cm="1">
        <f t="array" ref="H3838">F3838/G3838*100000</f>
        <v>24.9933960538882</v>
      </c>
    </row>
    <row r="3839" ht="13" customHeight="1">
      <c r="A3839" s="8">
        <v>6</v>
      </c>
      <c r="B3839" t="s" s="9">
        <v>35</v>
      </c>
      <c r="C3839" t="s" s="9">
        <v>68</v>
      </c>
      <c r="D3839" t="s" s="9">
        <v>49</v>
      </c>
      <c r="E3839" t="s" s="9">
        <v>71</v>
      </c>
      <c r="F3839" s="10">
        <v>1635</v>
      </c>
      <c r="G3839" s="10">
        <v>6397690</v>
      </c>
      <c r="H3839" s="11" cm="1">
        <f t="array" ref="H3839">F3839/G3839*100000</f>
        <v>25.5560991545386</v>
      </c>
    </row>
    <row r="3840" ht="13" customHeight="1">
      <c r="A3840" s="8">
        <v>7</v>
      </c>
      <c r="B3840" t="s" s="9">
        <v>30</v>
      </c>
      <c r="C3840" t="s" s="9">
        <v>68</v>
      </c>
      <c r="D3840" t="s" s="9">
        <v>49</v>
      </c>
      <c r="E3840" t="s" s="9">
        <v>71</v>
      </c>
      <c r="F3840" s="10">
        <v>1029</v>
      </c>
      <c r="G3840" s="10">
        <v>6397690</v>
      </c>
      <c r="H3840" s="11" cm="1">
        <f t="array" ref="H3840">F3840/G3840*100000</f>
        <v>16.0839302935903</v>
      </c>
    </row>
    <row r="3841" ht="13" customHeight="1">
      <c r="A3841" s="8">
        <v>8</v>
      </c>
      <c r="B3841" t="s" s="9">
        <v>36</v>
      </c>
      <c r="C3841" t="s" s="9">
        <v>68</v>
      </c>
      <c r="D3841" t="s" s="9">
        <v>49</v>
      </c>
      <c r="E3841" t="s" s="9">
        <v>71</v>
      </c>
      <c r="F3841" s="10">
        <v>855</v>
      </c>
      <c r="G3841" s="10">
        <v>6397690</v>
      </c>
      <c r="H3841" s="11" cm="1">
        <f t="array" ref="H3841">F3841/G3841*100000</f>
        <v>13.3641986404468</v>
      </c>
    </row>
    <row r="3842" ht="13" customHeight="1">
      <c r="A3842" s="8">
        <v>9</v>
      </c>
      <c r="B3842" t="s" s="9">
        <v>30</v>
      </c>
      <c r="C3842" t="s" s="9">
        <v>68</v>
      </c>
      <c r="D3842" t="s" s="9">
        <v>49</v>
      </c>
      <c r="E3842" t="s" s="9">
        <v>71</v>
      </c>
      <c r="F3842" s="10">
        <v>891</v>
      </c>
      <c r="G3842" s="10">
        <v>6397690</v>
      </c>
      <c r="H3842" s="11" cm="1">
        <f t="array" ref="H3842">F3842/G3842*100000</f>
        <v>13.9269017410972</v>
      </c>
    </row>
    <row r="3843" ht="13" customHeight="1">
      <c r="A3843" s="8">
        <v>10</v>
      </c>
      <c r="B3843" t="s" s="9">
        <v>37</v>
      </c>
      <c r="C3843" t="s" s="9">
        <v>68</v>
      </c>
      <c r="D3843" t="s" s="9">
        <v>49</v>
      </c>
      <c r="E3843" t="s" s="9">
        <v>71</v>
      </c>
      <c r="F3843" s="10">
        <v>946</v>
      </c>
      <c r="G3843" s="10">
        <v>6397690</v>
      </c>
      <c r="H3843" s="11" cm="1">
        <f t="array" ref="H3843">F3843/G3843*100000</f>
        <v>14.7865870337575</v>
      </c>
    </row>
    <row r="3844" ht="13.65" customHeight="1">
      <c r="A3844" s="8">
        <v>1</v>
      </c>
      <c r="B3844" t="s" s="9">
        <v>30</v>
      </c>
      <c r="C3844" t="s" s="9">
        <v>68</v>
      </c>
      <c r="D3844" t="s" s="9">
        <v>51</v>
      </c>
      <c r="E3844" t="s" s="9">
        <v>71</v>
      </c>
      <c r="F3844" s="10">
        <v>5182</v>
      </c>
      <c r="G3844" s="12"/>
      <c r="H3844" s="13"/>
    </row>
    <row r="3845" ht="13.65" customHeight="1">
      <c r="A3845" s="8">
        <v>2</v>
      </c>
      <c r="B3845" t="s" s="9">
        <v>34</v>
      </c>
      <c r="C3845" t="s" s="9">
        <v>68</v>
      </c>
      <c r="D3845" t="s" s="9">
        <v>51</v>
      </c>
      <c r="E3845" t="s" s="9">
        <v>71</v>
      </c>
      <c r="F3845" s="10">
        <v>3338</v>
      </c>
      <c r="G3845" s="14"/>
      <c r="H3845" s="15"/>
    </row>
    <row r="3846" ht="13.65" customHeight="1">
      <c r="A3846" s="8">
        <v>3</v>
      </c>
      <c r="B3846" t="s" s="9">
        <v>30</v>
      </c>
      <c r="C3846" t="s" s="9">
        <v>68</v>
      </c>
      <c r="D3846" t="s" s="9">
        <v>51</v>
      </c>
      <c r="E3846" t="s" s="9">
        <v>71</v>
      </c>
      <c r="F3846" s="10">
        <v>1599</v>
      </c>
      <c r="G3846" s="14"/>
      <c r="H3846" s="15"/>
    </row>
    <row r="3847" ht="13.65" customHeight="1">
      <c r="A3847" s="8">
        <v>4</v>
      </c>
      <c r="B3847" t="s" s="9">
        <v>35</v>
      </c>
      <c r="C3847" t="s" s="9">
        <v>68</v>
      </c>
      <c r="D3847" t="s" s="9">
        <v>51</v>
      </c>
      <c r="E3847" t="s" s="9">
        <v>71</v>
      </c>
      <c r="F3847" s="10">
        <v>977</v>
      </c>
      <c r="G3847" s="14"/>
      <c r="H3847" s="15"/>
    </row>
    <row r="3848" ht="13.65" customHeight="1">
      <c r="A3848" s="8">
        <v>5</v>
      </c>
      <c r="B3848" t="s" s="9">
        <v>39</v>
      </c>
      <c r="C3848" t="s" s="9">
        <v>68</v>
      </c>
      <c r="D3848" t="s" s="9">
        <v>51</v>
      </c>
      <c r="E3848" t="s" s="9">
        <v>71</v>
      </c>
      <c r="F3848" s="10">
        <v>1027</v>
      </c>
      <c r="G3848" s="14"/>
      <c r="H3848" s="15"/>
    </row>
    <row r="3849" ht="13.65" customHeight="1">
      <c r="A3849" s="8">
        <v>6</v>
      </c>
      <c r="B3849" t="s" s="9">
        <v>45</v>
      </c>
      <c r="C3849" t="s" s="9">
        <v>68</v>
      </c>
      <c r="D3849" t="s" s="9">
        <v>51</v>
      </c>
      <c r="E3849" t="s" s="9">
        <v>71</v>
      </c>
      <c r="F3849" s="10">
        <v>650</v>
      </c>
      <c r="G3849" s="14"/>
      <c r="H3849" s="15"/>
    </row>
    <row r="3850" ht="13.65" customHeight="1">
      <c r="A3850" s="8">
        <v>7</v>
      </c>
      <c r="B3850" t="s" s="9">
        <v>41</v>
      </c>
      <c r="C3850" t="s" s="9">
        <v>68</v>
      </c>
      <c r="D3850" t="s" s="9">
        <v>51</v>
      </c>
      <c r="E3850" t="s" s="9">
        <v>71</v>
      </c>
      <c r="F3850" s="10">
        <v>720</v>
      </c>
      <c r="G3850" s="14"/>
      <c r="H3850" s="15"/>
    </row>
    <row r="3851" ht="13.65" customHeight="1">
      <c r="A3851" s="8">
        <v>8</v>
      </c>
      <c r="B3851" t="s" s="9">
        <v>37</v>
      </c>
      <c r="C3851" t="s" s="9">
        <v>68</v>
      </c>
      <c r="D3851" t="s" s="9">
        <v>51</v>
      </c>
      <c r="E3851" t="s" s="9">
        <v>71</v>
      </c>
      <c r="F3851" s="10">
        <v>703</v>
      </c>
      <c r="G3851" s="14"/>
      <c r="H3851" s="15"/>
    </row>
    <row r="3852" ht="13.65" customHeight="1">
      <c r="A3852" s="8">
        <v>9</v>
      </c>
      <c r="B3852" t="s" s="9">
        <v>30</v>
      </c>
      <c r="C3852" t="s" s="9">
        <v>68</v>
      </c>
      <c r="D3852" t="s" s="9">
        <v>51</v>
      </c>
      <c r="E3852" t="s" s="9">
        <v>71</v>
      </c>
      <c r="F3852" s="10">
        <v>578</v>
      </c>
      <c r="G3852" s="14"/>
      <c r="H3852" s="15"/>
    </row>
    <row r="3853" ht="13.65" customHeight="1">
      <c r="A3853" s="8">
        <v>10</v>
      </c>
      <c r="B3853" t="s" s="9">
        <v>30</v>
      </c>
      <c r="C3853" t="s" s="9">
        <v>68</v>
      </c>
      <c r="D3853" t="s" s="9">
        <v>51</v>
      </c>
      <c r="E3853" t="s" s="9">
        <v>71</v>
      </c>
      <c r="F3853" s="10">
        <v>365</v>
      </c>
      <c r="G3853" s="14"/>
      <c r="H3853" s="15"/>
    </row>
    <row r="3854" ht="13.65" customHeight="1">
      <c r="A3854" s="8">
        <v>1</v>
      </c>
      <c r="B3854" t="s" s="9">
        <v>35</v>
      </c>
      <c r="C3854" t="s" s="9">
        <v>68</v>
      </c>
      <c r="D3854" t="s" s="9">
        <v>52</v>
      </c>
      <c r="E3854" t="s" s="9">
        <v>71</v>
      </c>
      <c r="F3854" s="10">
        <v>5877</v>
      </c>
      <c r="G3854" s="14"/>
      <c r="H3854" s="15"/>
    </row>
    <row r="3855" ht="13.65" customHeight="1">
      <c r="A3855" s="8">
        <v>2</v>
      </c>
      <c r="B3855" t="s" s="9">
        <v>30</v>
      </c>
      <c r="C3855" t="s" s="9">
        <v>68</v>
      </c>
      <c r="D3855" t="s" s="9">
        <v>52</v>
      </c>
      <c r="E3855" t="s" s="9">
        <v>71</v>
      </c>
      <c r="F3855" s="10">
        <v>6097</v>
      </c>
      <c r="G3855" s="14"/>
      <c r="H3855" s="15"/>
    </row>
    <row r="3856" ht="13.65" customHeight="1">
      <c r="A3856" s="8">
        <v>3</v>
      </c>
      <c r="B3856" t="s" s="9">
        <v>30</v>
      </c>
      <c r="C3856" t="s" s="9">
        <v>68</v>
      </c>
      <c r="D3856" t="s" s="9">
        <v>52</v>
      </c>
      <c r="E3856" t="s" s="9">
        <v>71</v>
      </c>
      <c r="F3856" s="10">
        <v>2119</v>
      </c>
      <c r="G3856" s="14"/>
      <c r="H3856" s="15"/>
    </row>
    <row r="3857" ht="13.65" customHeight="1">
      <c r="A3857" s="8">
        <v>4</v>
      </c>
      <c r="B3857" t="s" s="9">
        <v>34</v>
      </c>
      <c r="C3857" t="s" s="9">
        <v>68</v>
      </c>
      <c r="D3857" t="s" s="9">
        <v>52</v>
      </c>
      <c r="E3857" t="s" s="9">
        <v>71</v>
      </c>
      <c r="F3857" s="10">
        <v>2497</v>
      </c>
      <c r="G3857" s="14"/>
      <c r="H3857" s="15"/>
    </row>
    <row r="3858" ht="13.65" customHeight="1">
      <c r="A3858" s="8">
        <v>5</v>
      </c>
      <c r="B3858" t="s" s="9">
        <v>39</v>
      </c>
      <c r="C3858" t="s" s="9">
        <v>68</v>
      </c>
      <c r="D3858" t="s" s="9">
        <v>52</v>
      </c>
      <c r="E3858" t="s" s="9">
        <v>71</v>
      </c>
      <c r="F3858" s="10">
        <v>1413</v>
      </c>
      <c r="G3858" s="14"/>
      <c r="H3858" s="15"/>
    </row>
    <row r="3859" ht="13.65" customHeight="1">
      <c r="A3859" s="8">
        <v>6</v>
      </c>
      <c r="B3859" t="s" s="9">
        <v>36</v>
      </c>
      <c r="C3859" t="s" s="9">
        <v>68</v>
      </c>
      <c r="D3859" t="s" s="9">
        <v>52</v>
      </c>
      <c r="E3859" t="s" s="9">
        <v>71</v>
      </c>
      <c r="F3859" s="10">
        <v>745</v>
      </c>
      <c r="G3859" s="14"/>
      <c r="H3859" s="15"/>
    </row>
    <row r="3860" ht="13.65" customHeight="1">
      <c r="A3860" s="8">
        <v>7</v>
      </c>
      <c r="B3860" t="s" s="9">
        <v>35</v>
      </c>
      <c r="C3860" t="s" s="9">
        <v>68</v>
      </c>
      <c r="D3860" t="s" s="9">
        <v>52</v>
      </c>
      <c r="E3860" t="s" s="9">
        <v>71</v>
      </c>
      <c r="F3860" s="10">
        <v>505</v>
      </c>
      <c r="G3860" s="14"/>
      <c r="H3860" s="15"/>
    </row>
    <row r="3861" ht="13.65" customHeight="1">
      <c r="A3861" s="8">
        <v>8</v>
      </c>
      <c r="B3861" t="s" s="9">
        <v>45</v>
      </c>
      <c r="C3861" t="s" s="9">
        <v>68</v>
      </c>
      <c r="D3861" t="s" s="9">
        <v>52</v>
      </c>
      <c r="E3861" t="s" s="9">
        <v>71</v>
      </c>
      <c r="F3861" s="10">
        <v>664</v>
      </c>
      <c r="G3861" s="14"/>
      <c r="H3861" s="15"/>
    </row>
    <row r="3862" ht="13.65" customHeight="1">
      <c r="A3862" s="8">
        <v>9</v>
      </c>
      <c r="B3862" t="s" s="9">
        <v>30</v>
      </c>
      <c r="C3862" t="s" s="9">
        <v>68</v>
      </c>
      <c r="D3862" t="s" s="9">
        <v>52</v>
      </c>
      <c r="E3862" t="s" s="9">
        <v>71</v>
      </c>
      <c r="F3862" s="10">
        <v>687</v>
      </c>
      <c r="G3862" s="14"/>
      <c r="H3862" s="15"/>
    </row>
    <row r="3863" ht="13.65" customHeight="1">
      <c r="A3863" s="8">
        <v>10</v>
      </c>
      <c r="B3863" t="s" s="9">
        <v>30</v>
      </c>
      <c r="C3863" t="s" s="9">
        <v>68</v>
      </c>
      <c r="D3863" t="s" s="9">
        <v>52</v>
      </c>
      <c r="E3863" t="s" s="9">
        <v>71</v>
      </c>
      <c r="F3863" s="10">
        <v>601</v>
      </c>
      <c r="G3863" s="16"/>
      <c r="H3863" s="17"/>
    </row>
    <row r="3864" ht="13" customHeight="1">
      <c r="A3864" s="8">
        <v>1</v>
      </c>
      <c r="B3864" t="s" s="9">
        <v>30</v>
      </c>
      <c r="C3864" t="s" s="9">
        <v>68</v>
      </c>
      <c r="D3864" t="s" s="9">
        <v>53</v>
      </c>
      <c r="E3864" t="s" s="9">
        <v>71</v>
      </c>
      <c r="F3864" s="10">
        <v>6354</v>
      </c>
      <c r="G3864" s="10">
        <v>5049226</v>
      </c>
      <c r="H3864" s="11" cm="1">
        <f t="array" ref="H3864">F3864/G3864*100000</f>
        <v>125.841069502534</v>
      </c>
    </row>
    <row r="3865" ht="13" customHeight="1">
      <c r="A3865" s="8">
        <v>2</v>
      </c>
      <c r="B3865" t="s" s="9">
        <v>34</v>
      </c>
      <c r="C3865" t="s" s="9">
        <v>68</v>
      </c>
      <c r="D3865" t="s" s="9">
        <v>53</v>
      </c>
      <c r="E3865" t="s" s="9">
        <v>71</v>
      </c>
      <c r="F3865" s="10">
        <v>3827</v>
      </c>
      <c r="G3865" s="10">
        <v>5049226</v>
      </c>
      <c r="H3865" s="11" cm="1">
        <f t="array" ref="H3865">F3865/G3865*100000</f>
        <v>75.79379493015369</v>
      </c>
    </row>
    <row r="3866" ht="13" customHeight="1">
      <c r="A3866" s="8">
        <v>3</v>
      </c>
      <c r="B3866" t="s" s="9">
        <v>35</v>
      </c>
      <c r="C3866" t="s" s="9">
        <v>68</v>
      </c>
      <c r="D3866" t="s" s="9">
        <v>53</v>
      </c>
      <c r="E3866" t="s" s="9">
        <v>71</v>
      </c>
      <c r="F3866" s="10">
        <v>2771</v>
      </c>
      <c r="G3866" s="10">
        <v>5049226</v>
      </c>
      <c r="H3866" s="11" cm="1">
        <f t="array" ref="H3866">F3866/G3866*100000</f>
        <v>54.8796983933775</v>
      </c>
    </row>
    <row r="3867" ht="13" customHeight="1">
      <c r="A3867" s="8">
        <v>4</v>
      </c>
      <c r="B3867" t="s" s="9">
        <v>30</v>
      </c>
      <c r="C3867" t="s" s="9">
        <v>68</v>
      </c>
      <c r="D3867" t="s" s="9">
        <v>53</v>
      </c>
      <c r="E3867" t="s" s="9">
        <v>71</v>
      </c>
      <c r="F3867" s="10">
        <v>2131</v>
      </c>
      <c r="G3867" s="10">
        <v>5049226</v>
      </c>
      <c r="H3867" s="11" cm="1">
        <f t="array" ref="H3867">F3867/G3867*100000</f>
        <v>42.204488371089</v>
      </c>
    </row>
    <row r="3868" ht="13" customHeight="1">
      <c r="A3868" s="8">
        <v>5</v>
      </c>
      <c r="B3868" t="s" s="9">
        <v>30</v>
      </c>
      <c r="C3868" t="s" s="9">
        <v>68</v>
      </c>
      <c r="D3868" t="s" s="9">
        <v>53</v>
      </c>
      <c r="E3868" t="s" s="9">
        <v>71</v>
      </c>
      <c r="F3868" s="10">
        <v>1722</v>
      </c>
      <c r="G3868" s="10">
        <v>5049226</v>
      </c>
      <c r="H3868" s="11" cm="1">
        <f t="array" ref="H3868">F3868/G3868*100000</f>
        <v>34.1042369662202</v>
      </c>
    </row>
    <row r="3869" ht="13" customHeight="1">
      <c r="A3869" s="8">
        <v>6</v>
      </c>
      <c r="B3869" t="s" s="9">
        <v>39</v>
      </c>
      <c r="C3869" t="s" s="9">
        <v>68</v>
      </c>
      <c r="D3869" t="s" s="9">
        <v>53</v>
      </c>
      <c r="E3869" t="s" s="9">
        <v>71</v>
      </c>
      <c r="F3869" s="10">
        <v>1321</v>
      </c>
      <c r="G3869" s="10">
        <v>5049226</v>
      </c>
      <c r="H3869" s="11" cm="1">
        <f t="array" ref="H3869">F3869/G3869*100000</f>
        <v>26.162425686630</v>
      </c>
    </row>
    <row r="3870" ht="13" customHeight="1">
      <c r="A3870" s="8">
        <v>7</v>
      </c>
      <c r="B3870" t="s" s="9">
        <v>36</v>
      </c>
      <c r="C3870" t="s" s="9">
        <v>68</v>
      </c>
      <c r="D3870" t="s" s="9">
        <v>53</v>
      </c>
      <c r="E3870" t="s" s="9">
        <v>71</v>
      </c>
      <c r="F3870" s="10">
        <v>725</v>
      </c>
      <c r="G3870" s="10">
        <v>5049226</v>
      </c>
      <c r="H3870" s="11" cm="1">
        <f t="array" ref="H3870">F3870/G3870*100000</f>
        <v>14.3586363533738</v>
      </c>
    </row>
    <row r="3871" ht="13" customHeight="1">
      <c r="A3871" s="8">
        <v>8</v>
      </c>
      <c r="B3871" t="s" s="9">
        <v>41</v>
      </c>
      <c r="C3871" t="s" s="9">
        <v>68</v>
      </c>
      <c r="D3871" t="s" s="9">
        <v>53</v>
      </c>
      <c r="E3871" t="s" s="9">
        <v>71</v>
      </c>
      <c r="F3871" s="10">
        <v>759</v>
      </c>
      <c r="G3871" s="10">
        <v>5049226</v>
      </c>
      <c r="H3871" s="11" cm="1">
        <f t="array" ref="H3871">F3871/G3871*100000</f>
        <v>15.0320068858078</v>
      </c>
    </row>
    <row r="3872" ht="13" customHeight="1">
      <c r="A3872" s="8">
        <v>9</v>
      </c>
      <c r="B3872" t="s" s="9">
        <v>35</v>
      </c>
      <c r="C3872" t="s" s="9">
        <v>68</v>
      </c>
      <c r="D3872" t="s" s="9">
        <v>53</v>
      </c>
      <c r="E3872" t="s" s="9">
        <v>71</v>
      </c>
      <c r="F3872" s="10">
        <v>495</v>
      </c>
      <c r="G3872" s="10">
        <v>5049226</v>
      </c>
      <c r="H3872" s="11" cm="1">
        <f t="array" ref="H3872">F3872/G3872*100000</f>
        <v>9.80348275161381</v>
      </c>
    </row>
    <row r="3873" ht="13" customHeight="1">
      <c r="A3873" s="8">
        <v>10</v>
      </c>
      <c r="B3873" t="s" s="9">
        <v>36</v>
      </c>
      <c r="C3873" t="s" s="9">
        <v>68</v>
      </c>
      <c r="D3873" t="s" s="9">
        <v>53</v>
      </c>
      <c r="E3873" t="s" s="9">
        <v>71</v>
      </c>
      <c r="F3873" s="10">
        <v>627</v>
      </c>
      <c r="G3873" s="10">
        <v>5049226</v>
      </c>
      <c r="H3873" s="11" cm="1">
        <f t="array" ref="H3873">F3873/G3873*100000</f>
        <v>12.4177448187108</v>
      </c>
    </row>
    <row r="3874" ht="13" customHeight="1">
      <c r="A3874" s="8">
        <v>1</v>
      </c>
      <c r="B3874" t="s" s="9">
        <v>30</v>
      </c>
      <c r="C3874" t="s" s="9">
        <v>68</v>
      </c>
      <c r="D3874" t="s" s="9">
        <v>54</v>
      </c>
      <c r="E3874" t="s" s="9">
        <v>71</v>
      </c>
      <c r="F3874" s="10">
        <v>3640</v>
      </c>
      <c r="G3874" s="10">
        <v>3901529</v>
      </c>
      <c r="H3874" s="11" cm="1">
        <f t="array" ref="H3874">F3874/G3874*100000</f>
        <v>93.2967562204459</v>
      </c>
    </row>
    <row r="3875" ht="13" customHeight="1">
      <c r="A3875" s="8">
        <v>2</v>
      </c>
      <c r="B3875" t="s" s="9">
        <v>34</v>
      </c>
      <c r="C3875" t="s" s="9">
        <v>68</v>
      </c>
      <c r="D3875" t="s" s="9">
        <v>54</v>
      </c>
      <c r="E3875" t="s" s="9">
        <v>71</v>
      </c>
      <c r="F3875" s="10">
        <v>1244</v>
      </c>
      <c r="G3875" s="10">
        <v>3901529</v>
      </c>
      <c r="H3875" s="11" cm="1">
        <f t="array" ref="H3875">F3875/G3875*100000</f>
        <v>31.8849353676469</v>
      </c>
    </row>
    <row r="3876" ht="13" customHeight="1">
      <c r="A3876" s="8">
        <v>3</v>
      </c>
      <c r="B3876" t="s" s="9">
        <v>35</v>
      </c>
      <c r="C3876" t="s" s="9">
        <v>68</v>
      </c>
      <c r="D3876" t="s" s="9">
        <v>54</v>
      </c>
      <c r="E3876" t="s" s="9">
        <v>71</v>
      </c>
      <c r="F3876" s="10">
        <v>971</v>
      </c>
      <c r="G3876" s="10">
        <v>3901529</v>
      </c>
      <c r="H3876" s="11" cm="1">
        <f t="array" ref="H3876">F3876/G3876*100000</f>
        <v>24.8876786511134</v>
      </c>
    </row>
    <row r="3877" ht="13" customHeight="1">
      <c r="A3877" s="8">
        <v>4</v>
      </c>
      <c r="B3877" t="s" s="9">
        <v>41</v>
      </c>
      <c r="C3877" t="s" s="9">
        <v>68</v>
      </c>
      <c r="D3877" t="s" s="9">
        <v>54</v>
      </c>
      <c r="E3877" t="s" s="9">
        <v>71</v>
      </c>
      <c r="F3877" s="10">
        <v>1011</v>
      </c>
      <c r="G3877" s="10">
        <v>3901529</v>
      </c>
      <c r="H3877" s="11" cm="1">
        <f t="array" ref="H3877">F3877/G3877*100000</f>
        <v>25.912917730459</v>
      </c>
    </row>
    <row r="3878" ht="13" customHeight="1">
      <c r="A3878" s="8">
        <v>5</v>
      </c>
      <c r="B3878" t="s" s="9">
        <v>30</v>
      </c>
      <c r="C3878" t="s" s="9">
        <v>68</v>
      </c>
      <c r="D3878" t="s" s="9">
        <v>54</v>
      </c>
      <c r="E3878" t="s" s="9">
        <v>71</v>
      </c>
      <c r="F3878" s="10">
        <v>781</v>
      </c>
      <c r="G3878" s="10">
        <v>3901529</v>
      </c>
      <c r="H3878" s="11" cm="1">
        <f t="array" ref="H3878">F3878/G3878*100000</f>
        <v>20.017793024222</v>
      </c>
    </row>
    <row r="3879" ht="13" customHeight="1">
      <c r="A3879" s="8">
        <v>6</v>
      </c>
      <c r="B3879" t="s" s="9">
        <v>30</v>
      </c>
      <c r="C3879" t="s" s="9">
        <v>68</v>
      </c>
      <c r="D3879" t="s" s="9">
        <v>54</v>
      </c>
      <c r="E3879" t="s" s="9">
        <v>71</v>
      </c>
      <c r="F3879" s="10">
        <v>791</v>
      </c>
      <c r="G3879" s="10">
        <v>3901529</v>
      </c>
      <c r="H3879" s="11" cm="1">
        <f t="array" ref="H3879">F3879/G3879*100000</f>
        <v>20.2741027940584</v>
      </c>
    </row>
    <row r="3880" ht="13" customHeight="1">
      <c r="A3880" s="8">
        <v>7</v>
      </c>
      <c r="B3880" t="s" s="9">
        <v>30</v>
      </c>
      <c r="C3880" t="s" s="9">
        <v>68</v>
      </c>
      <c r="D3880" t="s" s="9">
        <v>54</v>
      </c>
      <c r="E3880" t="s" s="9">
        <v>71</v>
      </c>
      <c r="F3880" s="10">
        <v>776</v>
      </c>
      <c r="G3880" s="10">
        <v>3901529</v>
      </c>
      <c r="H3880" s="11" cm="1">
        <f t="array" ref="H3880">F3880/G3880*100000</f>
        <v>19.8896381393038</v>
      </c>
    </row>
    <row r="3881" ht="13" customHeight="1">
      <c r="A3881" s="8">
        <v>8</v>
      </c>
      <c r="B3881" t="s" s="9">
        <v>41</v>
      </c>
      <c r="C3881" t="s" s="9">
        <v>68</v>
      </c>
      <c r="D3881" t="s" s="9">
        <v>54</v>
      </c>
      <c r="E3881" t="s" s="9">
        <v>71</v>
      </c>
      <c r="F3881" s="10">
        <v>746</v>
      </c>
      <c r="G3881" s="10">
        <v>3901529</v>
      </c>
      <c r="H3881" s="11" cm="1">
        <f t="array" ref="H3881">F3881/G3881*100000</f>
        <v>19.1207088297947</v>
      </c>
    </row>
    <row r="3882" ht="13" customHeight="1">
      <c r="A3882" s="8">
        <v>9</v>
      </c>
      <c r="B3882" t="s" s="9">
        <v>35</v>
      </c>
      <c r="C3882" t="s" s="9">
        <v>68</v>
      </c>
      <c r="D3882" t="s" s="9">
        <v>54</v>
      </c>
      <c r="E3882" t="s" s="9">
        <v>71</v>
      </c>
      <c r="F3882" s="10">
        <v>440</v>
      </c>
      <c r="G3882" s="10">
        <v>3901529</v>
      </c>
      <c r="H3882" s="11" cm="1">
        <f t="array" ref="H3882">F3882/G3882*100000</f>
        <v>11.2776298728012</v>
      </c>
    </row>
    <row r="3883" ht="13" customHeight="1">
      <c r="A3883" s="8">
        <v>10</v>
      </c>
      <c r="B3883" t="s" s="9">
        <v>39</v>
      </c>
      <c r="C3883" t="s" s="9">
        <v>68</v>
      </c>
      <c r="D3883" t="s" s="9">
        <v>54</v>
      </c>
      <c r="E3883" t="s" s="9">
        <v>71</v>
      </c>
      <c r="F3883" s="10">
        <v>638</v>
      </c>
      <c r="G3883" s="10">
        <v>3901529</v>
      </c>
      <c r="H3883" s="11" cm="1">
        <f t="array" ref="H3883">F3883/G3883*100000</f>
        <v>16.3525633155617</v>
      </c>
    </row>
    <row r="3884" ht="13" customHeight="1">
      <c r="A3884" s="8">
        <v>1</v>
      </c>
      <c r="B3884" t="s" s="9">
        <v>30</v>
      </c>
      <c r="C3884" t="s" s="9">
        <v>68</v>
      </c>
      <c r="D3884" t="s" s="9">
        <v>55</v>
      </c>
      <c r="E3884" t="s" s="9">
        <v>71</v>
      </c>
      <c r="F3884" s="10">
        <v>6194</v>
      </c>
      <c r="G3884" s="10">
        <v>5273604</v>
      </c>
      <c r="H3884" s="11" cm="1">
        <f t="array" ref="H3884">F3884/G3884*100000</f>
        <v>117.452884213528</v>
      </c>
    </row>
    <row r="3885" ht="13" customHeight="1">
      <c r="A3885" s="8">
        <v>2</v>
      </c>
      <c r="B3885" t="s" s="9">
        <v>35</v>
      </c>
      <c r="C3885" t="s" s="9">
        <v>68</v>
      </c>
      <c r="D3885" t="s" s="9">
        <v>55</v>
      </c>
      <c r="E3885" t="s" s="9">
        <v>71</v>
      </c>
      <c r="F3885" s="10">
        <v>2489</v>
      </c>
      <c r="G3885" s="10">
        <v>5273604</v>
      </c>
      <c r="H3885" s="11" cm="1">
        <f t="array" ref="H3885">F3885/G3885*100000</f>
        <v>47.1973246379516</v>
      </c>
    </row>
    <row r="3886" ht="13" customHeight="1">
      <c r="A3886" s="8">
        <v>3</v>
      </c>
      <c r="B3886" t="s" s="9">
        <v>35</v>
      </c>
      <c r="C3886" t="s" s="9">
        <v>68</v>
      </c>
      <c r="D3886" t="s" s="9">
        <v>55</v>
      </c>
      <c r="E3886" t="s" s="9">
        <v>71</v>
      </c>
      <c r="F3886" s="10">
        <v>2076</v>
      </c>
      <c r="G3886" s="10">
        <v>5273604</v>
      </c>
      <c r="H3886" s="11" cm="1">
        <f t="array" ref="H3886">F3886/G3886*100000</f>
        <v>39.3658681994325</v>
      </c>
    </row>
    <row r="3887" ht="13" customHeight="1">
      <c r="A3887" s="8">
        <v>4</v>
      </c>
      <c r="B3887" t="s" s="9">
        <v>30</v>
      </c>
      <c r="C3887" t="s" s="9">
        <v>68</v>
      </c>
      <c r="D3887" t="s" s="9">
        <v>55</v>
      </c>
      <c r="E3887" t="s" s="9">
        <v>71</v>
      </c>
      <c r="F3887" s="10">
        <v>2187</v>
      </c>
      <c r="G3887" s="10">
        <v>5273604</v>
      </c>
      <c r="H3887" s="11" cm="1">
        <f t="array" ref="H3887">F3887/G3887*100000</f>
        <v>41.4706906320611</v>
      </c>
    </row>
    <row r="3888" ht="13" customHeight="1">
      <c r="A3888" s="8">
        <v>5</v>
      </c>
      <c r="B3888" t="s" s="9">
        <v>34</v>
      </c>
      <c r="C3888" t="s" s="9">
        <v>68</v>
      </c>
      <c r="D3888" t="s" s="9">
        <v>55</v>
      </c>
      <c r="E3888" t="s" s="9">
        <v>71</v>
      </c>
      <c r="F3888" s="10">
        <v>1390</v>
      </c>
      <c r="G3888" s="10">
        <v>5273604</v>
      </c>
      <c r="H3888" s="11" cm="1">
        <f t="array" ref="H3888">F3888/G3888*100000</f>
        <v>26.3576863185025</v>
      </c>
    </row>
    <row r="3889" ht="13" customHeight="1">
      <c r="A3889" s="8">
        <v>6</v>
      </c>
      <c r="B3889" t="s" s="9">
        <v>39</v>
      </c>
      <c r="C3889" t="s" s="9">
        <v>68</v>
      </c>
      <c r="D3889" t="s" s="9">
        <v>55</v>
      </c>
      <c r="E3889" t="s" s="9">
        <v>71</v>
      </c>
      <c r="F3889" s="10">
        <v>992</v>
      </c>
      <c r="G3889" s="10">
        <v>5273604</v>
      </c>
      <c r="H3889" s="11" cm="1">
        <f t="array" ref="H3889">F3889/G3889*100000</f>
        <v>18.8106653438521</v>
      </c>
    </row>
    <row r="3890" ht="13" customHeight="1">
      <c r="A3890" s="8">
        <v>7</v>
      </c>
      <c r="B3890" t="s" s="9">
        <v>36</v>
      </c>
      <c r="C3890" t="s" s="9">
        <v>68</v>
      </c>
      <c r="D3890" t="s" s="9">
        <v>55</v>
      </c>
      <c r="E3890" t="s" s="9">
        <v>71</v>
      </c>
      <c r="F3890" s="10">
        <v>639</v>
      </c>
      <c r="G3890" s="10">
        <v>5273604</v>
      </c>
      <c r="H3890" s="11" cm="1">
        <f t="array" ref="H3890">F3890/G3890*100000</f>
        <v>12.116950760808</v>
      </c>
    </row>
    <row r="3891" ht="13" customHeight="1">
      <c r="A3891" s="8">
        <v>8</v>
      </c>
      <c r="B3891" t="s" s="9">
        <v>36</v>
      </c>
      <c r="C3891" t="s" s="9">
        <v>68</v>
      </c>
      <c r="D3891" t="s" s="9">
        <v>55</v>
      </c>
      <c r="E3891" t="s" s="9">
        <v>71</v>
      </c>
      <c r="F3891" s="10">
        <v>613</v>
      </c>
      <c r="G3891" s="10">
        <v>5273604</v>
      </c>
      <c r="H3891" s="11" cm="1">
        <f t="array" ref="H3891">F3891/G3891*100000</f>
        <v>11.6239292901022</v>
      </c>
    </row>
    <row r="3892" ht="13" customHeight="1">
      <c r="A3892" s="8">
        <v>9</v>
      </c>
      <c r="B3892" t="s" s="9">
        <v>45</v>
      </c>
      <c r="C3892" t="s" s="9">
        <v>68</v>
      </c>
      <c r="D3892" t="s" s="9">
        <v>55</v>
      </c>
      <c r="E3892" t="s" s="9">
        <v>71</v>
      </c>
      <c r="F3892" s="10">
        <v>549</v>
      </c>
      <c r="G3892" s="10">
        <v>5273604</v>
      </c>
      <c r="H3892" s="11" cm="1">
        <f t="array" ref="H3892">F3892/G3892*100000</f>
        <v>10.4103379775956</v>
      </c>
    </row>
    <row r="3893" ht="13" customHeight="1">
      <c r="A3893" s="8">
        <v>10</v>
      </c>
      <c r="B3893" t="s" s="9">
        <v>34</v>
      </c>
      <c r="C3893" t="s" s="9">
        <v>68</v>
      </c>
      <c r="D3893" t="s" s="9">
        <v>55</v>
      </c>
      <c r="E3893" t="s" s="9">
        <v>71</v>
      </c>
      <c r="F3893" s="10">
        <v>622</v>
      </c>
      <c r="G3893" s="10">
        <v>5273604</v>
      </c>
      <c r="H3893" s="11" cm="1">
        <f t="array" ref="H3893">F3893/G3893*100000</f>
        <v>11.7945905684234</v>
      </c>
    </row>
    <row r="3894" ht="13" customHeight="1">
      <c r="A3894" s="8">
        <v>1</v>
      </c>
      <c r="B3894" t="s" s="9">
        <v>30</v>
      </c>
      <c r="C3894" t="s" s="9">
        <v>68</v>
      </c>
      <c r="D3894" t="s" s="9">
        <v>56</v>
      </c>
      <c r="E3894" t="s" s="9">
        <v>71</v>
      </c>
      <c r="F3894" s="10">
        <v>1098</v>
      </c>
      <c r="G3894" s="10">
        <v>5691183</v>
      </c>
      <c r="H3894" s="11" cm="1">
        <f t="array" ref="H3894">F3894/G3894*100000</f>
        <v>19.293001121208</v>
      </c>
    </row>
    <row r="3895" ht="13" customHeight="1">
      <c r="A3895" s="8">
        <v>2</v>
      </c>
      <c r="B3895" t="s" s="9">
        <v>34</v>
      </c>
      <c r="C3895" t="s" s="9">
        <v>68</v>
      </c>
      <c r="D3895" t="s" s="9">
        <v>56</v>
      </c>
      <c r="E3895" t="s" s="9">
        <v>71</v>
      </c>
      <c r="F3895" s="10">
        <v>843</v>
      </c>
      <c r="G3895" s="10">
        <v>5691183</v>
      </c>
      <c r="H3895" s="11" cm="1">
        <f t="array" ref="H3895">F3895/G3895*100000</f>
        <v>14.8123861067198</v>
      </c>
    </row>
    <row r="3896" ht="13" customHeight="1">
      <c r="A3896" s="8">
        <v>3</v>
      </c>
      <c r="B3896" t="s" s="9">
        <v>35</v>
      </c>
      <c r="C3896" t="s" s="9">
        <v>68</v>
      </c>
      <c r="D3896" t="s" s="9">
        <v>56</v>
      </c>
      <c r="E3896" t="s" s="9">
        <v>71</v>
      </c>
      <c r="F3896" s="10">
        <v>717</v>
      </c>
      <c r="G3896" s="10">
        <v>5691183</v>
      </c>
      <c r="H3896" s="11" cm="1">
        <f t="array" ref="H3896">F3896/G3896*100000</f>
        <v>12.5984351583845</v>
      </c>
    </row>
    <row r="3897" ht="13" customHeight="1">
      <c r="A3897" s="8">
        <v>4</v>
      </c>
      <c r="B3897" t="s" s="9">
        <v>37</v>
      </c>
      <c r="C3897" t="s" s="9">
        <v>68</v>
      </c>
      <c r="D3897" t="s" s="9">
        <v>56</v>
      </c>
      <c r="E3897" t="s" s="9">
        <v>71</v>
      </c>
      <c r="F3897" s="10">
        <v>833</v>
      </c>
      <c r="G3897" s="10">
        <v>5691183</v>
      </c>
      <c r="H3897" s="11" cm="1">
        <f t="array" ref="H3897">F3897/G3897*100000</f>
        <v>14.6366757139948</v>
      </c>
    </row>
    <row r="3898" ht="13" customHeight="1">
      <c r="A3898" s="8">
        <v>5</v>
      </c>
      <c r="B3898" t="s" s="9">
        <v>30</v>
      </c>
      <c r="C3898" t="s" s="9">
        <v>68</v>
      </c>
      <c r="D3898" t="s" s="9">
        <v>56</v>
      </c>
      <c r="E3898" t="s" s="9">
        <v>71</v>
      </c>
      <c r="F3898" s="10">
        <v>399</v>
      </c>
      <c r="G3898" s="10">
        <v>5691183</v>
      </c>
      <c r="H3898" s="11" cm="1">
        <f t="array" ref="H3898">F3898/G3898*100000</f>
        <v>7.0108446697286</v>
      </c>
    </row>
    <row r="3899" ht="13" customHeight="1">
      <c r="A3899" s="8">
        <v>6</v>
      </c>
      <c r="B3899" t="s" s="9">
        <v>30</v>
      </c>
      <c r="C3899" t="s" s="9">
        <v>68</v>
      </c>
      <c r="D3899" t="s" s="9">
        <v>56</v>
      </c>
      <c r="E3899" t="s" s="9">
        <v>71</v>
      </c>
      <c r="F3899" s="10">
        <v>315</v>
      </c>
      <c r="G3899" s="10">
        <v>5691183</v>
      </c>
      <c r="H3899" s="11" cm="1">
        <f t="array" ref="H3899">F3899/G3899*100000</f>
        <v>5.53487737083837</v>
      </c>
    </row>
    <row r="3900" ht="13" customHeight="1">
      <c r="A3900" s="8">
        <v>7</v>
      </c>
      <c r="B3900" t="s" s="9">
        <v>30</v>
      </c>
      <c r="C3900" t="s" s="9">
        <v>68</v>
      </c>
      <c r="D3900" t="s" s="9">
        <v>56</v>
      </c>
      <c r="E3900" t="s" s="9">
        <v>71</v>
      </c>
      <c r="F3900" s="10">
        <v>317</v>
      </c>
      <c r="G3900" s="10">
        <v>5691183</v>
      </c>
      <c r="H3900" s="11" cm="1">
        <f t="array" ref="H3900">F3900/G3900*100000</f>
        <v>5.57001944938337</v>
      </c>
    </row>
    <row r="3901" ht="13" customHeight="1">
      <c r="A3901" s="8">
        <v>8</v>
      </c>
      <c r="B3901" t="s" s="9">
        <v>35</v>
      </c>
      <c r="C3901" t="s" s="9">
        <v>68</v>
      </c>
      <c r="D3901" t="s" s="9">
        <v>56</v>
      </c>
      <c r="E3901" t="s" s="9">
        <v>71</v>
      </c>
      <c r="F3901" s="10">
        <v>222</v>
      </c>
      <c r="G3901" s="10">
        <v>5691183</v>
      </c>
      <c r="H3901" s="11" cm="1">
        <f t="array" ref="H3901">F3901/G3901*100000</f>
        <v>3.90077071849561</v>
      </c>
    </row>
    <row r="3902" ht="13" customHeight="1">
      <c r="A3902" s="8">
        <v>9</v>
      </c>
      <c r="B3902" t="s" s="9">
        <v>39</v>
      </c>
      <c r="C3902" t="s" s="9">
        <v>68</v>
      </c>
      <c r="D3902" t="s" s="9">
        <v>56</v>
      </c>
      <c r="E3902" t="s" s="9">
        <v>71</v>
      </c>
      <c r="F3902" s="10">
        <v>334</v>
      </c>
      <c r="G3902" s="10">
        <v>5691183</v>
      </c>
      <c r="H3902" s="11" cm="1">
        <f t="array" ref="H3902">F3902/G3902*100000</f>
        <v>5.86872711701592</v>
      </c>
    </row>
    <row r="3903" ht="13" customHeight="1">
      <c r="A3903" s="8">
        <v>10</v>
      </c>
      <c r="B3903" t="s" s="9">
        <v>30</v>
      </c>
      <c r="C3903" t="s" s="9">
        <v>68</v>
      </c>
      <c r="D3903" t="s" s="9">
        <v>56</v>
      </c>
      <c r="E3903" t="s" s="9">
        <v>71</v>
      </c>
      <c r="F3903" s="10">
        <v>248</v>
      </c>
      <c r="G3903" s="10">
        <v>5691183</v>
      </c>
      <c r="H3903" s="11" cm="1">
        <f t="array" ref="H3903">F3903/G3903*100000</f>
        <v>4.35761773958068</v>
      </c>
    </row>
    <row r="3904" ht="13" customHeight="1">
      <c r="A3904" s="8">
        <v>1</v>
      </c>
      <c r="B3904" t="s" s="9">
        <v>35</v>
      </c>
      <c r="C3904" t="s" s="9">
        <v>68</v>
      </c>
      <c r="D3904" t="s" s="9">
        <v>57</v>
      </c>
      <c r="E3904" t="s" s="9">
        <v>71</v>
      </c>
      <c r="F3904" s="10">
        <v>1947</v>
      </c>
      <c r="G3904" s="10">
        <v>5214931</v>
      </c>
      <c r="H3904" s="11" cm="1">
        <f t="array" ref="H3904">F3904/G3904*100000</f>
        <v>37.3351056802094</v>
      </c>
    </row>
    <row r="3905" ht="13" customHeight="1">
      <c r="A3905" s="8">
        <v>2</v>
      </c>
      <c r="B3905" t="s" s="9">
        <v>30</v>
      </c>
      <c r="C3905" t="s" s="9">
        <v>68</v>
      </c>
      <c r="D3905" t="s" s="9">
        <v>57</v>
      </c>
      <c r="E3905" t="s" s="9">
        <v>71</v>
      </c>
      <c r="F3905" s="10">
        <v>1853</v>
      </c>
      <c r="G3905" s="10">
        <v>5214931</v>
      </c>
      <c r="H3905" s="11" cm="1">
        <f t="array" ref="H3905">F3905/G3905*100000</f>
        <v>35.5325890217915</v>
      </c>
    </row>
    <row r="3906" ht="13" customHeight="1">
      <c r="A3906" s="8">
        <v>3</v>
      </c>
      <c r="B3906" t="s" s="9">
        <v>34</v>
      </c>
      <c r="C3906" t="s" s="9">
        <v>68</v>
      </c>
      <c r="D3906" t="s" s="9">
        <v>57</v>
      </c>
      <c r="E3906" t="s" s="9">
        <v>71</v>
      </c>
      <c r="F3906" s="10">
        <v>1294</v>
      </c>
      <c r="G3906" s="10">
        <v>5214931</v>
      </c>
      <c r="H3906" s="11" cm="1">
        <f t="array" ref="H3906">F3906/G3906*100000</f>
        <v>24.8133676169445</v>
      </c>
    </row>
    <row r="3907" ht="13" customHeight="1">
      <c r="A3907" s="8">
        <v>4</v>
      </c>
      <c r="B3907" t="s" s="9">
        <v>30</v>
      </c>
      <c r="C3907" t="s" s="9">
        <v>68</v>
      </c>
      <c r="D3907" t="s" s="9">
        <v>57</v>
      </c>
      <c r="E3907" t="s" s="9">
        <v>71</v>
      </c>
      <c r="F3907" s="10">
        <v>796</v>
      </c>
      <c r="G3907" s="10">
        <v>5214931</v>
      </c>
      <c r="H3907" s="11" cm="1">
        <f t="array" ref="H3907">F3907/G3907*100000</f>
        <v>15.263864469156</v>
      </c>
    </row>
    <row r="3908" ht="13" customHeight="1">
      <c r="A3908" s="8">
        <v>5</v>
      </c>
      <c r="B3908" t="s" s="9">
        <v>30</v>
      </c>
      <c r="C3908" t="s" s="9">
        <v>68</v>
      </c>
      <c r="D3908" t="s" s="9">
        <v>57</v>
      </c>
      <c r="E3908" t="s" s="9">
        <v>71</v>
      </c>
      <c r="F3908" s="10">
        <v>500</v>
      </c>
      <c r="G3908" s="10">
        <v>5214931</v>
      </c>
      <c r="H3908" s="11" cm="1">
        <f t="array" ref="H3908">F3908/G3908*100000</f>
        <v>9.587854566052741</v>
      </c>
    </row>
    <row r="3909" ht="13" customHeight="1">
      <c r="A3909" s="8">
        <v>6</v>
      </c>
      <c r="B3909" t="s" s="9">
        <v>30</v>
      </c>
      <c r="C3909" t="s" s="9">
        <v>68</v>
      </c>
      <c r="D3909" t="s" s="9">
        <v>57</v>
      </c>
      <c r="E3909" t="s" s="9">
        <v>71</v>
      </c>
      <c r="F3909" s="10">
        <v>445</v>
      </c>
      <c r="G3909" s="10">
        <v>5214931</v>
      </c>
      <c r="H3909" s="11" cm="1">
        <f t="array" ref="H3909">F3909/G3909*100000</f>
        <v>8.53319056378694</v>
      </c>
    </row>
    <row r="3910" ht="13" customHeight="1">
      <c r="A3910" s="8">
        <v>7</v>
      </c>
      <c r="B3910" t="s" s="9">
        <v>30</v>
      </c>
      <c r="C3910" t="s" s="9">
        <v>68</v>
      </c>
      <c r="D3910" t="s" s="9">
        <v>57</v>
      </c>
      <c r="E3910" t="s" s="9">
        <v>71</v>
      </c>
      <c r="F3910" s="10">
        <v>267</v>
      </c>
      <c r="G3910" s="10">
        <v>5214931</v>
      </c>
      <c r="H3910" s="11" cm="1">
        <f t="array" ref="H3910">F3910/G3910*100000</f>
        <v>5.11991433827217</v>
      </c>
    </row>
    <row r="3911" ht="13" customHeight="1">
      <c r="A3911" s="8">
        <v>8</v>
      </c>
      <c r="B3911" t="s" s="9">
        <v>39</v>
      </c>
      <c r="C3911" t="s" s="9">
        <v>68</v>
      </c>
      <c r="D3911" t="s" s="9">
        <v>57</v>
      </c>
      <c r="E3911" t="s" s="9">
        <v>71</v>
      </c>
      <c r="F3911" s="10">
        <v>280</v>
      </c>
      <c r="G3911" s="10">
        <v>5214931</v>
      </c>
      <c r="H3911" s="11" cm="1">
        <f t="array" ref="H3911">F3911/G3911*100000</f>
        <v>5.36919855698954</v>
      </c>
    </row>
    <row r="3912" ht="13" customHeight="1">
      <c r="A3912" s="8">
        <v>9</v>
      </c>
      <c r="B3912" t="s" s="9">
        <v>30</v>
      </c>
      <c r="C3912" t="s" s="9">
        <v>68</v>
      </c>
      <c r="D3912" t="s" s="9">
        <v>57</v>
      </c>
      <c r="E3912" t="s" s="9">
        <v>71</v>
      </c>
      <c r="F3912" s="10">
        <v>173</v>
      </c>
      <c r="G3912" s="10">
        <v>5214931</v>
      </c>
      <c r="H3912" s="11" cm="1">
        <f t="array" ref="H3912">F3912/G3912*100000</f>
        <v>3.31739767985425</v>
      </c>
    </row>
    <row r="3913" ht="13" customHeight="1">
      <c r="A3913" s="8">
        <v>10</v>
      </c>
      <c r="B3913" t="s" s="9">
        <v>36</v>
      </c>
      <c r="C3913" t="s" s="9">
        <v>68</v>
      </c>
      <c r="D3913" t="s" s="9">
        <v>57</v>
      </c>
      <c r="E3913" t="s" s="9">
        <v>71</v>
      </c>
      <c r="F3913" s="10">
        <v>181</v>
      </c>
      <c r="G3913" s="10">
        <v>5214931</v>
      </c>
      <c r="H3913" s="11" cm="1">
        <f t="array" ref="H3913">F3913/G3913*100000</f>
        <v>3.47080335291109</v>
      </c>
    </row>
    <row r="3914" ht="13" customHeight="1">
      <c r="A3914" s="8">
        <v>1</v>
      </c>
      <c r="B3914" t="s" s="9">
        <v>30</v>
      </c>
      <c r="C3914" t="s" s="9">
        <v>68</v>
      </c>
      <c r="D3914" t="s" s="9">
        <v>20</v>
      </c>
      <c r="E3914" t="s" s="9">
        <v>71</v>
      </c>
      <c r="F3914" s="10">
        <v>2654</v>
      </c>
      <c r="G3914" s="10">
        <v>2889689</v>
      </c>
      <c r="H3914" s="11" cm="1">
        <f t="array" ref="H3914">F3914/G3914*100000</f>
        <v>91.8437935708652</v>
      </c>
    </row>
    <row r="3915" ht="13" customHeight="1">
      <c r="A3915" s="8">
        <v>2</v>
      </c>
      <c r="B3915" t="s" s="9">
        <v>35</v>
      </c>
      <c r="C3915" t="s" s="9">
        <v>68</v>
      </c>
      <c r="D3915" t="s" s="9">
        <v>20</v>
      </c>
      <c r="E3915" t="s" s="9">
        <v>71</v>
      </c>
      <c r="F3915" s="10">
        <v>1279</v>
      </c>
      <c r="G3915" s="10">
        <v>2889689</v>
      </c>
      <c r="H3915" s="11" cm="1">
        <f t="array" ref="H3915">F3915/G3915*100000</f>
        <v>44.2608183787252</v>
      </c>
    </row>
    <row r="3916" ht="13" customHeight="1">
      <c r="A3916" s="8">
        <v>3</v>
      </c>
      <c r="B3916" t="s" s="9">
        <v>34</v>
      </c>
      <c r="C3916" t="s" s="9">
        <v>68</v>
      </c>
      <c r="D3916" t="s" s="9">
        <v>20</v>
      </c>
      <c r="E3916" t="s" s="9">
        <v>71</v>
      </c>
      <c r="F3916" s="10">
        <v>935</v>
      </c>
      <c r="G3916" s="10">
        <v>2889689</v>
      </c>
      <c r="H3916" s="11" cm="1">
        <f t="array" ref="H3916">F3916/G3916*100000</f>
        <v>32.3564231306552</v>
      </c>
    </row>
    <row r="3917" ht="13" customHeight="1">
      <c r="A3917" s="8">
        <v>4</v>
      </c>
      <c r="B3917" t="s" s="9">
        <v>39</v>
      </c>
      <c r="C3917" t="s" s="9">
        <v>68</v>
      </c>
      <c r="D3917" t="s" s="9">
        <v>20</v>
      </c>
      <c r="E3917" t="s" s="9">
        <v>71</v>
      </c>
      <c r="F3917" s="10">
        <v>504</v>
      </c>
      <c r="G3917" s="10">
        <v>2889689</v>
      </c>
      <c r="H3917" s="11" cm="1">
        <f t="array" ref="H3917">F3917/G3917*100000</f>
        <v>17.4413232704281</v>
      </c>
    </row>
    <row r="3918" ht="13" customHeight="1">
      <c r="A3918" s="8">
        <v>5</v>
      </c>
      <c r="B3918" t="s" s="9">
        <v>35</v>
      </c>
      <c r="C3918" t="s" s="9">
        <v>68</v>
      </c>
      <c r="D3918" t="s" s="9">
        <v>20</v>
      </c>
      <c r="E3918" t="s" s="9">
        <v>71</v>
      </c>
      <c r="F3918" s="10">
        <v>819</v>
      </c>
      <c r="G3918" s="10">
        <v>2889689</v>
      </c>
      <c r="H3918" s="11" cm="1">
        <f t="array" ref="H3918">F3918/G3918*100000</f>
        <v>28.3421503144456</v>
      </c>
    </row>
    <row r="3919" ht="13" customHeight="1">
      <c r="A3919" s="8">
        <v>6</v>
      </c>
      <c r="B3919" t="s" s="9">
        <v>30</v>
      </c>
      <c r="C3919" t="s" s="9">
        <v>68</v>
      </c>
      <c r="D3919" t="s" s="9">
        <v>20</v>
      </c>
      <c r="E3919" t="s" s="9">
        <v>71</v>
      </c>
      <c r="F3919" s="10">
        <v>614</v>
      </c>
      <c r="G3919" s="10">
        <v>2889689</v>
      </c>
      <c r="H3919" s="11" cm="1">
        <f t="array" ref="H3919">F3919/G3919*100000</f>
        <v>21.2479612857993</v>
      </c>
    </row>
    <row r="3920" ht="13" customHeight="1">
      <c r="A3920" s="8">
        <v>7</v>
      </c>
      <c r="B3920" t="s" s="9">
        <v>37</v>
      </c>
      <c r="C3920" t="s" s="9">
        <v>68</v>
      </c>
      <c r="D3920" t="s" s="9">
        <v>20</v>
      </c>
      <c r="E3920" t="s" s="9">
        <v>71</v>
      </c>
      <c r="F3920" s="10">
        <v>367</v>
      </c>
      <c r="G3920" s="10">
        <v>2889689</v>
      </c>
      <c r="H3920" s="11" cm="1">
        <f t="array" ref="H3920">F3920/G3920*100000</f>
        <v>12.7003286512839</v>
      </c>
    </row>
    <row r="3921" ht="13" customHeight="1">
      <c r="A3921" s="8">
        <v>8</v>
      </c>
      <c r="B3921" t="s" s="9">
        <v>37</v>
      </c>
      <c r="C3921" t="s" s="9">
        <v>68</v>
      </c>
      <c r="D3921" t="s" s="9">
        <v>20</v>
      </c>
      <c r="E3921" t="s" s="9">
        <v>71</v>
      </c>
      <c r="F3921" s="10">
        <v>288</v>
      </c>
      <c r="G3921" s="10">
        <v>2889689</v>
      </c>
      <c r="H3921" s="11" cm="1">
        <f t="array" ref="H3921">F3921/G3921*100000</f>
        <v>9.96647044024461</v>
      </c>
    </row>
    <row r="3922" ht="13" customHeight="1">
      <c r="A3922" s="8">
        <v>9</v>
      </c>
      <c r="B3922" t="s" s="9">
        <v>36</v>
      </c>
      <c r="C3922" t="s" s="9">
        <v>68</v>
      </c>
      <c r="D3922" t="s" s="9">
        <v>20</v>
      </c>
      <c r="E3922" t="s" s="9">
        <v>71</v>
      </c>
      <c r="F3922" s="10">
        <v>294</v>
      </c>
      <c r="G3922" s="10">
        <v>2889689</v>
      </c>
      <c r="H3922" s="11" cm="1">
        <f t="array" ref="H3922">F3922/G3922*100000</f>
        <v>10.174105241083</v>
      </c>
    </row>
    <row r="3923" ht="13" customHeight="1">
      <c r="A3923" s="8">
        <v>10</v>
      </c>
      <c r="B3923" t="s" s="9">
        <v>30</v>
      </c>
      <c r="C3923" t="s" s="9">
        <v>68</v>
      </c>
      <c r="D3923" t="s" s="9">
        <v>20</v>
      </c>
      <c r="E3923" t="s" s="9">
        <v>71</v>
      </c>
      <c r="F3923" s="10">
        <v>274</v>
      </c>
      <c r="G3923" s="10">
        <v>2889689</v>
      </c>
      <c r="H3923" s="11" cm="1">
        <f t="array" ref="H3923">F3923/G3923*100000</f>
        <v>9.48198923828827</v>
      </c>
    </row>
    <row r="3924" ht="13" customHeight="1">
      <c r="A3924" s="8">
        <v>1</v>
      </c>
      <c r="B3924" t="s" s="9">
        <v>30</v>
      </c>
      <c r="C3924" t="s" s="9">
        <v>68</v>
      </c>
      <c r="D3924" t="s" s="9">
        <v>21</v>
      </c>
      <c r="E3924" t="s" s="9">
        <v>71</v>
      </c>
      <c r="F3924" s="10">
        <v>5019</v>
      </c>
      <c r="G3924" s="10">
        <v>4635519</v>
      </c>
      <c r="H3924" s="11" cm="1">
        <f t="array" ref="H3924">F3924/G3924*100000</f>
        <v>108.272665908607</v>
      </c>
    </row>
    <row r="3925" ht="13" customHeight="1">
      <c r="A3925" s="8">
        <v>2</v>
      </c>
      <c r="B3925" t="s" s="9">
        <v>30</v>
      </c>
      <c r="C3925" t="s" s="9">
        <v>68</v>
      </c>
      <c r="D3925" t="s" s="9">
        <v>21</v>
      </c>
      <c r="E3925" t="s" s="9">
        <v>71</v>
      </c>
      <c r="F3925" s="10">
        <v>2578</v>
      </c>
      <c r="G3925" s="10">
        <v>4635519</v>
      </c>
      <c r="H3925" s="11" cm="1">
        <f t="array" ref="H3925">F3925/G3925*100000</f>
        <v>55.6140531405437</v>
      </c>
    </row>
    <row r="3926" ht="13" customHeight="1">
      <c r="A3926" s="8">
        <v>3</v>
      </c>
      <c r="B3926" t="s" s="9">
        <v>36</v>
      </c>
      <c r="C3926" t="s" s="9">
        <v>68</v>
      </c>
      <c r="D3926" t="s" s="9">
        <v>21</v>
      </c>
      <c r="E3926" t="s" s="9">
        <v>71</v>
      </c>
      <c r="F3926" s="10">
        <v>1955</v>
      </c>
      <c r="G3926" s="10">
        <v>4635519</v>
      </c>
      <c r="H3926" s="11" cm="1">
        <f t="array" ref="H3926">F3926/G3926*100000</f>
        <v>42.174349840870</v>
      </c>
    </row>
    <row r="3927" ht="13" customHeight="1">
      <c r="A3927" s="8">
        <v>4</v>
      </c>
      <c r="B3927" t="s" s="9">
        <v>34</v>
      </c>
      <c r="C3927" t="s" s="9">
        <v>68</v>
      </c>
      <c r="D3927" t="s" s="9">
        <v>21</v>
      </c>
      <c r="E3927" t="s" s="9">
        <v>71</v>
      </c>
      <c r="F3927" s="10">
        <v>1776</v>
      </c>
      <c r="G3927" s="10">
        <v>4635519</v>
      </c>
      <c r="H3927" s="11" cm="1">
        <f t="array" ref="H3927">F3927/G3927*100000</f>
        <v>38.3128620549285</v>
      </c>
    </row>
    <row r="3928" ht="13" customHeight="1">
      <c r="A3928" s="8">
        <v>5</v>
      </c>
      <c r="B3928" t="s" s="9">
        <v>41</v>
      </c>
      <c r="C3928" t="s" s="9">
        <v>68</v>
      </c>
      <c r="D3928" t="s" s="9">
        <v>21</v>
      </c>
      <c r="E3928" t="s" s="9">
        <v>71</v>
      </c>
      <c r="F3928" s="10">
        <v>1394</v>
      </c>
      <c r="G3928" s="10">
        <v>4635519</v>
      </c>
      <c r="H3928" s="11" cm="1">
        <f t="array" ref="H3928">F3928/G3928*100000</f>
        <v>30.0721451039247</v>
      </c>
    </row>
    <row r="3929" ht="13" customHeight="1">
      <c r="A3929" s="8">
        <v>6</v>
      </c>
      <c r="B3929" t="s" s="9">
        <v>30</v>
      </c>
      <c r="C3929" t="s" s="9">
        <v>68</v>
      </c>
      <c r="D3929" t="s" s="9">
        <v>21</v>
      </c>
      <c r="E3929" t="s" s="9">
        <v>71</v>
      </c>
      <c r="F3929" s="10">
        <v>909</v>
      </c>
      <c r="G3929" s="10">
        <v>4635519</v>
      </c>
      <c r="H3929" s="11" cm="1">
        <f t="array" ref="H3929">F3929/G3929*100000</f>
        <v>19.6094547341948</v>
      </c>
    </row>
    <row r="3930" ht="13" customHeight="1">
      <c r="A3930" s="8">
        <v>7</v>
      </c>
      <c r="B3930" t="s" s="9">
        <v>36</v>
      </c>
      <c r="C3930" t="s" s="9">
        <v>68</v>
      </c>
      <c r="D3930" t="s" s="9">
        <v>21</v>
      </c>
      <c r="E3930" t="s" s="9">
        <v>71</v>
      </c>
      <c r="F3930" s="10">
        <v>866</v>
      </c>
      <c r="G3930" s="10">
        <v>4635519</v>
      </c>
      <c r="H3930" s="11" cm="1">
        <f t="array" ref="H3930">F3930/G3930*100000</f>
        <v>18.6818347632703</v>
      </c>
    </row>
    <row r="3931" ht="13" customHeight="1">
      <c r="A3931" s="8">
        <v>8</v>
      </c>
      <c r="B3931" t="s" s="9">
        <v>45</v>
      </c>
      <c r="C3931" t="s" s="9">
        <v>68</v>
      </c>
      <c r="D3931" t="s" s="9">
        <v>21</v>
      </c>
      <c r="E3931" t="s" s="9">
        <v>71</v>
      </c>
      <c r="F3931" s="10">
        <v>571</v>
      </c>
      <c r="G3931" s="10">
        <v>4635519</v>
      </c>
      <c r="H3931" s="11" cm="1">
        <f t="array" ref="H3931">F3931/G3931*100000</f>
        <v>12.3179303115789</v>
      </c>
    </row>
    <row r="3932" ht="13" customHeight="1">
      <c r="A3932" s="8">
        <v>9</v>
      </c>
      <c r="B3932" t="s" s="9">
        <v>30</v>
      </c>
      <c r="C3932" t="s" s="9">
        <v>68</v>
      </c>
      <c r="D3932" t="s" s="9">
        <v>21</v>
      </c>
      <c r="E3932" t="s" s="9">
        <v>71</v>
      </c>
      <c r="F3932" s="10">
        <v>567</v>
      </c>
      <c r="G3932" s="10">
        <v>4635519</v>
      </c>
      <c r="H3932" s="11" cm="1">
        <f t="array" ref="H3932">F3932/G3932*100000</f>
        <v>12.2316400817255</v>
      </c>
    </row>
    <row r="3933" ht="13" customHeight="1">
      <c r="A3933" s="8">
        <v>10</v>
      </c>
      <c r="B3933" t="s" s="9">
        <v>39</v>
      </c>
      <c r="C3933" t="s" s="9">
        <v>68</v>
      </c>
      <c r="D3933" t="s" s="9">
        <v>21</v>
      </c>
      <c r="E3933" t="s" s="9">
        <v>71</v>
      </c>
      <c r="F3933" s="10">
        <v>634</v>
      </c>
      <c r="G3933" s="10">
        <v>4635519</v>
      </c>
      <c r="H3933" s="11" cm="1">
        <f t="array" ref="H3933">F3933/G3933*100000</f>
        <v>13.6770014317706</v>
      </c>
    </row>
    <row r="3934" ht="13.65" customHeight="1">
      <c r="A3934" s="8">
        <v>1</v>
      </c>
      <c r="B3934" t="s" s="9">
        <v>35</v>
      </c>
      <c r="C3934" t="s" s="9">
        <v>68</v>
      </c>
      <c r="D3934" t="s" s="9">
        <v>58</v>
      </c>
      <c r="E3934" t="s" s="9">
        <v>71</v>
      </c>
      <c r="F3934" s="10">
        <v>834</v>
      </c>
      <c r="G3934" s="12"/>
      <c r="H3934" s="13"/>
    </row>
    <row r="3935" ht="13.65" customHeight="1">
      <c r="A3935" s="8">
        <v>2</v>
      </c>
      <c r="B3935" t="s" s="9">
        <v>30</v>
      </c>
      <c r="C3935" t="s" s="9">
        <v>68</v>
      </c>
      <c r="D3935" t="s" s="9">
        <v>58</v>
      </c>
      <c r="E3935" t="s" s="9">
        <v>71</v>
      </c>
      <c r="F3935" s="10">
        <v>647</v>
      </c>
      <c r="G3935" s="14"/>
      <c r="H3935" s="15"/>
    </row>
    <row r="3936" ht="13.65" customHeight="1">
      <c r="A3936" s="8">
        <v>3</v>
      </c>
      <c r="B3936" t="s" s="9">
        <v>30</v>
      </c>
      <c r="C3936" t="s" s="9">
        <v>68</v>
      </c>
      <c r="D3936" t="s" s="9">
        <v>58</v>
      </c>
      <c r="E3936" t="s" s="9">
        <v>71</v>
      </c>
      <c r="F3936" s="10">
        <v>418</v>
      </c>
      <c r="G3936" s="14"/>
      <c r="H3936" s="15"/>
    </row>
    <row r="3937" ht="13.65" customHeight="1">
      <c r="A3937" s="8">
        <v>4</v>
      </c>
      <c r="B3937" t="s" s="9">
        <v>34</v>
      </c>
      <c r="C3937" t="s" s="9">
        <v>68</v>
      </c>
      <c r="D3937" t="s" s="9">
        <v>58</v>
      </c>
      <c r="E3937" t="s" s="9">
        <v>71</v>
      </c>
      <c r="F3937" s="10">
        <v>466</v>
      </c>
      <c r="G3937" s="14"/>
      <c r="H3937" s="15"/>
    </row>
    <row r="3938" ht="13.65" customHeight="1">
      <c r="A3938" s="8">
        <v>5</v>
      </c>
      <c r="B3938" t="s" s="9">
        <v>37</v>
      </c>
      <c r="C3938" t="s" s="9">
        <v>68</v>
      </c>
      <c r="D3938" t="s" s="9">
        <v>58</v>
      </c>
      <c r="E3938" t="s" s="9">
        <v>71</v>
      </c>
      <c r="F3938" s="10">
        <v>180</v>
      </c>
      <c r="G3938" s="14"/>
      <c r="H3938" s="15"/>
    </row>
    <row r="3939" ht="13.65" customHeight="1">
      <c r="A3939" s="8">
        <v>6</v>
      </c>
      <c r="B3939" t="s" s="9">
        <v>30</v>
      </c>
      <c r="C3939" t="s" s="9">
        <v>68</v>
      </c>
      <c r="D3939" t="s" s="9">
        <v>58</v>
      </c>
      <c r="E3939" t="s" s="9">
        <v>71</v>
      </c>
      <c r="F3939" s="10">
        <v>112</v>
      </c>
      <c r="G3939" s="14"/>
      <c r="H3939" s="15"/>
    </row>
    <row r="3940" ht="13.65" customHeight="1">
      <c r="A3940" s="8">
        <v>7</v>
      </c>
      <c r="B3940" t="s" s="9">
        <v>39</v>
      </c>
      <c r="C3940" t="s" s="9">
        <v>68</v>
      </c>
      <c r="D3940" t="s" s="9">
        <v>58</v>
      </c>
      <c r="E3940" t="s" s="9">
        <v>71</v>
      </c>
      <c r="F3940" s="10">
        <v>111</v>
      </c>
      <c r="G3940" s="14"/>
      <c r="H3940" s="15"/>
    </row>
    <row r="3941" ht="13.65" customHeight="1">
      <c r="A3941" s="8">
        <v>8</v>
      </c>
      <c r="B3941" t="s" s="9">
        <v>30</v>
      </c>
      <c r="C3941" t="s" s="9">
        <v>68</v>
      </c>
      <c r="D3941" t="s" s="9">
        <v>58</v>
      </c>
      <c r="E3941" t="s" s="9">
        <v>71</v>
      </c>
      <c r="F3941" s="10">
        <v>80</v>
      </c>
      <c r="G3941" s="14"/>
      <c r="H3941" s="15"/>
    </row>
    <row r="3942" ht="13.65" customHeight="1">
      <c r="A3942" s="8">
        <v>9</v>
      </c>
      <c r="B3942" t="s" s="9">
        <v>36</v>
      </c>
      <c r="C3942" t="s" s="9">
        <v>68</v>
      </c>
      <c r="D3942" t="s" s="9">
        <v>58</v>
      </c>
      <c r="E3942" t="s" s="9">
        <v>71</v>
      </c>
      <c r="F3942" s="10">
        <v>70</v>
      </c>
      <c r="G3942" s="14"/>
      <c r="H3942" s="15"/>
    </row>
    <row r="3943" ht="13.65" customHeight="1">
      <c r="A3943" s="8">
        <v>10</v>
      </c>
      <c r="B3943" t="s" s="9">
        <v>45</v>
      </c>
      <c r="C3943" t="s" s="9">
        <v>68</v>
      </c>
      <c r="D3943" t="s" s="9">
        <v>58</v>
      </c>
      <c r="E3943" t="s" s="9">
        <v>71</v>
      </c>
      <c r="F3943" s="10">
        <v>66</v>
      </c>
      <c r="G3943" s="16"/>
      <c r="H3943" s="17"/>
    </row>
    <row r="3944" ht="13" customHeight="1">
      <c r="A3944" s="8">
        <v>1</v>
      </c>
      <c r="B3944" t="s" s="9">
        <v>34</v>
      </c>
      <c r="C3944" t="s" s="9">
        <v>69</v>
      </c>
      <c r="D3944" t="s" s="9">
        <v>32</v>
      </c>
      <c r="E3944" t="s" s="9">
        <v>71</v>
      </c>
      <c r="F3944" s="10">
        <v>18795</v>
      </c>
      <c r="G3944" s="10">
        <v>14521657</v>
      </c>
      <c r="H3944" s="11" cm="1">
        <f t="array" ref="H3944">F3944/G3944*100000</f>
        <v>129.427378707540</v>
      </c>
    </row>
    <row r="3945" ht="13" customHeight="1">
      <c r="A3945" s="8">
        <v>2</v>
      </c>
      <c r="B3945" t="s" s="9">
        <v>30</v>
      </c>
      <c r="C3945" t="s" s="9">
        <v>69</v>
      </c>
      <c r="D3945" t="s" s="9">
        <v>32</v>
      </c>
      <c r="E3945" t="s" s="9">
        <v>71</v>
      </c>
      <c r="F3945" s="10">
        <v>14644</v>
      </c>
      <c r="G3945" s="10">
        <v>14521657</v>
      </c>
      <c r="H3945" s="11" cm="1">
        <f t="array" ref="H3945">F3945/G3945*100000</f>
        <v>100.842486501368</v>
      </c>
    </row>
    <row r="3946" ht="13" customHeight="1">
      <c r="A3946" s="8">
        <v>3</v>
      </c>
      <c r="B3946" t="s" s="9">
        <v>37</v>
      </c>
      <c r="C3946" t="s" s="9">
        <v>69</v>
      </c>
      <c r="D3946" t="s" s="9">
        <v>32</v>
      </c>
      <c r="E3946" t="s" s="9">
        <v>71</v>
      </c>
      <c r="F3946" s="10">
        <v>8565</v>
      </c>
      <c r="G3946" s="10">
        <v>14521657</v>
      </c>
      <c r="H3946" s="11" cm="1">
        <f t="array" ref="H3946">F3946/G3946*100000</f>
        <v>58.9808724996052</v>
      </c>
    </row>
    <row r="3947" ht="13" customHeight="1">
      <c r="A3947" s="8">
        <v>4</v>
      </c>
      <c r="B3947" t="s" s="9">
        <v>35</v>
      </c>
      <c r="C3947" t="s" s="9">
        <v>69</v>
      </c>
      <c r="D3947" t="s" s="9">
        <v>32</v>
      </c>
      <c r="E3947" t="s" s="9">
        <v>71</v>
      </c>
      <c r="F3947" s="10">
        <v>5366</v>
      </c>
      <c r="G3947" s="10">
        <v>14521657</v>
      </c>
      <c r="H3947" s="11" cm="1">
        <f t="array" ref="H3947">F3947/G3947*100000</f>
        <v>36.9517059933312</v>
      </c>
    </row>
    <row r="3948" ht="13" customHeight="1">
      <c r="A3948" s="8">
        <v>5</v>
      </c>
      <c r="B3948" t="s" s="9">
        <v>37</v>
      </c>
      <c r="C3948" t="s" s="9">
        <v>69</v>
      </c>
      <c r="D3948" t="s" s="9">
        <v>32</v>
      </c>
      <c r="E3948" t="s" s="9">
        <v>71</v>
      </c>
      <c r="F3948" s="10">
        <v>4171</v>
      </c>
      <c r="G3948" s="10">
        <v>14521657</v>
      </c>
      <c r="H3948" s="11" cm="1">
        <f t="array" ref="H3948">F3948/G3948*100000</f>
        <v>28.7226175360016</v>
      </c>
    </row>
    <row r="3949" ht="13" customHeight="1">
      <c r="A3949" s="8">
        <v>6</v>
      </c>
      <c r="B3949" t="s" s="9">
        <v>39</v>
      </c>
      <c r="C3949" t="s" s="9">
        <v>69</v>
      </c>
      <c r="D3949" t="s" s="9">
        <v>32</v>
      </c>
      <c r="E3949" t="s" s="9">
        <v>71</v>
      </c>
      <c r="F3949" s="10">
        <v>4100</v>
      </c>
      <c r="G3949" s="10">
        <v>14521657</v>
      </c>
      <c r="H3949" s="11" cm="1">
        <f t="array" ref="H3949">F3949/G3949*100000</f>
        <v>28.2336926151058</v>
      </c>
    </row>
    <row r="3950" ht="13" customHeight="1">
      <c r="A3950" s="8">
        <v>7</v>
      </c>
      <c r="B3950" t="s" s="9">
        <v>30</v>
      </c>
      <c r="C3950" t="s" s="9">
        <v>69</v>
      </c>
      <c r="D3950" t="s" s="9">
        <v>32</v>
      </c>
      <c r="E3950" t="s" s="9">
        <v>71</v>
      </c>
      <c r="F3950" s="10">
        <v>2269</v>
      </c>
      <c r="G3950" s="10">
        <v>14521657</v>
      </c>
      <c r="H3950" s="11" cm="1">
        <f t="array" ref="H3950">F3950/G3950*100000</f>
        <v>15.6249386691891</v>
      </c>
    </row>
    <row r="3951" ht="13" customHeight="1">
      <c r="A3951" s="8">
        <v>8</v>
      </c>
      <c r="B3951" t="s" s="9">
        <v>30</v>
      </c>
      <c r="C3951" t="s" s="9">
        <v>69</v>
      </c>
      <c r="D3951" t="s" s="9">
        <v>32</v>
      </c>
      <c r="E3951" t="s" s="9">
        <v>71</v>
      </c>
      <c r="F3951" s="10">
        <v>2025</v>
      </c>
      <c r="G3951" s="10">
        <v>14521657</v>
      </c>
      <c r="H3951" s="11" cm="1">
        <f t="array" ref="H3951">F3951/G3951*100000</f>
        <v>13.9446896452657</v>
      </c>
    </row>
    <row r="3952" ht="13" customHeight="1">
      <c r="A3952" s="8">
        <v>9</v>
      </c>
      <c r="B3952" t="s" s="9">
        <v>30</v>
      </c>
      <c r="C3952" t="s" s="9">
        <v>69</v>
      </c>
      <c r="D3952" t="s" s="9">
        <v>32</v>
      </c>
      <c r="E3952" t="s" s="9">
        <v>71</v>
      </c>
      <c r="F3952" s="10">
        <v>1413</v>
      </c>
      <c r="G3952" s="10">
        <v>14521657</v>
      </c>
      <c r="H3952" s="11" cm="1">
        <f t="array" ref="H3952">F3952/G3952*100000</f>
        <v>9.73029455247428</v>
      </c>
    </row>
    <row r="3953" ht="13" customHeight="1">
      <c r="A3953" s="8">
        <v>10</v>
      </c>
      <c r="B3953" t="s" s="9">
        <v>36</v>
      </c>
      <c r="C3953" t="s" s="9">
        <v>69</v>
      </c>
      <c r="D3953" t="s" s="9">
        <v>32</v>
      </c>
      <c r="E3953" t="s" s="9">
        <v>71</v>
      </c>
      <c r="F3953" s="10">
        <v>1681</v>
      </c>
      <c r="G3953" s="10">
        <v>14521657</v>
      </c>
      <c r="H3953" s="11" cm="1">
        <f t="array" ref="H3953">F3953/G3953*100000</f>
        <v>11.5758139721934</v>
      </c>
    </row>
    <row r="3954" ht="13" customHeight="1">
      <c r="A3954" s="8">
        <v>1</v>
      </c>
      <c r="B3954" t="s" s="9">
        <v>30</v>
      </c>
      <c r="C3954" t="s" s="9">
        <v>69</v>
      </c>
      <c r="D3954" t="s" s="9">
        <v>38</v>
      </c>
      <c r="E3954" t="s" s="9">
        <v>71</v>
      </c>
      <c r="F3954" s="10">
        <v>9298</v>
      </c>
      <c r="G3954" s="10">
        <v>1874281</v>
      </c>
      <c r="H3954" s="11" cm="1">
        <f t="array" ref="H3954">F3954/G3954*100000</f>
        <v>496.083564844332</v>
      </c>
    </row>
    <row r="3955" ht="13" customHeight="1">
      <c r="A3955" s="8">
        <v>2</v>
      </c>
      <c r="B3955" t="s" s="9">
        <v>34</v>
      </c>
      <c r="C3955" t="s" s="9">
        <v>69</v>
      </c>
      <c r="D3955" t="s" s="9">
        <v>38</v>
      </c>
      <c r="E3955" t="s" s="9">
        <v>71</v>
      </c>
      <c r="F3955" s="10">
        <v>3996</v>
      </c>
      <c r="G3955" s="10">
        <v>1874281</v>
      </c>
      <c r="H3955" s="11" cm="1">
        <f t="array" ref="H3955">F3955/G3955*100000</f>
        <v>213.201755766611</v>
      </c>
    </row>
    <row r="3956" ht="13" customHeight="1">
      <c r="A3956" s="8">
        <v>3</v>
      </c>
      <c r="B3956" t="s" s="9">
        <v>30</v>
      </c>
      <c r="C3956" t="s" s="9">
        <v>69</v>
      </c>
      <c r="D3956" t="s" s="9">
        <v>38</v>
      </c>
      <c r="E3956" t="s" s="9">
        <v>71</v>
      </c>
      <c r="F3956" s="10">
        <v>1065</v>
      </c>
      <c r="G3956" s="10">
        <v>1874281</v>
      </c>
      <c r="H3956" s="11" cm="1">
        <f t="array" ref="H3956">F3956/G3956*100000</f>
        <v>56.8217892621224</v>
      </c>
    </row>
    <row r="3957" ht="13" customHeight="1">
      <c r="A3957" s="8">
        <v>4</v>
      </c>
      <c r="B3957" t="s" s="9">
        <v>37</v>
      </c>
      <c r="C3957" t="s" s="9">
        <v>69</v>
      </c>
      <c r="D3957" t="s" s="9">
        <v>38</v>
      </c>
      <c r="E3957" t="s" s="9">
        <v>71</v>
      </c>
      <c r="F3957" s="10">
        <v>946</v>
      </c>
      <c r="G3957" s="10">
        <v>1874281</v>
      </c>
      <c r="H3957" s="11" cm="1">
        <f t="array" ref="H3957">F3957/G3957*100000</f>
        <v>50.4726879267303</v>
      </c>
    </row>
    <row r="3958" ht="13" customHeight="1">
      <c r="A3958" s="8">
        <v>5</v>
      </c>
      <c r="B3958" t="s" s="9">
        <v>37</v>
      </c>
      <c r="C3958" t="s" s="9">
        <v>69</v>
      </c>
      <c r="D3958" t="s" s="9">
        <v>38</v>
      </c>
      <c r="E3958" t="s" s="9">
        <v>71</v>
      </c>
      <c r="F3958" s="10">
        <v>804</v>
      </c>
      <c r="G3958" s="10">
        <v>1874281</v>
      </c>
      <c r="H3958" s="11" cm="1">
        <f t="array" ref="H3958">F3958/G3958*100000</f>
        <v>42.8964493584473</v>
      </c>
    </row>
    <row r="3959" ht="13" customHeight="1">
      <c r="A3959" s="8">
        <v>6</v>
      </c>
      <c r="B3959" t="s" s="9">
        <v>41</v>
      </c>
      <c r="C3959" t="s" s="9">
        <v>69</v>
      </c>
      <c r="D3959" t="s" s="9">
        <v>38</v>
      </c>
      <c r="E3959" t="s" s="9">
        <v>71</v>
      </c>
      <c r="F3959" s="10">
        <v>722</v>
      </c>
      <c r="G3959" s="10">
        <v>1874281</v>
      </c>
      <c r="H3959" s="11" cm="1">
        <f t="array" ref="H3959">F3959/G3959*100000</f>
        <v>38.5214383542276</v>
      </c>
    </row>
    <row r="3960" ht="13" customHeight="1">
      <c r="A3960" s="8">
        <v>7</v>
      </c>
      <c r="B3960" t="s" s="9">
        <v>30</v>
      </c>
      <c r="C3960" t="s" s="9">
        <v>69</v>
      </c>
      <c r="D3960" t="s" s="9">
        <v>38</v>
      </c>
      <c r="E3960" t="s" s="9">
        <v>71</v>
      </c>
      <c r="F3960" s="10">
        <v>629</v>
      </c>
      <c r="G3960" s="10">
        <v>1874281</v>
      </c>
      <c r="H3960" s="11" cm="1">
        <f t="array" ref="H3960">F3960/G3960*100000</f>
        <v>33.5595356299296</v>
      </c>
    </row>
    <row r="3961" ht="13" customHeight="1">
      <c r="A3961" s="8">
        <v>8</v>
      </c>
      <c r="B3961" t="s" s="9">
        <v>35</v>
      </c>
      <c r="C3961" t="s" s="9">
        <v>69</v>
      </c>
      <c r="D3961" t="s" s="9">
        <v>38</v>
      </c>
      <c r="E3961" t="s" s="9">
        <v>71</v>
      </c>
      <c r="F3961" s="10">
        <v>357</v>
      </c>
      <c r="G3961" s="10">
        <v>1874281</v>
      </c>
      <c r="H3961" s="11" cm="1">
        <f t="array" ref="H3961">F3961/G3961*100000</f>
        <v>19.0473040061762</v>
      </c>
    </row>
    <row r="3962" ht="13" customHeight="1">
      <c r="A3962" s="8">
        <v>9</v>
      </c>
      <c r="B3962" t="s" s="9">
        <v>39</v>
      </c>
      <c r="C3962" t="s" s="9">
        <v>69</v>
      </c>
      <c r="D3962" t="s" s="9">
        <v>38</v>
      </c>
      <c r="E3962" t="s" s="9">
        <v>71</v>
      </c>
      <c r="F3962" s="10">
        <v>824</v>
      </c>
      <c r="G3962" s="10">
        <v>1874281</v>
      </c>
      <c r="H3962" s="11" cm="1">
        <f t="array" ref="H3962">F3962/G3962*100000</f>
        <v>43.9635252131351</v>
      </c>
    </row>
    <row r="3963" ht="13" customHeight="1">
      <c r="A3963" s="8">
        <v>10</v>
      </c>
      <c r="B3963" t="s" s="9">
        <v>41</v>
      </c>
      <c r="C3963" t="s" s="9">
        <v>69</v>
      </c>
      <c r="D3963" t="s" s="9">
        <v>38</v>
      </c>
      <c r="E3963" t="s" s="9">
        <v>71</v>
      </c>
      <c r="F3963" s="10">
        <v>689</v>
      </c>
      <c r="G3963" s="10">
        <v>1874281</v>
      </c>
      <c r="H3963" s="11" cm="1">
        <f t="array" ref="H3963">F3963/G3963*100000</f>
        <v>36.7607631939928</v>
      </c>
    </row>
    <row r="3964" ht="13" customHeight="1">
      <c r="A3964" s="8">
        <v>1</v>
      </c>
      <c r="B3964" t="s" s="9">
        <v>30</v>
      </c>
      <c r="C3964" t="s" s="9">
        <v>69</v>
      </c>
      <c r="D3964" t="s" s="9">
        <v>42</v>
      </c>
      <c r="E3964" t="s" s="9">
        <v>71</v>
      </c>
      <c r="F3964" s="10">
        <v>8847</v>
      </c>
      <c r="G3964" s="10">
        <v>5458063</v>
      </c>
      <c r="H3964" s="11" cm="1">
        <f t="array" ref="H3964">F3964/G3964*100000</f>
        <v>162.090470557046</v>
      </c>
    </row>
    <row r="3965" ht="13" customHeight="1">
      <c r="A3965" s="8">
        <v>2</v>
      </c>
      <c r="B3965" t="s" s="9">
        <v>34</v>
      </c>
      <c r="C3965" t="s" s="9">
        <v>69</v>
      </c>
      <c r="D3965" t="s" s="9">
        <v>42</v>
      </c>
      <c r="E3965" t="s" s="9">
        <v>71</v>
      </c>
      <c r="F3965" s="10">
        <v>6640</v>
      </c>
      <c r="G3965" s="10">
        <v>5458063</v>
      </c>
      <c r="H3965" s="11" cm="1">
        <f t="array" ref="H3965">F3965/G3965*100000</f>
        <v>121.654880128720</v>
      </c>
    </row>
    <row r="3966" ht="13" customHeight="1">
      <c r="A3966" s="8">
        <v>3</v>
      </c>
      <c r="B3966" t="s" s="9">
        <v>35</v>
      </c>
      <c r="C3966" t="s" s="9">
        <v>69</v>
      </c>
      <c r="D3966" t="s" s="9">
        <v>42</v>
      </c>
      <c r="E3966" t="s" s="9">
        <v>71</v>
      </c>
      <c r="F3966" s="10">
        <v>3020</v>
      </c>
      <c r="G3966" s="10">
        <v>5458063</v>
      </c>
      <c r="H3966" s="11" cm="1">
        <f t="array" ref="H3966">F3966/G3966*100000</f>
        <v>55.3309846368574</v>
      </c>
    </row>
    <row r="3967" ht="13" customHeight="1">
      <c r="A3967" s="8">
        <v>4</v>
      </c>
      <c r="B3967" t="s" s="9">
        <v>37</v>
      </c>
      <c r="C3967" t="s" s="9">
        <v>69</v>
      </c>
      <c r="D3967" t="s" s="9">
        <v>42</v>
      </c>
      <c r="E3967" t="s" s="9">
        <v>71</v>
      </c>
      <c r="F3967" s="10">
        <v>2086</v>
      </c>
      <c r="G3967" s="10">
        <v>5458063</v>
      </c>
      <c r="H3967" s="11" cm="1">
        <f t="array" ref="H3967">F3967/G3967*100000</f>
        <v>38.2186867392333</v>
      </c>
    </row>
    <row r="3968" ht="13" customHeight="1">
      <c r="A3968" s="8">
        <v>5</v>
      </c>
      <c r="B3968" t="s" s="9">
        <v>30</v>
      </c>
      <c r="C3968" t="s" s="9">
        <v>69</v>
      </c>
      <c r="D3968" t="s" s="9">
        <v>42</v>
      </c>
      <c r="E3968" t="s" s="9">
        <v>71</v>
      </c>
      <c r="F3968" s="10">
        <v>1316</v>
      </c>
      <c r="G3968" s="10">
        <v>5458063</v>
      </c>
      <c r="H3968" s="11" cm="1">
        <f t="array" ref="H3968">F3968/G3968*100000</f>
        <v>24.1111178086438</v>
      </c>
    </row>
    <row r="3969" ht="13" customHeight="1">
      <c r="A3969" s="8">
        <v>6</v>
      </c>
      <c r="B3969" t="s" s="9">
        <v>35</v>
      </c>
      <c r="C3969" t="s" s="9">
        <v>69</v>
      </c>
      <c r="D3969" t="s" s="9">
        <v>42</v>
      </c>
      <c r="E3969" t="s" s="9">
        <v>71</v>
      </c>
      <c r="F3969" s="10">
        <v>1144</v>
      </c>
      <c r="G3969" s="10">
        <v>5458063</v>
      </c>
      <c r="H3969" s="11" cm="1">
        <f t="array" ref="H3969">F3969/G3969*100000</f>
        <v>20.9598166968758</v>
      </c>
    </row>
    <row r="3970" ht="13" customHeight="1">
      <c r="A3970" s="8">
        <v>7</v>
      </c>
      <c r="B3970" t="s" s="9">
        <v>39</v>
      </c>
      <c r="C3970" t="s" s="9">
        <v>69</v>
      </c>
      <c r="D3970" t="s" s="9">
        <v>42</v>
      </c>
      <c r="E3970" t="s" s="9">
        <v>71</v>
      </c>
      <c r="F3970" s="10">
        <v>1482</v>
      </c>
      <c r="G3970" s="10">
        <v>5458063</v>
      </c>
      <c r="H3970" s="11" cm="1">
        <f t="array" ref="H3970">F3970/G3970*100000</f>
        <v>27.1524898118618</v>
      </c>
    </row>
    <row r="3971" ht="13" customHeight="1">
      <c r="A3971" s="8">
        <v>8</v>
      </c>
      <c r="B3971" t="s" s="9">
        <v>30</v>
      </c>
      <c r="C3971" t="s" s="9">
        <v>69</v>
      </c>
      <c r="D3971" t="s" s="9">
        <v>42</v>
      </c>
      <c r="E3971" t="s" s="9">
        <v>71</v>
      </c>
      <c r="F3971" s="10">
        <v>1138</v>
      </c>
      <c r="G3971" s="10">
        <v>5458063</v>
      </c>
      <c r="H3971" s="11" cm="1">
        <f t="array" ref="H3971">F3971/G3971*100000</f>
        <v>20.8498875883257</v>
      </c>
    </row>
    <row r="3972" ht="13" customHeight="1">
      <c r="A3972" s="8">
        <v>9</v>
      </c>
      <c r="B3972" t="s" s="9">
        <v>41</v>
      </c>
      <c r="C3972" t="s" s="9">
        <v>69</v>
      </c>
      <c r="D3972" t="s" s="9">
        <v>42</v>
      </c>
      <c r="E3972" t="s" s="9">
        <v>71</v>
      </c>
      <c r="F3972" s="10">
        <v>1232</v>
      </c>
      <c r="G3972" s="10">
        <v>5458063</v>
      </c>
      <c r="H3972" s="11" cm="1">
        <f t="array" ref="H3972">F3972/G3972*100000</f>
        <v>22.5721102889432</v>
      </c>
    </row>
    <row r="3973" ht="13" customHeight="1">
      <c r="A3973" s="8">
        <v>10</v>
      </c>
      <c r="B3973" t="s" s="9">
        <v>36</v>
      </c>
      <c r="C3973" t="s" s="9">
        <v>69</v>
      </c>
      <c r="D3973" t="s" s="9">
        <v>42</v>
      </c>
      <c r="E3973" t="s" s="9">
        <v>71</v>
      </c>
      <c r="F3973" s="10">
        <v>961</v>
      </c>
      <c r="G3973" s="10">
        <v>5458063</v>
      </c>
      <c r="H3973" s="11" cm="1">
        <f t="array" ref="H3973">F3973/G3973*100000</f>
        <v>17.6069788860993</v>
      </c>
    </row>
    <row r="3974" ht="13" customHeight="1">
      <c r="A3974" s="8">
        <v>1</v>
      </c>
      <c r="B3974" t="s" s="9">
        <v>30</v>
      </c>
      <c r="C3974" t="s" s="9">
        <v>69</v>
      </c>
      <c r="D3974" t="s" s="9">
        <v>43</v>
      </c>
      <c r="E3974" t="s" s="9">
        <v>71</v>
      </c>
      <c r="F3974" s="10">
        <v>3393</v>
      </c>
      <c r="G3974" s="10">
        <v>3817144</v>
      </c>
      <c r="H3974" s="11" cm="1">
        <f t="array" ref="H3974">F3974/G3974*100000</f>
        <v>88.8884464405849</v>
      </c>
    </row>
    <row r="3975" ht="13" customHeight="1">
      <c r="A3975" s="8">
        <v>2</v>
      </c>
      <c r="B3975" t="s" s="9">
        <v>34</v>
      </c>
      <c r="C3975" t="s" s="9">
        <v>69</v>
      </c>
      <c r="D3975" t="s" s="9">
        <v>43</v>
      </c>
      <c r="E3975" t="s" s="9">
        <v>71</v>
      </c>
      <c r="F3975" s="10">
        <v>1883</v>
      </c>
      <c r="G3975" s="10">
        <v>3817144</v>
      </c>
      <c r="H3975" s="11" cm="1">
        <f t="array" ref="H3975">F3975/G3975*100000</f>
        <v>49.3300750508757</v>
      </c>
    </row>
    <row r="3976" ht="13" customHeight="1">
      <c r="A3976" s="8">
        <v>3</v>
      </c>
      <c r="B3976" t="s" s="9">
        <v>30</v>
      </c>
      <c r="C3976" t="s" s="9">
        <v>69</v>
      </c>
      <c r="D3976" t="s" s="9">
        <v>43</v>
      </c>
      <c r="E3976" t="s" s="9">
        <v>71</v>
      </c>
      <c r="F3976" s="10">
        <v>536</v>
      </c>
      <c r="G3976" s="10">
        <v>3817144</v>
      </c>
      <c r="H3976" s="11" cm="1">
        <f t="array" ref="H3976">F3976/G3976*100000</f>
        <v>14.0419119634994</v>
      </c>
    </row>
    <row r="3977" ht="13" customHeight="1">
      <c r="A3977" s="8">
        <v>4</v>
      </c>
      <c r="B3977" t="s" s="9">
        <v>30</v>
      </c>
      <c r="C3977" t="s" s="9">
        <v>69</v>
      </c>
      <c r="D3977" t="s" s="9">
        <v>43</v>
      </c>
      <c r="E3977" t="s" s="9">
        <v>71</v>
      </c>
      <c r="F3977" s="10">
        <v>646</v>
      </c>
      <c r="G3977" s="10">
        <v>3817144</v>
      </c>
      <c r="H3977" s="11" cm="1">
        <f t="array" ref="H3977">F3977/G3977*100000</f>
        <v>16.9236476276504</v>
      </c>
    </row>
    <row r="3978" ht="13" customHeight="1">
      <c r="A3978" s="8">
        <v>5</v>
      </c>
      <c r="B3978" t="s" s="9">
        <v>36</v>
      </c>
      <c r="C3978" t="s" s="9">
        <v>69</v>
      </c>
      <c r="D3978" t="s" s="9">
        <v>43</v>
      </c>
      <c r="E3978" t="s" s="9">
        <v>71</v>
      </c>
      <c r="F3978" s="10">
        <v>358</v>
      </c>
      <c r="G3978" s="10">
        <v>3817144</v>
      </c>
      <c r="H3978" s="11" cm="1">
        <f t="array" ref="H3978">F3978/G3978*100000</f>
        <v>9.37873970696416</v>
      </c>
    </row>
    <row r="3979" ht="13" customHeight="1">
      <c r="A3979" s="8">
        <v>6</v>
      </c>
      <c r="B3979" t="s" s="9">
        <v>37</v>
      </c>
      <c r="C3979" t="s" s="9">
        <v>69</v>
      </c>
      <c r="D3979" t="s" s="9">
        <v>43</v>
      </c>
      <c r="E3979" t="s" s="9">
        <v>71</v>
      </c>
      <c r="F3979" s="10">
        <v>416</v>
      </c>
      <c r="G3979" s="10">
        <v>3817144</v>
      </c>
      <c r="H3979" s="11" cm="1">
        <f t="array" ref="H3979">F3979/G3979*100000</f>
        <v>10.8982003298801</v>
      </c>
    </row>
    <row r="3980" ht="13" customHeight="1">
      <c r="A3980" s="8">
        <v>7</v>
      </c>
      <c r="B3980" t="s" s="9">
        <v>30</v>
      </c>
      <c r="C3980" t="s" s="9">
        <v>69</v>
      </c>
      <c r="D3980" t="s" s="9">
        <v>43</v>
      </c>
      <c r="E3980" t="s" s="9">
        <v>71</v>
      </c>
      <c r="F3980" s="10">
        <v>366</v>
      </c>
      <c r="G3980" s="10">
        <v>3817144</v>
      </c>
      <c r="H3980" s="11" cm="1">
        <f t="array" ref="H3980">F3980/G3980*100000</f>
        <v>9.58832048253878</v>
      </c>
    </row>
    <row r="3981" ht="13" customHeight="1">
      <c r="A3981" s="8">
        <v>8</v>
      </c>
      <c r="B3981" t="s" s="9">
        <v>35</v>
      </c>
      <c r="C3981" t="s" s="9">
        <v>69</v>
      </c>
      <c r="D3981" t="s" s="9">
        <v>43</v>
      </c>
      <c r="E3981" t="s" s="9">
        <v>71</v>
      </c>
      <c r="F3981" s="10">
        <v>244</v>
      </c>
      <c r="G3981" s="10">
        <v>3817144</v>
      </c>
      <c r="H3981" s="11" cm="1">
        <f t="array" ref="H3981">F3981/G3981*100000</f>
        <v>6.39221365502585</v>
      </c>
    </row>
    <row r="3982" ht="13" customHeight="1">
      <c r="A3982" s="8">
        <v>9</v>
      </c>
      <c r="B3982" t="s" s="9">
        <v>37</v>
      </c>
      <c r="C3982" t="s" s="9">
        <v>69</v>
      </c>
      <c r="D3982" t="s" s="9">
        <v>43</v>
      </c>
      <c r="E3982" t="s" s="9">
        <v>71</v>
      </c>
      <c r="F3982" s="10">
        <v>377</v>
      </c>
      <c r="G3982" s="10">
        <v>3817144</v>
      </c>
      <c r="H3982" s="11" cm="1">
        <f t="array" ref="H3982">F3982/G3982*100000</f>
        <v>9.87649404895388</v>
      </c>
    </row>
    <row r="3983" ht="13" customHeight="1">
      <c r="A3983" s="8">
        <v>10</v>
      </c>
      <c r="B3983" t="s" s="9">
        <v>39</v>
      </c>
      <c r="C3983" t="s" s="9">
        <v>69</v>
      </c>
      <c r="D3983" t="s" s="9">
        <v>43</v>
      </c>
      <c r="E3983" t="s" s="9">
        <v>71</v>
      </c>
      <c r="F3983" s="10">
        <v>347</v>
      </c>
      <c r="G3983" s="10">
        <v>3817144</v>
      </c>
      <c r="H3983" s="11" cm="1">
        <f t="array" ref="H3983">F3983/G3983*100000</f>
        <v>9.090566140549059</v>
      </c>
    </row>
    <row r="3984" ht="13" customHeight="1">
      <c r="A3984" s="8">
        <v>1</v>
      </c>
      <c r="B3984" t="s" s="9">
        <v>30</v>
      </c>
      <c r="C3984" t="s" s="9">
        <v>69</v>
      </c>
      <c r="D3984" t="s" s="9">
        <v>44</v>
      </c>
      <c r="E3984" t="s" s="9">
        <v>71</v>
      </c>
      <c r="F3984" s="10">
        <v>19166</v>
      </c>
      <c r="G3984" s="10">
        <v>13239670</v>
      </c>
      <c r="H3984" s="11" cm="1">
        <f t="array" ref="H3984">F3984/G3984*100000</f>
        <v>144.761916271327</v>
      </c>
    </row>
    <row r="3985" ht="13" customHeight="1">
      <c r="A3985" s="8">
        <v>2</v>
      </c>
      <c r="B3985" t="s" s="9">
        <v>34</v>
      </c>
      <c r="C3985" t="s" s="9">
        <v>69</v>
      </c>
      <c r="D3985" t="s" s="9">
        <v>44</v>
      </c>
      <c r="E3985" t="s" s="9">
        <v>71</v>
      </c>
      <c r="F3985" s="10">
        <v>10732</v>
      </c>
      <c r="G3985" s="10">
        <v>13239670</v>
      </c>
      <c r="H3985" s="11" cm="1">
        <f t="array" ref="H3985">F3985/G3985*100000</f>
        <v>81.05942217593039</v>
      </c>
    </row>
    <row r="3986" ht="13" customHeight="1">
      <c r="A3986" s="8">
        <v>3</v>
      </c>
      <c r="B3986" t="s" s="9">
        <v>35</v>
      </c>
      <c r="C3986" t="s" s="9">
        <v>69</v>
      </c>
      <c r="D3986" t="s" s="9">
        <v>44</v>
      </c>
      <c r="E3986" t="s" s="9">
        <v>71</v>
      </c>
      <c r="F3986" s="10">
        <v>4833</v>
      </c>
      <c r="G3986" s="10">
        <v>13239670</v>
      </c>
      <c r="H3986" s="11" cm="1">
        <f t="array" ref="H3986">F3986/G3986*100000</f>
        <v>36.5039309892165</v>
      </c>
    </row>
    <row r="3987" ht="13" customHeight="1">
      <c r="A3987" s="8">
        <v>4</v>
      </c>
      <c r="B3987" t="s" s="9">
        <v>37</v>
      </c>
      <c r="C3987" t="s" s="9">
        <v>69</v>
      </c>
      <c r="D3987" t="s" s="9">
        <v>44</v>
      </c>
      <c r="E3987" t="s" s="9">
        <v>71</v>
      </c>
      <c r="F3987" s="10">
        <v>4414</v>
      </c>
      <c r="G3987" s="10">
        <v>13239670</v>
      </c>
      <c r="H3987" s="11" cm="1">
        <f t="array" ref="H3987">F3987/G3987*100000</f>
        <v>33.3391995419825</v>
      </c>
    </row>
    <row r="3988" ht="13" customHeight="1">
      <c r="A3988" s="8">
        <v>5</v>
      </c>
      <c r="B3988" t="s" s="9">
        <v>39</v>
      </c>
      <c r="C3988" t="s" s="9">
        <v>69</v>
      </c>
      <c r="D3988" t="s" s="9">
        <v>44</v>
      </c>
      <c r="E3988" t="s" s="9">
        <v>71</v>
      </c>
      <c r="F3988" s="10">
        <v>3139</v>
      </c>
      <c r="G3988" s="10">
        <v>13239670</v>
      </c>
      <c r="H3988" s="11" cm="1">
        <f t="array" ref="H3988">F3988/G3988*100000</f>
        <v>23.7090501500415</v>
      </c>
    </row>
    <row r="3989" ht="13" customHeight="1">
      <c r="A3989" s="8">
        <v>6</v>
      </c>
      <c r="B3989" t="s" s="9">
        <v>30</v>
      </c>
      <c r="C3989" t="s" s="9">
        <v>69</v>
      </c>
      <c r="D3989" t="s" s="9">
        <v>44</v>
      </c>
      <c r="E3989" t="s" s="9">
        <v>71</v>
      </c>
      <c r="F3989" s="10">
        <v>2661</v>
      </c>
      <c r="G3989" s="10">
        <v>13239670</v>
      </c>
      <c r="H3989" s="11" cm="1">
        <f t="array" ref="H3989">F3989/G3989*100000</f>
        <v>20.0986882603569</v>
      </c>
    </row>
    <row r="3990" ht="13" customHeight="1">
      <c r="A3990" s="8">
        <v>7</v>
      </c>
      <c r="B3990" t="s" s="9">
        <v>30</v>
      </c>
      <c r="C3990" t="s" s="9">
        <v>69</v>
      </c>
      <c r="D3990" t="s" s="9">
        <v>44</v>
      </c>
      <c r="E3990" t="s" s="9">
        <v>71</v>
      </c>
      <c r="F3990" s="10">
        <v>2098</v>
      </c>
      <c r="G3990" s="10">
        <v>13239670</v>
      </c>
      <c r="H3990" s="11" cm="1">
        <f t="array" ref="H3990">F3990/G3990*100000</f>
        <v>15.8463164112096</v>
      </c>
    </row>
    <row r="3991" ht="13" customHeight="1">
      <c r="A3991" s="8">
        <v>8</v>
      </c>
      <c r="B3991" t="s" s="9">
        <v>41</v>
      </c>
      <c r="C3991" t="s" s="9">
        <v>69</v>
      </c>
      <c r="D3991" t="s" s="9">
        <v>44</v>
      </c>
      <c r="E3991" t="s" s="9">
        <v>71</v>
      </c>
      <c r="F3991" s="10">
        <v>1871</v>
      </c>
      <c r="G3991" s="10">
        <v>13239670</v>
      </c>
      <c r="H3991" s="11" cm="1">
        <f t="array" ref="H3991">F3991/G3991*100000</f>
        <v>14.1317721665268</v>
      </c>
    </row>
    <row r="3992" ht="13" customHeight="1">
      <c r="A3992" s="8">
        <v>9</v>
      </c>
      <c r="B3992" t="s" s="9">
        <v>30</v>
      </c>
      <c r="C3992" t="s" s="9">
        <v>69</v>
      </c>
      <c r="D3992" t="s" s="9">
        <v>44</v>
      </c>
      <c r="E3992" t="s" s="9">
        <v>71</v>
      </c>
      <c r="F3992" s="10">
        <v>1816</v>
      </c>
      <c r="G3992" s="10">
        <v>13239670</v>
      </c>
      <c r="H3992" s="11" cm="1">
        <f t="array" ref="H3992">F3992/G3992*100000</f>
        <v>13.7163539574627</v>
      </c>
    </row>
    <row r="3993" ht="13" customHeight="1">
      <c r="A3993" s="8">
        <v>10</v>
      </c>
      <c r="B3993" t="s" s="9">
        <v>30</v>
      </c>
      <c r="C3993" t="s" s="9">
        <v>69</v>
      </c>
      <c r="D3993" t="s" s="9">
        <v>44</v>
      </c>
      <c r="E3993" t="s" s="9">
        <v>71</v>
      </c>
      <c r="F3993" s="10">
        <v>1683</v>
      </c>
      <c r="G3993" s="10">
        <v>13239670</v>
      </c>
      <c r="H3993" s="11" cm="1">
        <f t="array" ref="H3993">F3993/G3993*100000</f>
        <v>12.7117971973622</v>
      </c>
    </row>
    <row r="3994" ht="13" customHeight="1">
      <c r="A3994" s="8">
        <v>1</v>
      </c>
      <c r="B3994" t="s" s="9">
        <v>30</v>
      </c>
      <c r="C3994" t="s" s="9">
        <v>69</v>
      </c>
      <c r="D3994" t="s" s="9">
        <v>46</v>
      </c>
      <c r="E3994" t="s" s="9">
        <v>71</v>
      </c>
      <c r="F3994" s="10">
        <v>13766</v>
      </c>
      <c r="G3994" s="10">
        <v>17477569</v>
      </c>
      <c r="H3994" s="11" cm="1">
        <f t="array" ref="H3994">F3994/G3994*100000</f>
        <v>78.76381434969591</v>
      </c>
    </row>
    <row r="3995" ht="13" customHeight="1">
      <c r="A3995" s="8">
        <v>2</v>
      </c>
      <c r="B3995" t="s" s="9">
        <v>30</v>
      </c>
      <c r="C3995" t="s" s="9">
        <v>69</v>
      </c>
      <c r="D3995" t="s" s="9">
        <v>46</v>
      </c>
      <c r="E3995" t="s" s="9">
        <v>71</v>
      </c>
      <c r="F3995" s="10">
        <v>5398</v>
      </c>
      <c r="G3995" s="10">
        <v>17477569</v>
      </c>
      <c r="H3995" s="11" cm="1">
        <f t="array" ref="H3995">F3995/G3995*100000</f>
        <v>30.885302183616</v>
      </c>
    </row>
    <row r="3996" ht="13" customHeight="1">
      <c r="A3996" s="8">
        <v>3</v>
      </c>
      <c r="B3996" t="s" s="9">
        <v>35</v>
      </c>
      <c r="C3996" t="s" s="9">
        <v>69</v>
      </c>
      <c r="D3996" t="s" s="9">
        <v>46</v>
      </c>
      <c r="E3996" t="s" s="9">
        <v>71</v>
      </c>
      <c r="F3996" s="10">
        <v>5240</v>
      </c>
      <c r="G3996" s="10">
        <v>17477569</v>
      </c>
      <c r="H3996" s="11" cm="1">
        <f t="array" ref="H3996">F3996/G3996*100000</f>
        <v>29.9812862990271</v>
      </c>
    </row>
    <row r="3997" ht="13" customHeight="1">
      <c r="A3997" s="8">
        <v>4</v>
      </c>
      <c r="B3997" t="s" s="9">
        <v>34</v>
      </c>
      <c r="C3997" t="s" s="9">
        <v>69</v>
      </c>
      <c r="D3997" t="s" s="9">
        <v>46</v>
      </c>
      <c r="E3997" t="s" s="9">
        <v>71</v>
      </c>
      <c r="F3997" s="10">
        <v>4559</v>
      </c>
      <c r="G3997" s="10">
        <v>17477569</v>
      </c>
      <c r="H3997" s="11" cm="1">
        <f t="array" ref="H3997">F3997/G3997*100000</f>
        <v>26.0848634040581</v>
      </c>
    </row>
    <row r="3998" ht="13" customHeight="1">
      <c r="A3998" s="8">
        <v>5</v>
      </c>
      <c r="B3998" t="s" s="9">
        <v>41</v>
      </c>
      <c r="C3998" t="s" s="9">
        <v>69</v>
      </c>
      <c r="D3998" t="s" s="9">
        <v>46</v>
      </c>
      <c r="E3998" t="s" s="9">
        <v>71</v>
      </c>
      <c r="F3998" s="10">
        <v>4098</v>
      </c>
      <c r="G3998" s="10">
        <v>17477569</v>
      </c>
      <c r="H3998" s="11" cm="1">
        <f t="array" ref="H3998">F3998/G3998*100000</f>
        <v>23.4471968040864</v>
      </c>
    </row>
    <row r="3999" ht="13" customHeight="1">
      <c r="A3999" s="8">
        <v>6</v>
      </c>
      <c r="B3999" t="s" s="9">
        <v>30</v>
      </c>
      <c r="C3999" t="s" s="9">
        <v>69</v>
      </c>
      <c r="D3999" t="s" s="9">
        <v>46</v>
      </c>
      <c r="E3999" t="s" s="9">
        <v>71</v>
      </c>
      <c r="F3999" s="10">
        <v>3378</v>
      </c>
      <c r="G3999" s="10">
        <v>17477569</v>
      </c>
      <c r="H3999" s="11" cm="1">
        <f t="array" ref="H3999">F3999/G3999*100000</f>
        <v>19.3276307477316</v>
      </c>
    </row>
    <row r="4000" ht="13" customHeight="1">
      <c r="A4000" s="8">
        <v>7</v>
      </c>
      <c r="B4000" t="s" s="9">
        <v>39</v>
      </c>
      <c r="C4000" t="s" s="9">
        <v>69</v>
      </c>
      <c r="D4000" t="s" s="9">
        <v>46</v>
      </c>
      <c r="E4000" t="s" s="9">
        <v>71</v>
      </c>
      <c r="F4000" s="10">
        <v>4151</v>
      </c>
      <c r="G4000" s="10">
        <v>17477569</v>
      </c>
      <c r="H4000" s="11" cm="1">
        <f t="array" ref="H4000">F4000/G4000*100000</f>
        <v>23.7504426387903</v>
      </c>
    </row>
    <row r="4001" ht="13" customHeight="1">
      <c r="A4001" s="8">
        <v>8</v>
      </c>
      <c r="B4001" t="s" s="9">
        <v>41</v>
      </c>
      <c r="C4001" t="s" s="9">
        <v>69</v>
      </c>
      <c r="D4001" t="s" s="9">
        <v>46</v>
      </c>
      <c r="E4001" t="s" s="9">
        <v>71</v>
      </c>
      <c r="F4001" s="10">
        <v>710</v>
      </c>
      <c r="G4001" s="10">
        <v>17477569</v>
      </c>
      <c r="H4001" s="11" cm="1">
        <f t="array" ref="H4001">F4001/G4001*100000</f>
        <v>4.06234986112771</v>
      </c>
    </row>
    <row r="4002" ht="13" customHeight="1">
      <c r="A4002" s="8">
        <v>9</v>
      </c>
      <c r="B4002" t="s" s="9">
        <v>37</v>
      </c>
      <c r="C4002" t="s" s="9">
        <v>69</v>
      </c>
      <c r="D4002" t="s" s="9">
        <v>46</v>
      </c>
      <c r="E4002" t="s" s="9">
        <v>71</v>
      </c>
      <c r="F4002" s="10">
        <v>1659</v>
      </c>
      <c r="G4002" s="10">
        <v>17477569</v>
      </c>
      <c r="H4002" s="11" cm="1">
        <f t="array" ref="H4002">F4002/G4002*100000</f>
        <v>9.492166788184329</v>
      </c>
    </row>
    <row r="4003" ht="13" customHeight="1">
      <c r="A4003" s="8">
        <v>10</v>
      </c>
      <c r="B4003" t="s" s="9">
        <v>30</v>
      </c>
      <c r="C4003" t="s" s="9">
        <v>69</v>
      </c>
      <c r="D4003" t="s" s="9">
        <v>46</v>
      </c>
      <c r="E4003" t="s" s="9">
        <v>71</v>
      </c>
      <c r="F4003" s="10">
        <v>1352</v>
      </c>
      <c r="G4003" s="10">
        <v>17477569</v>
      </c>
      <c r="H4003" s="11" cm="1">
        <f t="array" ref="H4003">F4003/G4003*100000</f>
        <v>7.7356295947108</v>
      </c>
    </row>
    <row r="4004" ht="13" customHeight="1">
      <c r="A4004" s="8">
        <v>1</v>
      </c>
      <c r="B4004" t="s" s="9">
        <v>30</v>
      </c>
      <c r="C4004" t="s" s="9">
        <v>69</v>
      </c>
      <c r="D4004" t="s" s="9">
        <v>47</v>
      </c>
      <c r="E4004" t="s" s="9">
        <v>71</v>
      </c>
      <c r="F4004" s="10">
        <v>3087</v>
      </c>
      <c r="G4004" s="10">
        <v>3342831</v>
      </c>
      <c r="H4004" s="11" cm="1">
        <f t="array" ref="H4004">F4004/G4004*100000</f>
        <v>92.3468760460819</v>
      </c>
    </row>
    <row r="4005" ht="13" customHeight="1">
      <c r="A4005" s="8">
        <v>2</v>
      </c>
      <c r="B4005" t="s" s="9">
        <v>35</v>
      </c>
      <c r="C4005" t="s" s="9">
        <v>69</v>
      </c>
      <c r="D4005" t="s" s="9">
        <v>47</v>
      </c>
      <c r="E4005" t="s" s="9">
        <v>71</v>
      </c>
      <c r="F4005" s="10">
        <v>1314</v>
      </c>
      <c r="G4005" s="10">
        <v>3342831</v>
      </c>
      <c r="H4005" s="11" cm="1">
        <f t="array" ref="H4005">F4005/G4005*100000</f>
        <v>39.307999716408</v>
      </c>
    </row>
    <row r="4006" ht="13" customHeight="1">
      <c r="A4006" s="8">
        <v>3</v>
      </c>
      <c r="B4006" t="s" s="9">
        <v>34</v>
      </c>
      <c r="C4006" t="s" s="9">
        <v>69</v>
      </c>
      <c r="D4006" t="s" s="9">
        <v>47</v>
      </c>
      <c r="E4006" t="s" s="9">
        <v>71</v>
      </c>
      <c r="F4006" s="10">
        <v>799</v>
      </c>
      <c r="G4006" s="10">
        <v>3342831</v>
      </c>
      <c r="H4006" s="11" cm="1">
        <f t="array" ref="H4006">F4006/G4006*100000</f>
        <v>23.9018963267961</v>
      </c>
    </row>
    <row r="4007" ht="13" customHeight="1">
      <c r="A4007" s="8">
        <v>4</v>
      </c>
      <c r="B4007" t="s" s="9">
        <v>30</v>
      </c>
      <c r="C4007" t="s" s="9">
        <v>69</v>
      </c>
      <c r="D4007" t="s" s="9">
        <v>47</v>
      </c>
      <c r="E4007" t="s" s="9">
        <v>71</v>
      </c>
      <c r="F4007" s="10">
        <v>419</v>
      </c>
      <c r="G4007" s="10">
        <v>3342831</v>
      </c>
      <c r="H4007" s="11" cm="1">
        <f t="array" ref="H4007">F4007/G4007*100000</f>
        <v>12.5342860587329</v>
      </c>
    </row>
    <row r="4008" ht="13" customHeight="1">
      <c r="A4008" s="8">
        <v>5</v>
      </c>
      <c r="B4008" t="s" s="9">
        <v>39</v>
      </c>
      <c r="C4008" t="s" s="9">
        <v>69</v>
      </c>
      <c r="D4008" t="s" s="9">
        <v>47</v>
      </c>
      <c r="E4008" t="s" s="9">
        <v>71</v>
      </c>
      <c r="F4008" s="10">
        <v>513</v>
      </c>
      <c r="G4008" s="10">
        <v>3342831</v>
      </c>
      <c r="H4008" s="11" cm="1">
        <f t="array" ref="H4008">F4008/G4008*100000</f>
        <v>15.3462738618853</v>
      </c>
    </row>
    <row r="4009" ht="13" customHeight="1">
      <c r="A4009" s="8">
        <v>6</v>
      </c>
      <c r="B4009" t="s" s="9">
        <v>35</v>
      </c>
      <c r="C4009" t="s" s="9">
        <v>69</v>
      </c>
      <c r="D4009" t="s" s="9">
        <v>47</v>
      </c>
      <c r="E4009" t="s" s="9">
        <v>71</v>
      </c>
      <c r="F4009" s="10">
        <v>253</v>
      </c>
      <c r="G4009" s="10">
        <v>3342831</v>
      </c>
      <c r="H4009" s="11" cm="1">
        <f t="array" ref="H4009">F4009/G4009*100000</f>
        <v>7.56843525742103</v>
      </c>
    </row>
    <row r="4010" ht="13" customHeight="1">
      <c r="A4010" s="8">
        <v>7</v>
      </c>
      <c r="B4010" t="s" s="9">
        <v>45</v>
      </c>
      <c r="C4010" t="s" s="9">
        <v>69</v>
      </c>
      <c r="D4010" t="s" s="9">
        <v>47</v>
      </c>
      <c r="E4010" t="s" s="9">
        <v>71</v>
      </c>
      <c r="F4010" s="10">
        <v>255</v>
      </c>
      <c r="G4010" s="10">
        <v>3342831</v>
      </c>
      <c r="H4010" s="11" cm="1">
        <f t="array" ref="H4010">F4010/G4010*100000</f>
        <v>7.62826478514768</v>
      </c>
    </row>
    <row r="4011" ht="13" customHeight="1">
      <c r="A4011" s="8">
        <v>8</v>
      </c>
      <c r="B4011" t="s" s="9">
        <v>30</v>
      </c>
      <c r="C4011" t="s" s="9">
        <v>69</v>
      </c>
      <c r="D4011" t="s" s="9">
        <v>47</v>
      </c>
      <c r="E4011" t="s" s="9">
        <v>71</v>
      </c>
      <c r="F4011" s="10">
        <v>278</v>
      </c>
      <c r="G4011" s="10">
        <v>3342831</v>
      </c>
      <c r="H4011" s="11" cm="1">
        <f t="array" ref="H4011">F4011/G4011*100000</f>
        <v>8.31630435400414</v>
      </c>
    </row>
    <row r="4012" ht="13" customHeight="1">
      <c r="A4012" s="8">
        <v>9</v>
      </c>
      <c r="B4012" t="s" s="9">
        <v>41</v>
      </c>
      <c r="C4012" t="s" s="9">
        <v>69</v>
      </c>
      <c r="D4012" t="s" s="9">
        <v>47</v>
      </c>
      <c r="E4012" t="s" s="9">
        <v>71</v>
      </c>
      <c r="F4012" s="10">
        <v>294</v>
      </c>
      <c r="G4012" s="10">
        <v>3342831</v>
      </c>
      <c r="H4012" s="11" cm="1">
        <f t="array" ref="H4012">F4012/G4012*100000</f>
        <v>8.79494057581732</v>
      </c>
    </row>
    <row r="4013" ht="13" customHeight="1">
      <c r="A4013" s="8">
        <v>10</v>
      </c>
      <c r="B4013" t="s" s="9">
        <v>30</v>
      </c>
      <c r="C4013" t="s" s="9">
        <v>69</v>
      </c>
      <c r="D4013" t="s" s="9">
        <v>47</v>
      </c>
      <c r="E4013" t="s" s="9">
        <v>71</v>
      </c>
      <c r="F4013" s="10">
        <v>223</v>
      </c>
      <c r="G4013" s="10">
        <v>3342831</v>
      </c>
      <c r="H4013" s="11" cm="1">
        <f t="array" ref="H4013">F4013/G4013*100000</f>
        <v>6.6709923415213</v>
      </c>
    </row>
    <row r="4014" ht="13" customHeight="1">
      <c r="A4014" s="8">
        <v>1</v>
      </c>
      <c r="B4014" t="s" s="9">
        <v>30</v>
      </c>
      <c r="C4014" t="s" s="9">
        <v>69</v>
      </c>
      <c r="D4014" t="s" s="9">
        <v>49</v>
      </c>
      <c r="E4014" t="s" s="9">
        <v>71</v>
      </c>
      <c r="F4014" s="10">
        <v>4410</v>
      </c>
      <c r="G4014" s="10">
        <v>6397690</v>
      </c>
      <c r="H4014" s="11" cm="1">
        <f t="array" ref="H4014">F4014/G4014*100000</f>
        <v>68.9311298296729</v>
      </c>
    </row>
    <row r="4015" ht="13" customHeight="1">
      <c r="A4015" s="8">
        <v>2</v>
      </c>
      <c r="B4015" t="s" s="9">
        <v>34</v>
      </c>
      <c r="C4015" t="s" s="9">
        <v>69</v>
      </c>
      <c r="D4015" t="s" s="9">
        <v>49</v>
      </c>
      <c r="E4015" t="s" s="9">
        <v>71</v>
      </c>
      <c r="F4015" s="10">
        <v>1771</v>
      </c>
      <c r="G4015" s="10">
        <v>6397690</v>
      </c>
      <c r="H4015" s="11" cm="1">
        <f t="array" ref="H4015">F4015/G4015*100000</f>
        <v>27.6818664236623</v>
      </c>
    </row>
    <row r="4016" ht="13" customHeight="1">
      <c r="A4016" s="8">
        <v>3</v>
      </c>
      <c r="B4016" t="s" s="9">
        <v>35</v>
      </c>
      <c r="C4016" t="s" s="9">
        <v>69</v>
      </c>
      <c r="D4016" t="s" s="9">
        <v>49</v>
      </c>
      <c r="E4016" t="s" s="9">
        <v>71</v>
      </c>
      <c r="F4016" s="10">
        <v>1394</v>
      </c>
      <c r="G4016" s="10">
        <v>6397690</v>
      </c>
      <c r="H4016" s="11" cm="1">
        <f t="array" ref="H4016">F4016/G4016*100000</f>
        <v>21.7891145085179</v>
      </c>
    </row>
    <row r="4017" ht="13" customHeight="1">
      <c r="A4017" s="8">
        <v>4</v>
      </c>
      <c r="B4017" t="s" s="9">
        <v>30</v>
      </c>
      <c r="C4017" t="s" s="9">
        <v>69</v>
      </c>
      <c r="D4017" t="s" s="9">
        <v>49</v>
      </c>
      <c r="E4017" t="s" s="9">
        <v>71</v>
      </c>
      <c r="F4017" s="10">
        <v>723</v>
      </c>
      <c r="G4017" s="10">
        <v>6397690</v>
      </c>
      <c r="H4017" s="11" cm="1">
        <f t="array" ref="H4017">F4017/G4017*100000</f>
        <v>11.300953938062</v>
      </c>
    </row>
    <row r="4018" ht="13" customHeight="1">
      <c r="A4018" s="8">
        <v>5</v>
      </c>
      <c r="B4018" t="s" s="9">
        <v>35</v>
      </c>
      <c r="C4018" t="s" s="9">
        <v>69</v>
      </c>
      <c r="D4018" t="s" s="9">
        <v>49</v>
      </c>
      <c r="E4018" t="s" s="9">
        <v>71</v>
      </c>
      <c r="F4018" s="10">
        <v>427</v>
      </c>
      <c r="G4018" s="10">
        <v>6397690</v>
      </c>
      <c r="H4018" s="11" cm="1">
        <f t="array" ref="H4018">F4018/G4018*100000</f>
        <v>6.67428399938103</v>
      </c>
    </row>
    <row r="4019" ht="13" customHeight="1">
      <c r="A4019" s="8">
        <v>6</v>
      </c>
      <c r="B4019" t="s" s="9">
        <v>39</v>
      </c>
      <c r="C4019" t="s" s="9">
        <v>69</v>
      </c>
      <c r="D4019" t="s" s="9">
        <v>49</v>
      </c>
      <c r="E4019" t="s" s="9">
        <v>71</v>
      </c>
      <c r="F4019" s="10">
        <v>718</v>
      </c>
      <c r="G4019" s="10">
        <v>6397690</v>
      </c>
      <c r="H4019" s="11" cm="1">
        <f t="array" ref="H4019">F4019/G4019*100000</f>
        <v>11.2228007296384</v>
      </c>
    </row>
    <row r="4020" ht="13" customHeight="1">
      <c r="A4020" s="8">
        <v>7</v>
      </c>
      <c r="B4020" t="s" s="9">
        <v>41</v>
      </c>
      <c r="C4020" t="s" s="9">
        <v>69</v>
      </c>
      <c r="D4020" t="s" s="9">
        <v>49</v>
      </c>
      <c r="E4020" t="s" s="9">
        <v>71</v>
      </c>
      <c r="F4020" s="10">
        <v>490</v>
      </c>
      <c r="G4020" s="10">
        <v>6397690</v>
      </c>
      <c r="H4020" s="11" cm="1">
        <f t="array" ref="H4020">F4020/G4020*100000</f>
        <v>7.65901442551921</v>
      </c>
    </row>
    <row r="4021" ht="13" customHeight="1">
      <c r="A4021" s="8">
        <v>8</v>
      </c>
      <c r="B4021" t="s" s="9">
        <v>30</v>
      </c>
      <c r="C4021" t="s" s="9">
        <v>69</v>
      </c>
      <c r="D4021" t="s" s="9">
        <v>49</v>
      </c>
      <c r="E4021" t="s" s="9">
        <v>71</v>
      </c>
      <c r="F4021" s="10">
        <v>453</v>
      </c>
      <c r="G4021" s="10">
        <v>6397690</v>
      </c>
      <c r="H4021" s="11" cm="1">
        <f t="array" ref="H4021">F4021/G4021*100000</f>
        <v>7.08068068318409</v>
      </c>
    </row>
    <row r="4022" ht="13" customHeight="1">
      <c r="A4022" s="8">
        <v>9</v>
      </c>
      <c r="B4022" t="s" s="9">
        <v>36</v>
      </c>
      <c r="C4022" t="s" s="9">
        <v>69</v>
      </c>
      <c r="D4022" t="s" s="9">
        <v>49</v>
      </c>
      <c r="E4022" t="s" s="9">
        <v>71</v>
      </c>
      <c r="F4022" s="10">
        <v>382</v>
      </c>
      <c r="G4022" s="10">
        <v>6397690</v>
      </c>
      <c r="H4022" s="11" cm="1">
        <f t="array" ref="H4022">F4022/G4022*100000</f>
        <v>5.97090512356804</v>
      </c>
    </row>
    <row r="4023" ht="13" customHeight="1">
      <c r="A4023" s="8">
        <v>10</v>
      </c>
      <c r="B4023" t="s" s="9">
        <v>36</v>
      </c>
      <c r="C4023" t="s" s="9">
        <v>69</v>
      </c>
      <c r="D4023" t="s" s="9">
        <v>49</v>
      </c>
      <c r="E4023" t="s" s="9">
        <v>71</v>
      </c>
      <c r="F4023" s="10">
        <v>338</v>
      </c>
      <c r="G4023" s="10">
        <v>6397690</v>
      </c>
      <c r="H4023" s="11" cm="1">
        <f t="array" ref="H4023">F4023/G4023*100000</f>
        <v>5.28315688943978</v>
      </c>
    </row>
    <row r="4024" ht="13.65" customHeight="1">
      <c r="A4024" s="8">
        <v>1</v>
      </c>
      <c r="B4024" t="s" s="9">
        <v>30</v>
      </c>
      <c r="C4024" t="s" s="9">
        <v>69</v>
      </c>
      <c r="D4024" t="s" s="9">
        <v>51</v>
      </c>
      <c r="E4024" t="s" s="9">
        <v>71</v>
      </c>
      <c r="F4024" s="10">
        <v>5041</v>
      </c>
      <c r="G4024" s="12"/>
      <c r="H4024" s="13"/>
    </row>
    <row r="4025" ht="13.65" customHeight="1">
      <c r="A4025" s="8">
        <v>2</v>
      </c>
      <c r="B4025" t="s" s="9">
        <v>34</v>
      </c>
      <c r="C4025" t="s" s="9">
        <v>69</v>
      </c>
      <c r="D4025" t="s" s="9">
        <v>51</v>
      </c>
      <c r="E4025" t="s" s="9">
        <v>71</v>
      </c>
      <c r="F4025" s="10">
        <v>3225</v>
      </c>
      <c r="G4025" s="14"/>
      <c r="H4025" s="15"/>
    </row>
    <row r="4026" ht="13.65" customHeight="1">
      <c r="A4026" s="8">
        <v>3</v>
      </c>
      <c r="B4026" t="s" s="9">
        <v>30</v>
      </c>
      <c r="C4026" t="s" s="9">
        <v>69</v>
      </c>
      <c r="D4026" t="s" s="9">
        <v>51</v>
      </c>
      <c r="E4026" t="s" s="9">
        <v>71</v>
      </c>
      <c r="F4026" s="10">
        <v>1715</v>
      </c>
      <c r="G4026" s="14"/>
      <c r="H4026" s="15"/>
    </row>
    <row r="4027" ht="13.65" customHeight="1">
      <c r="A4027" s="8">
        <v>4</v>
      </c>
      <c r="B4027" t="s" s="9">
        <v>35</v>
      </c>
      <c r="C4027" t="s" s="9">
        <v>69</v>
      </c>
      <c r="D4027" t="s" s="9">
        <v>51</v>
      </c>
      <c r="E4027" t="s" s="9">
        <v>71</v>
      </c>
      <c r="F4027" s="10">
        <v>1025</v>
      </c>
      <c r="G4027" s="14"/>
      <c r="H4027" s="15"/>
    </row>
    <row r="4028" ht="13.65" customHeight="1">
      <c r="A4028" s="8">
        <v>5</v>
      </c>
      <c r="B4028" t="s" s="9">
        <v>35</v>
      </c>
      <c r="C4028" t="s" s="9">
        <v>69</v>
      </c>
      <c r="D4028" t="s" s="9">
        <v>51</v>
      </c>
      <c r="E4028" t="s" s="9">
        <v>71</v>
      </c>
      <c r="F4028" s="10">
        <v>406</v>
      </c>
      <c r="G4028" s="14"/>
      <c r="H4028" s="15"/>
    </row>
    <row r="4029" ht="13.65" customHeight="1">
      <c r="A4029" s="8">
        <v>6</v>
      </c>
      <c r="B4029" t="s" s="9">
        <v>30</v>
      </c>
      <c r="C4029" t="s" s="9">
        <v>69</v>
      </c>
      <c r="D4029" t="s" s="9">
        <v>51</v>
      </c>
      <c r="E4029" t="s" s="9">
        <v>71</v>
      </c>
      <c r="F4029" s="10">
        <v>615</v>
      </c>
      <c r="G4029" s="14"/>
      <c r="H4029" s="15"/>
    </row>
    <row r="4030" ht="13.65" customHeight="1">
      <c r="A4030" s="8">
        <v>7</v>
      </c>
      <c r="B4030" t="s" s="9">
        <v>39</v>
      </c>
      <c r="C4030" t="s" s="9">
        <v>69</v>
      </c>
      <c r="D4030" t="s" s="9">
        <v>51</v>
      </c>
      <c r="E4030" t="s" s="9">
        <v>71</v>
      </c>
      <c r="F4030" s="10">
        <v>723</v>
      </c>
      <c r="G4030" s="14"/>
      <c r="H4030" s="15"/>
    </row>
    <row r="4031" ht="13.65" customHeight="1">
      <c r="A4031" s="8">
        <v>8</v>
      </c>
      <c r="B4031" t="s" s="9">
        <v>41</v>
      </c>
      <c r="C4031" t="s" s="9">
        <v>69</v>
      </c>
      <c r="D4031" t="s" s="9">
        <v>51</v>
      </c>
      <c r="E4031" t="s" s="9">
        <v>71</v>
      </c>
      <c r="F4031" s="10">
        <v>587</v>
      </c>
      <c r="G4031" s="14"/>
      <c r="H4031" s="15"/>
    </row>
    <row r="4032" ht="13.65" customHeight="1">
      <c r="A4032" s="8">
        <v>9</v>
      </c>
      <c r="B4032" t="s" s="9">
        <v>37</v>
      </c>
      <c r="C4032" t="s" s="9">
        <v>69</v>
      </c>
      <c r="D4032" t="s" s="9">
        <v>51</v>
      </c>
      <c r="E4032" t="s" s="9">
        <v>71</v>
      </c>
      <c r="F4032" s="10">
        <v>559</v>
      </c>
      <c r="G4032" s="14"/>
      <c r="H4032" s="15"/>
    </row>
    <row r="4033" ht="13.65" customHeight="1">
      <c r="A4033" s="8">
        <v>10</v>
      </c>
      <c r="B4033" t="s" s="9">
        <v>30</v>
      </c>
      <c r="C4033" t="s" s="9">
        <v>69</v>
      </c>
      <c r="D4033" t="s" s="9">
        <v>51</v>
      </c>
      <c r="E4033" t="s" s="9">
        <v>71</v>
      </c>
      <c r="F4033" s="10">
        <v>326</v>
      </c>
      <c r="G4033" s="14"/>
      <c r="H4033" s="15"/>
    </row>
    <row r="4034" ht="13.65" customHeight="1">
      <c r="A4034" s="8">
        <v>1</v>
      </c>
      <c r="B4034" t="s" s="9">
        <v>35</v>
      </c>
      <c r="C4034" t="s" s="9">
        <v>69</v>
      </c>
      <c r="D4034" t="s" s="9">
        <v>52</v>
      </c>
      <c r="E4034" t="s" s="9">
        <v>71</v>
      </c>
      <c r="F4034" s="10">
        <v>6687</v>
      </c>
      <c r="G4034" s="14"/>
      <c r="H4034" s="15"/>
    </row>
    <row r="4035" ht="13.65" customHeight="1">
      <c r="A4035" s="8">
        <v>2</v>
      </c>
      <c r="B4035" t="s" s="9">
        <v>30</v>
      </c>
      <c r="C4035" t="s" s="9">
        <v>69</v>
      </c>
      <c r="D4035" t="s" s="9">
        <v>52</v>
      </c>
      <c r="E4035" t="s" s="9">
        <v>71</v>
      </c>
      <c r="F4035" s="10">
        <v>7511</v>
      </c>
      <c r="G4035" s="14"/>
      <c r="H4035" s="15"/>
    </row>
    <row r="4036" ht="13.65" customHeight="1">
      <c r="A4036" s="8">
        <v>3</v>
      </c>
      <c r="B4036" t="s" s="9">
        <v>30</v>
      </c>
      <c r="C4036" t="s" s="9">
        <v>69</v>
      </c>
      <c r="D4036" t="s" s="9">
        <v>52</v>
      </c>
      <c r="E4036" t="s" s="9">
        <v>71</v>
      </c>
      <c r="F4036" s="10">
        <v>2590</v>
      </c>
      <c r="G4036" s="14"/>
      <c r="H4036" s="15"/>
    </row>
    <row r="4037" ht="13.65" customHeight="1">
      <c r="A4037" s="8">
        <v>4</v>
      </c>
      <c r="B4037" t="s" s="9">
        <v>34</v>
      </c>
      <c r="C4037" t="s" s="9">
        <v>69</v>
      </c>
      <c r="D4037" t="s" s="9">
        <v>52</v>
      </c>
      <c r="E4037" t="s" s="9">
        <v>71</v>
      </c>
      <c r="F4037" s="10">
        <v>2100</v>
      </c>
      <c r="G4037" s="14"/>
      <c r="H4037" s="15"/>
    </row>
    <row r="4038" ht="13.65" customHeight="1">
      <c r="A4038" s="8">
        <v>5</v>
      </c>
      <c r="B4038" t="s" s="9">
        <v>39</v>
      </c>
      <c r="C4038" t="s" s="9">
        <v>69</v>
      </c>
      <c r="D4038" t="s" s="9">
        <v>52</v>
      </c>
      <c r="E4038" t="s" s="9">
        <v>71</v>
      </c>
      <c r="F4038" s="10">
        <v>1519</v>
      </c>
      <c r="G4038" s="14"/>
      <c r="H4038" s="15"/>
    </row>
    <row r="4039" ht="13.65" customHeight="1">
      <c r="A4039" s="8">
        <v>6</v>
      </c>
      <c r="B4039" t="s" s="9">
        <v>30</v>
      </c>
      <c r="C4039" t="s" s="9">
        <v>69</v>
      </c>
      <c r="D4039" t="s" s="9">
        <v>52</v>
      </c>
      <c r="E4039" t="s" s="9">
        <v>71</v>
      </c>
      <c r="F4039" s="10">
        <v>1000</v>
      </c>
      <c r="G4039" s="14"/>
      <c r="H4039" s="15"/>
    </row>
    <row r="4040" ht="13.65" customHeight="1">
      <c r="A4040" s="8">
        <v>7</v>
      </c>
      <c r="B4040" t="s" s="9">
        <v>35</v>
      </c>
      <c r="C4040" t="s" s="9">
        <v>69</v>
      </c>
      <c r="D4040" t="s" s="9">
        <v>52</v>
      </c>
      <c r="E4040" t="s" s="9">
        <v>71</v>
      </c>
      <c r="F4040" s="10">
        <v>643</v>
      </c>
      <c r="G4040" s="14"/>
      <c r="H4040" s="15"/>
    </row>
    <row r="4041" ht="13.65" customHeight="1">
      <c r="A4041" s="8">
        <v>8</v>
      </c>
      <c r="B4041" t="s" s="9">
        <v>45</v>
      </c>
      <c r="C4041" t="s" s="9">
        <v>69</v>
      </c>
      <c r="D4041" t="s" s="9">
        <v>52</v>
      </c>
      <c r="E4041" t="s" s="9">
        <v>71</v>
      </c>
      <c r="F4041" s="10">
        <v>594</v>
      </c>
      <c r="G4041" s="14"/>
      <c r="H4041" s="15"/>
    </row>
    <row r="4042" ht="13.65" customHeight="1">
      <c r="A4042" s="8">
        <v>9</v>
      </c>
      <c r="B4042" t="s" s="9">
        <v>36</v>
      </c>
      <c r="C4042" t="s" s="9">
        <v>69</v>
      </c>
      <c r="D4042" t="s" s="9">
        <v>52</v>
      </c>
      <c r="E4042" t="s" s="9">
        <v>71</v>
      </c>
      <c r="F4042" s="10">
        <v>644</v>
      </c>
      <c r="G4042" s="14"/>
      <c r="H4042" s="15"/>
    </row>
    <row r="4043" ht="13.65" customHeight="1">
      <c r="A4043" s="8">
        <v>10</v>
      </c>
      <c r="B4043" t="s" s="9">
        <v>45</v>
      </c>
      <c r="C4043" t="s" s="9">
        <v>69</v>
      </c>
      <c r="D4043" t="s" s="9">
        <v>52</v>
      </c>
      <c r="E4043" t="s" s="9">
        <v>71</v>
      </c>
      <c r="F4043" s="10">
        <v>561</v>
      </c>
      <c r="G4043" s="16"/>
      <c r="H4043" s="17"/>
    </row>
    <row r="4044" ht="13" customHeight="1">
      <c r="A4044" s="8">
        <v>1</v>
      </c>
      <c r="B4044" t="s" s="9">
        <v>30</v>
      </c>
      <c r="C4044" t="s" s="9">
        <v>69</v>
      </c>
      <c r="D4044" t="s" s="9">
        <v>53</v>
      </c>
      <c r="E4044" t="s" s="9">
        <v>71</v>
      </c>
      <c r="F4044" s="10">
        <v>7264</v>
      </c>
      <c r="G4044" s="10">
        <v>5049226</v>
      </c>
      <c r="H4044" s="11" cm="1">
        <f t="array" ref="H4044">F4044/G4044*100000</f>
        <v>143.863633752975</v>
      </c>
    </row>
    <row r="4045" ht="13" customHeight="1">
      <c r="A4045" s="8">
        <v>2</v>
      </c>
      <c r="B4045" t="s" s="9">
        <v>34</v>
      </c>
      <c r="C4045" t="s" s="9">
        <v>69</v>
      </c>
      <c r="D4045" t="s" s="9">
        <v>53</v>
      </c>
      <c r="E4045" t="s" s="9">
        <v>71</v>
      </c>
      <c r="F4045" s="10">
        <v>3288</v>
      </c>
      <c r="G4045" s="10">
        <v>5049226</v>
      </c>
      <c r="H4045" s="11" cm="1">
        <f t="array" ref="H4045">F4045/G4045*100000</f>
        <v>65.1188914895075</v>
      </c>
    </row>
    <row r="4046" ht="13" customHeight="1">
      <c r="A4046" s="8">
        <v>3</v>
      </c>
      <c r="B4046" t="s" s="9">
        <v>30</v>
      </c>
      <c r="C4046" t="s" s="9">
        <v>69</v>
      </c>
      <c r="D4046" t="s" s="9">
        <v>53</v>
      </c>
      <c r="E4046" t="s" s="9">
        <v>71</v>
      </c>
      <c r="F4046" s="10">
        <v>2218</v>
      </c>
      <c r="G4046" s="10">
        <v>5049226</v>
      </c>
      <c r="H4046" s="11" cm="1">
        <f t="array" ref="H4046">F4046/G4046*100000</f>
        <v>43.9275247334938</v>
      </c>
    </row>
    <row r="4047" ht="13" customHeight="1">
      <c r="A4047" s="8">
        <v>4</v>
      </c>
      <c r="B4047" t="s" s="9">
        <v>35</v>
      </c>
      <c r="C4047" t="s" s="9">
        <v>69</v>
      </c>
      <c r="D4047" t="s" s="9">
        <v>53</v>
      </c>
      <c r="E4047" t="s" s="9">
        <v>71</v>
      </c>
      <c r="F4047" s="10">
        <v>1551</v>
      </c>
      <c r="G4047" s="10">
        <v>5049226</v>
      </c>
      <c r="H4047" s="11" cm="1">
        <f t="array" ref="H4047">F4047/G4047*100000</f>
        <v>30.7175792883899</v>
      </c>
    </row>
    <row r="4048" ht="13" customHeight="1">
      <c r="A4048" s="8">
        <v>5</v>
      </c>
      <c r="B4048" t="s" s="9">
        <v>30</v>
      </c>
      <c r="C4048" t="s" s="9">
        <v>69</v>
      </c>
      <c r="D4048" t="s" s="9">
        <v>53</v>
      </c>
      <c r="E4048" t="s" s="9">
        <v>71</v>
      </c>
      <c r="F4048" s="10">
        <v>1241</v>
      </c>
      <c r="G4048" s="10">
        <v>5049226</v>
      </c>
      <c r="H4048" s="11" cm="1">
        <f t="array" ref="H4048">F4048/G4048*100000</f>
        <v>24.5780244338439</v>
      </c>
    </row>
    <row r="4049" ht="13" customHeight="1">
      <c r="A4049" s="8">
        <v>6</v>
      </c>
      <c r="B4049" t="s" s="9">
        <v>39</v>
      </c>
      <c r="C4049" t="s" s="9">
        <v>69</v>
      </c>
      <c r="D4049" t="s" s="9">
        <v>53</v>
      </c>
      <c r="E4049" t="s" s="9">
        <v>71</v>
      </c>
      <c r="F4049" s="10">
        <v>1203</v>
      </c>
      <c r="G4049" s="10">
        <v>5049226</v>
      </c>
      <c r="H4049" s="11" cm="1">
        <f t="array" ref="H4049">F4049/G4049*100000</f>
        <v>23.8254338387705</v>
      </c>
    </row>
    <row r="4050" ht="13" customHeight="1">
      <c r="A4050" s="8">
        <v>7</v>
      </c>
      <c r="B4050" t="s" s="9">
        <v>35</v>
      </c>
      <c r="C4050" t="s" s="9">
        <v>69</v>
      </c>
      <c r="D4050" t="s" s="9">
        <v>53</v>
      </c>
      <c r="E4050" t="s" s="9">
        <v>71</v>
      </c>
      <c r="F4050" s="10">
        <v>561</v>
      </c>
      <c r="G4050" s="10">
        <v>5049226</v>
      </c>
      <c r="H4050" s="11" cm="1">
        <f t="array" ref="H4050">F4050/G4050*100000</f>
        <v>11.1106137851623</v>
      </c>
    </row>
    <row r="4051" ht="13" customHeight="1">
      <c r="A4051" s="8">
        <v>8</v>
      </c>
      <c r="B4051" t="s" s="9">
        <v>36</v>
      </c>
      <c r="C4051" t="s" s="9">
        <v>69</v>
      </c>
      <c r="D4051" t="s" s="9">
        <v>53</v>
      </c>
      <c r="E4051" t="s" s="9">
        <v>71</v>
      </c>
      <c r="F4051" s="10">
        <v>741</v>
      </c>
      <c r="G4051" s="10">
        <v>5049226</v>
      </c>
      <c r="H4051" s="11" cm="1">
        <f t="array" ref="H4051">F4051/G4051*100000</f>
        <v>14.675516603931</v>
      </c>
    </row>
    <row r="4052" ht="13" customHeight="1">
      <c r="A4052" s="8">
        <v>9</v>
      </c>
      <c r="B4052" t="s" s="9">
        <v>36</v>
      </c>
      <c r="C4052" t="s" s="9">
        <v>69</v>
      </c>
      <c r="D4052" t="s" s="9">
        <v>53</v>
      </c>
      <c r="E4052" t="s" s="9">
        <v>71</v>
      </c>
      <c r="F4052" s="10">
        <v>658</v>
      </c>
      <c r="G4052" s="10">
        <v>5049226</v>
      </c>
      <c r="H4052" s="11" cm="1">
        <f t="array" ref="H4052">F4052/G4052*100000</f>
        <v>13.0317003041654</v>
      </c>
    </row>
    <row r="4053" ht="13" customHeight="1">
      <c r="A4053" s="8">
        <v>10</v>
      </c>
      <c r="B4053" t="s" s="9">
        <v>41</v>
      </c>
      <c r="C4053" t="s" s="9">
        <v>69</v>
      </c>
      <c r="D4053" t="s" s="9">
        <v>53</v>
      </c>
      <c r="E4053" t="s" s="9">
        <v>71</v>
      </c>
      <c r="F4053" s="10">
        <v>628</v>
      </c>
      <c r="G4053" s="10">
        <v>5049226</v>
      </c>
      <c r="H4053" s="11" cm="1">
        <f t="array" ref="H4053">F4053/G4053*100000</f>
        <v>12.4375498343707</v>
      </c>
    </row>
    <row r="4054" ht="13" customHeight="1">
      <c r="A4054" s="8">
        <v>1</v>
      </c>
      <c r="B4054" t="s" s="9">
        <v>30</v>
      </c>
      <c r="C4054" t="s" s="9">
        <v>69</v>
      </c>
      <c r="D4054" t="s" s="9">
        <v>54</v>
      </c>
      <c r="E4054" t="s" s="9">
        <v>71</v>
      </c>
      <c r="F4054" s="10">
        <v>1950</v>
      </c>
      <c r="G4054" s="10">
        <v>3901529</v>
      </c>
      <c r="H4054" s="11" cm="1">
        <f t="array" ref="H4054">F4054/G4054*100000</f>
        <v>49.980405118096</v>
      </c>
    </row>
    <row r="4055" ht="13" customHeight="1">
      <c r="A4055" s="8">
        <v>2</v>
      </c>
      <c r="B4055" t="s" s="9">
        <v>35</v>
      </c>
      <c r="C4055" t="s" s="9">
        <v>69</v>
      </c>
      <c r="D4055" t="s" s="9">
        <v>54</v>
      </c>
      <c r="E4055" t="s" s="9">
        <v>71</v>
      </c>
      <c r="F4055" s="10">
        <v>633</v>
      </c>
      <c r="G4055" s="10">
        <v>3901529</v>
      </c>
      <c r="H4055" s="11" cm="1">
        <f t="array" ref="H4055">F4055/G4055*100000</f>
        <v>16.2244084306435</v>
      </c>
    </row>
    <row r="4056" ht="13" customHeight="1">
      <c r="A4056" s="8">
        <v>3</v>
      </c>
      <c r="B4056" t="s" s="9">
        <v>34</v>
      </c>
      <c r="C4056" t="s" s="9">
        <v>69</v>
      </c>
      <c r="D4056" t="s" s="9">
        <v>54</v>
      </c>
      <c r="E4056" t="s" s="9">
        <v>71</v>
      </c>
      <c r="F4056" s="10">
        <v>612</v>
      </c>
      <c r="G4056" s="10">
        <v>3901529</v>
      </c>
      <c r="H4056" s="11" cm="1">
        <f t="array" ref="H4056">F4056/G4056*100000</f>
        <v>15.6861579139871</v>
      </c>
    </row>
    <row r="4057" ht="13" customHeight="1">
      <c r="A4057" s="8">
        <v>4</v>
      </c>
      <c r="B4057" t="s" s="9">
        <v>30</v>
      </c>
      <c r="C4057" t="s" s="9">
        <v>69</v>
      </c>
      <c r="D4057" t="s" s="9">
        <v>54</v>
      </c>
      <c r="E4057" t="s" s="9">
        <v>71</v>
      </c>
      <c r="F4057" s="10">
        <v>454</v>
      </c>
      <c r="G4057" s="10">
        <v>3901529</v>
      </c>
      <c r="H4057" s="11" cm="1">
        <f t="array" ref="H4057">F4057/G4057*100000</f>
        <v>11.6364635505721</v>
      </c>
    </row>
    <row r="4058" ht="13" customHeight="1">
      <c r="A4058" s="8">
        <v>5</v>
      </c>
      <c r="B4058" t="s" s="9">
        <v>39</v>
      </c>
      <c r="C4058" t="s" s="9">
        <v>69</v>
      </c>
      <c r="D4058" t="s" s="9">
        <v>54</v>
      </c>
      <c r="E4058" t="s" s="9">
        <v>71</v>
      </c>
      <c r="F4058" s="10">
        <v>447</v>
      </c>
      <c r="G4058" s="10">
        <v>3901529</v>
      </c>
      <c r="H4058" s="11" cm="1">
        <f t="array" ref="H4058">F4058/G4058*100000</f>
        <v>11.4570467116866</v>
      </c>
    </row>
    <row r="4059" ht="13" customHeight="1">
      <c r="A4059" s="8">
        <v>6</v>
      </c>
      <c r="B4059" t="s" s="9">
        <v>39</v>
      </c>
      <c r="C4059" t="s" s="9">
        <v>69</v>
      </c>
      <c r="D4059" t="s" s="9">
        <v>54</v>
      </c>
      <c r="E4059" t="s" s="9">
        <v>71</v>
      </c>
      <c r="F4059" s="10">
        <v>431</v>
      </c>
      <c r="G4059" s="10">
        <v>3901529</v>
      </c>
      <c r="H4059" s="11" cm="1">
        <f t="array" ref="H4059">F4059/G4059*100000</f>
        <v>11.0469510799484</v>
      </c>
    </row>
    <row r="4060" ht="13" customHeight="1">
      <c r="A4060" s="8">
        <v>7</v>
      </c>
      <c r="B4060" t="s" s="9">
        <v>35</v>
      </c>
      <c r="C4060" t="s" s="9">
        <v>69</v>
      </c>
      <c r="D4060" t="s" s="9">
        <v>54</v>
      </c>
      <c r="E4060" t="s" s="9">
        <v>71</v>
      </c>
      <c r="F4060" s="10">
        <v>158</v>
      </c>
      <c r="G4060" s="10">
        <v>3901529</v>
      </c>
      <c r="H4060" s="11" cm="1">
        <f t="array" ref="H4060">F4060/G4060*100000</f>
        <v>4.04969436341496</v>
      </c>
    </row>
    <row r="4061" ht="13" customHeight="1">
      <c r="A4061" s="8">
        <v>8</v>
      </c>
      <c r="B4061" t="s" s="9">
        <v>30</v>
      </c>
      <c r="C4061" t="s" s="9">
        <v>69</v>
      </c>
      <c r="D4061" t="s" s="9">
        <v>54</v>
      </c>
      <c r="E4061" t="s" s="9">
        <v>71</v>
      </c>
      <c r="F4061" s="10">
        <v>190</v>
      </c>
      <c r="G4061" s="10">
        <v>3901529</v>
      </c>
      <c r="H4061" s="11" cm="1">
        <f t="array" ref="H4061">F4061/G4061*100000</f>
        <v>4.86988562689141</v>
      </c>
    </row>
    <row r="4062" ht="13" customHeight="1">
      <c r="A4062" s="8">
        <v>9</v>
      </c>
      <c r="B4062" t="s" s="9">
        <v>45</v>
      </c>
      <c r="C4062" t="s" s="9">
        <v>69</v>
      </c>
      <c r="D4062" t="s" s="9">
        <v>54</v>
      </c>
      <c r="E4062" t="s" s="9">
        <v>71</v>
      </c>
      <c r="F4062" s="10">
        <v>178</v>
      </c>
      <c r="G4062" s="10">
        <v>3901529</v>
      </c>
      <c r="H4062" s="11" cm="1">
        <f t="array" ref="H4062">F4062/G4062*100000</f>
        <v>4.56231390308774</v>
      </c>
    </row>
    <row r="4063" ht="13" customHeight="1">
      <c r="A4063" s="8">
        <v>10</v>
      </c>
      <c r="B4063" t="s" s="9">
        <v>37</v>
      </c>
      <c r="C4063" t="s" s="9">
        <v>69</v>
      </c>
      <c r="D4063" t="s" s="9">
        <v>54</v>
      </c>
      <c r="E4063" t="s" s="9">
        <v>71</v>
      </c>
      <c r="F4063" s="10">
        <v>171</v>
      </c>
      <c r="G4063" s="10">
        <v>3901529</v>
      </c>
      <c r="H4063" s="11" cm="1">
        <f t="array" ref="H4063">F4063/G4063*100000</f>
        <v>4.38289706420227</v>
      </c>
    </row>
    <row r="4064" ht="13" customHeight="1">
      <c r="A4064" s="8">
        <v>1</v>
      </c>
      <c r="B4064" t="s" s="9">
        <v>30</v>
      </c>
      <c r="C4064" t="s" s="9">
        <v>69</v>
      </c>
      <c r="D4064" t="s" s="9">
        <v>55</v>
      </c>
      <c r="E4064" t="s" s="9">
        <v>71</v>
      </c>
      <c r="F4064" s="10">
        <v>5143</v>
      </c>
      <c r="G4064" s="10">
        <v>5273604</v>
      </c>
      <c r="H4064" s="11" cm="1">
        <f t="array" ref="H4064">F4064/G4064*100000</f>
        <v>97.5234393784592</v>
      </c>
    </row>
    <row r="4065" ht="13" customHeight="1">
      <c r="A4065" s="8">
        <v>2</v>
      </c>
      <c r="B4065" t="s" s="9">
        <v>30</v>
      </c>
      <c r="C4065" t="s" s="9">
        <v>69</v>
      </c>
      <c r="D4065" t="s" s="9">
        <v>55</v>
      </c>
      <c r="E4065" t="s" s="9">
        <v>71</v>
      </c>
      <c r="F4065" s="10">
        <v>1910</v>
      </c>
      <c r="G4065" s="10">
        <v>5273604</v>
      </c>
      <c r="H4065" s="11" cm="1">
        <f t="array" ref="H4065">F4065/G4065*100000</f>
        <v>36.2181157326185</v>
      </c>
    </row>
    <row r="4066" ht="13" customHeight="1">
      <c r="A4066" s="8">
        <v>3</v>
      </c>
      <c r="B4066" t="s" s="9">
        <v>35</v>
      </c>
      <c r="C4066" t="s" s="9">
        <v>69</v>
      </c>
      <c r="D4066" t="s" s="9">
        <v>55</v>
      </c>
      <c r="E4066" t="s" s="9">
        <v>71</v>
      </c>
      <c r="F4066" s="10">
        <v>1477</v>
      </c>
      <c r="G4066" s="10">
        <v>5273604</v>
      </c>
      <c r="H4066" s="11" cm="1">
        <f t="array" ref="H4066">F4066/G4066*100000</f>
        <v>28.0074120089411</v>
      </c>
    </row>
    <row r="4067" ht="13" customHeight="1">
      <c r="A4067" s="8">
        <v>4</v>
      </c>
      <c r="B4067" t="s" s="9">
        <v>35</v>
      </c>
      <c r="C4067" t="s" s="9">
        <v>69</v>
      </c>
      <c r="D4067" t="s" s="9">
        <v>55</v>
      </c>
      <c r="E4067" t="s" s="9">
        <v>71</v>
      </c>
      <c r="F4067" s="10">
        <v>1259</v>
      </c>
      <c r="G4067" s="10">
        <v>5273604</v>
      </c>
      <c r="H4067" s="11" cm="1">
        <f t="array" ref="H4067">F4067/G4067*100000</f>
        <v>23.8736166007156</v>
      </c>
    </row>
    <row r="4068" ht="13" customHeight="1">
      <c r="A4068" s="8">
        <v>5</v>
      </c>
      <c r="B4068" t="s" s="9">
        <v>34</v>
      </c>
      <c r="C4068" t="s" s="9">
        <v>69</v>
      </c>
      <c r="D4068" t="s" s="9">
        <v>55</v>
      </c>
      <c r="E4068" t="s" s="9">
        <v>71</v>
      </c>
      <c r="F4068" s="10">
        <v>1419</v>
      </c>
      <c r="G4068" s="10">
        <v>5273604</v>
      </c>
      <c r="H4068" s="11" cm="1">
        <f t="array" ref="H4068">F4068/G4068*100000</f>
        <v>26.907594881982</v>
      </c>
    </row>
    <row r="4069" ht="13" customHeight="1">
      <c r="A4069" s="8">
        <v>6</v>
      </c>
      <c r="B4069" t="s" s="9">
        <v>41</v>
      </c>
      <c r="C4069" t="s" s="9">
        <v>69</v>
      </c>
      <c r="D4069" t="s" s="9">
        <v>55</v>
      </c>
      <c r="E4069" t="s" s="9">
        <v>71</v>
      </c>
      <c r="F4069" s="10">
        <v>884</v>
      </c>
      <c r="G4069" s="10">
        <v>5273604</v>
      </c>
      <c r="H4069" s="11" cm="1">
        <f t="array" ref="H4069">F4069/G4069*100000</f>
        <v>16.7627300039973</v>
      </c>
    </row>
    <row r="4070" ht="13" customHeight="1">
      <c r="A4070" s="8">
        <v>7</v>
      </c>
      <c r="B4070" t="s" s="9">
        <v>35</v>
      </c>
      <c r="C4070" t="s" s="9">
        <v>69</v>
      </c>
      <c r="D4070" t="s" s="9">
        <v>55</v>
      </c>
      <c r="E4070" t="s" s="9">
        <v>71</v>
      </c>
      <c r="F4070" s="10">
        <v>653</v>
      </c>
      <c r="G4070" s="10">
        <v>5273604</v>
      </c>
      <c r="H4070" s="11" cm="1">
        <f t="array" ref="H4070">F4070/G4070*100000</f>
        <v>12.3824238604188</v>
      </c>
    </row>
    <row r="4071" ht="13" customHeight="1">
      <c r="A4071" s="8">
        <v>8</v>
      </c>
      <c r="B4071" t="s" s="9">
        <v>39</v>
      </c>
      <c r="C4071" t="s" s="9">
        <v>69</v>
      </c>
      <c r="D4071" t="s" s="9">
        <v>55</v>
      </c>
      <c r="E4071" t="s" s="9">
        <v>71</v>
      </c>
      <c r="F4071" s="10">
        <v>705</v>
      </c>
      <c r="G4071" s="10">
        <v>5273604</v>
      </c>
      <c r="H4071" s="11" cm="1">
        <f t="array" ref="H4071">F4071/G4071*100000</f>
        <v>13.3684668018304</v>
      </c>
    </row>
    <row r="4072" ht="13" customHeight="1">
      <c r="A4072" s="8">
        <v>9</v>
      </c>
      <c r="B4072" t="s" s="9">
        <v>36</v>
      </c>
      <c r="C4072" t="s" s="9">
        <v>69</v>
      </c>
      <c r="D4072" t="s" s="9">
        <v>55</v>
      </c>
      <c r="E4072" t="s" s="9">
        <v>71</v>
      </c>
      <c r="F4072" s="10">
        <v>467</v>
      </c>
      <c r="G4072" s="10">
        <v>5273604</v>
      </c>
      <c r="H4072" s="11" cm="1">
        <f t="array" ref="H4072">F4072/G4072*100000</f>
        <v>8.85542410844652</v>
      </c>
    </row>
    <row r="4073" ht="13" customHeight="1">
      <c r="A4073" s="8">
        <v>10</v>
      </c>
      <c r="B4073" t="s" s="9">
        <v>45</v>
      </c>
      <c r="C4073" t="s" s="9">
        <v>69</v>
      </c>
      <c r="D4073" t="s" s="9">
        <v>55</v>
      </c>
      <c r="E4073" t="s" s="9">
        <v>71</v>
      </c>
      <c r="F4073" s="10">
        <v>510</v>
      </c>
      <c r="G4073" s="10">
        <v>5273604</v>
      </c>
      <c r="H4073" s="11" cm="1">
        <f t="array" ref="H4073">F4073/G4073*100000</f>
        <v>9.67080577153688</v>
      </c>
    </row>
    <row r="4074" ht="13" customHeight="1">
      <c r="A4074" s="8">
        <v>1</v>
      </c>
      <c r="B4074" t="s" s="9">
        <v>30</v>
      </c>
      <c r="C4074" t="s" s="9">
        <v>69</v>
      </c>
      <c r="D4074" t="s" s="9">
        <v>56</v>
      </c>
      <c r="E4074" t="s" s="9">
        <v>71</v>
      </c>
      <c r="F4074" s="10">
        <v>1852</v>
      </c>
      <c r="G4074" s="10">
        <v>5691183</v>
      </c>
      <c r="H4074" s="11" cm="1">
        <f t="array" ref="H4074">F4074/G4074*100000</f>
        <v>32.5415647326751</v>
      </c>
    </row>
    <row r="4075" ht="13" customHeight="1">
      <c r="A4075" s="8">
        <v>2</v>
      </c>
      <c r="B4075" t="s" s="9">
        <v>35</v>
      </c>
      <c r="C4075" t="s" s="9">
        <v>69</v>
      </c>
      <c r="D4075" t="s" s="9">
        <v>56</v>
      </c>
      <c r="E4075" t="s" s="9">
        <v>71</v>
      </c>
      <c r="F4075" s="10">
        <v>1522</v>
      </c>
      <c r="G4075" s="10">
        <v>5691183</v>
      </c>
      <c r="H4075" s="11" cm="1">
        <f t="array" ref="H4075">F4075/G4075*100000</f>
        <v>26.7431217727492</v>
      </c>
    </row>
    <row r="4076" ht="13" customHeight="1">
      <c r="A4076" s="8">
        <v>3</v>
      </c>
      <c r="B4076" t="s" s="9">
        <v>34</v>
      </c>
      <c r="C4076" t="s" s="9">
        <v>69</v>
      </c>
      <c r="D4076" t="s" s="9">
        <v>56</v>
      </c>
      <c r="E4076" t="s" s="9">
        <v>71</v>
      </c>
      <c r="F4076" s="10">
        <v>1057</v>
      </c>
      <c r="G4076" s="10">
        <v>5691183</v>
      </c>
      <c r="H4076" s="11" cm="1">
        <f t="array" ref="H4076">F4076/G4076*100000</f>
        <v>18.5725885110354</v>
      </c>
    </row>
    <row r="4077" ht="13" customHeight="1">
      <c r="A4077" s="8">
        <v>4</v>
      </c>
      <c r="B4077" t="s" s="9">
        <v>30</v>
      </c>
      <c r="C4077" t="s" s="9">
        <v>69</v>
      </c>
      <c r="D4077" t="s" s="9">
        <v>56</v>
      </c>
      <c r="E4077" t="s" s="9">
        <v>71</v>
      </c>
      <c r="F4077" s="10">
        <v>585</v>
      </c>
      <c r="G4077" s="10">
        <v>5691183</v>
      </c>
      <c r="H4077" s="11" cm="1">
        <f t="array" ref="H4077">F4077/G4077*100000</f>
        <v>10.2790579744141</v>
      </c>
    </row>
    <row r="4078" ht="13" customHeight="1">
      <c r="A4078" s="8">
        <v>5</v>
      </c>
      <c r="B4078" t="s" s="9">
        <v>30</v>
      </c>
      <c r="C4078" t="s" s="9">
        <v>69</v>
      </c>
      <c r="D4078" t="s" s="9">
        <v>56</v>
      </c>
      <c r="E4078" t="s" s="9">
        <v>71</v>
      </c>
      <c r="F4078" s="10">
        <v>515</v>
      </c>
      <c r="G4078" s="10">
        <v>5691183</v>
      </c>
      <c r="H4078" s="11" cm="1">
        <f t="array" ref="H4078">F4078/G4078*100000</f>
        <v>9.04908522533891</v>
      </c>
    </row>
    <row r="4079" ht="13" customHeight="1">
      <c r="A4079" s="8">
        <v>6</v>
      </c>
      <c r="B4079" t="s" s="9">
        <v>35</v>
      </c>
      <c r="C4079" t="s" s="9">
        <v>69</v>
      </c>
      <c r="D4079" t="s" s="9">
        <v>56</v>
      </c>
      <c r="E4079" t="s" s="9">
        <v>71</v>
      </c>
      <c r="F4079" s="10">
        <v>353</v>
      </c>
      <c r="G4079" s="10">
        <v>5691183</v>
      </c>
      <c r="H4079" s="11" cm="1">
        <f t="array" ref="H4079">F4079/G4079*100000</f>
        <v>6.20257686319347</v>
      </c>
    </row>
    <row r="4080" ht="13" customHeight="1">
      <c r="A4080" s="8">
        <v>7</v>
      </c>
      <c r="B4080" t="s" s="9">
        <v>37</v>
      </c>
      <c r="C4080" t="s" s="9">
        <v>69</v>
      </c>
      <c r="D4080" t="s" s="9">
        <v>56</v>
      </c>
      <c r="E4080" t="s" s="9">
        <v>71</v>
      </c>
      <c r="F4080" s="10">
        <v>522</v>
      </c>
      <c r="G4080" s="10">
        <v>5691183</v>
      </c>
      <c r="H4080" s="11" cm="1">
        <f t="array" ref="H4080">F4080/G4080*100000</f>
        <v>9.172082500246431</v>
      </c>
    </row>
    <row r="4081" ht="13" customHeight="1">
      <c r="A4081" s="8">
        <v>8</v>
      </c>
      <c r="B4081" t="s" s="9">
        <v>39</v>
      </c>
      <c r="C4081" t="s" s="9">
        <v>69</v>
      </c>
      <c r="D4081" t="s" s="9">
        <v>56</v>
      </c>
      <c r="E4081" t="s" s="9">
        <v>71</v>
      </c>
      <c r="F4081" s="10">
        <v>453</v>
      </c>
      <c r="G4081" s="10">
        <v>5691183</v>
      </c>
      <c r="H4081" s="11" cm="1">
        <f t="array" ref="H4081">F4081/G4081*100000</f>
        <v>7.95968079044374</v>
      </c>
    </row>
    <row r="4082" ht="13" customHeight="1">
      <c r="A4082" s="8">
        <v>9</v>
      </c>
      <c r="B4082" t="s" s="9">
        <v>45</v>
      </c>
      <c r="C4082" t="s" s="9">
        <v>69</v>
      </c>
      <c r="D4082" t="s" s="9">
        <v>56</v>
      </c>
      <c r="E4082" t="s" s="9">
        <v>71</v>
      </c>
      <c r="F4082" s="10">
        <v>187</v>
      </c>
      <c r="G4082" s="10">
        <v>5691183</v>
      </c>
      <c r="H4082" s="11" cm="1">
        <f t="array" ref="H4082">F4082/G4082*100000</f>
        <v>3.28578434395801</v>
      </c>
    </row>
    <row r="4083" ht="13" customHeight="1">
      <c r="A4083" s="8">
        <v>10</v>
      </c>
      <c r="B4083" t="s" s="9">
        <v>30</v>
      </c>
      <c r="C4083" t="s" s="9">
        <v>69</v>
      </c>
      <c r="D4083" t="s" s="9">
        <v>56</v>
      </c>
      <c r="E4083" t="s" s="9">
        <v>71</v>
      </c>
      <c r="F4083" s="10">
        <v>207</v>
      </c>
      <c r="G4083" s="10">
        <v>5691183</v>
      </c>
      <c r="H4083" s="11" cm="1">
        <f t="array" ref="H4083">F4083/G4083*100000</f>
        <v>3.63720512940807</v>
      </c>
    </row>
    <row r="4084" ht="13" customHeight="1">
      <c r="A4084" s="8">
        <v>1</v>
      </c>
      <c r="B4084" t="s" s="9">
        <v>35</v>
      </c>
      <c r="C4084" t="s" s="9">
        <v>69</v>
      </c>
      <c r="D4084" t="s" s="9">
        <v>57</v>
      </c>
      <c r="E4084" t="s" s="9">
        <v>71</v>
      </c>
      <c r="F4084" s="10">
        <v>1567</v>
      </c>
      <c r="G4084" s="10">
        <v>5214931</v>
      </c>
      <c r="H4084" s="11" cm="1">
        <f t="array" ref="H4084">F4084/G4084*100000</f>
        <v>30.0483362100093</v>
      </c>
    </row>
    <row r="4085" ht="13" customHeight="1">
      <c r="A4085" s="8">
        <v>2</v>
      </c>
      <c r="B4085" t="s" s="9">
        <v>30</v>
      </c>
      <c r="C4085" t="s" s="9">
        <v>69</v>
      </c>
      <c r="D4085" t="s" s="9">
        <v>57</v>
      </c>
      <c r="E4085" t="s" s="9">
        <v>71</v>
      </c>
      <c r="F4085" s="10">
        <v>581</v>
      </c>
      <c r="G4085" s="10">
        <v>5214931</v>
      </c>
      <c r="H4085" s="11" cm="1">
        <f t="array" ref="H4085">F4085/G4085*100000</f>
        <v>11.1410870057533</v>
      </c>
    </row>
    <row r="4086" ht="13" customHeight="1">
      <c r="A4086" s="8">
        <v>3</v>
      </c>
      <c r="B4086" t="s" s="9">
        <v>34</v>
      </c>
      <c r="C4086" t="s" s="9">
        <v>69</v>
      </c>
      <c r="D4086" t="s" s="9">
        <v>57</v>
      </c>
      <c r="E4086" t="s" s="9">
        <v>71</v>
      </c>
      <c r="F4086" s="10">
        <v>421</v>
      </c>
      <c r="G4086" s="10">
        <v>5214931</v>
      </c>
      <c r="H4086" s="11" cm="1">
        <f t="array" ref="H4086">F4086/G4086*100000</f>
        <v>8.07297354461641</v>
      </c>
    </row>
    <row r="4087" ht="13" customHeight="1">
      <c r="A4087" s="8">
        <v>4</v>
      </c>
      <c r="B4087" t="s" s="9">
        <v>41</v>
      </c>
      <c r="C4087" t="s" s="9">
        <v>69</v>
      </c>
      <c r="D4087" t="s" s="9">
        <v>57</v>
      </c>
      <c r="E4087" t="s" s="9">
        <v>71</v>
      </c>
      <c r="F4087" s="10">
        <v>185</v>
      </c>
      <c r="G4087" s="10">
        <v>5214931</v>
      </c>
      <c r="H4087" s="11" cm="1">
        <f t="array" ref="H4087">F4087/G4087*100000</f>
        <v>3.54750618943952</v>
      </c>
    </row>
    <row r="4088" ht="13" customHeight="1">
      <c r="A4088" s="8">
        <v>5</v>
      </c>
      <c r="B4088" t="s" s="9">
        <v>45</v>
      </c>
      <c r="C4088" t="s" s="9">
        <v>69</v>
      </c>
      <c r="D4088" t="s" s="9">
        <v>57</v>
      </c>
      <c r="E4088" t="s" s="9">
        <v>71</v>
      </c>
      <c r="F4088" s="10">
        <v>91</v>
      </c>
      <c r="G4088" s="10">
        <v>5214931</v>
      </c>
      <c r="H4088" s="11" cm="1">
        <f t="array" ref="H4088">F4088/G4088*100000</f>
        <v>1.7449895310216</v>
      </c>
    </row>
    <row r="4089" ht="13" customHeight="1">
      <c r="A4089" s="8">
        <v>6</v>
      </c>
      <c r="B4089" t="s" s="9">
        <v>45</v>
      </c>
      <c r="C4089" t="s" s="9">
        <v>69</v>
      </c>
      <c r="D4089" t="s" s="9">
        <v>57</v>
      </c>
      <c r="E4089" t="s" s="9">
        <v>71</v>
      </c>
      <c r="F4089" s="10">
        <v>46</v>
      </c>
      <c r="G4089" s="10">
        <v>5214931</v>
      </c>
      <c r="H4089" s="11" cm="1">
        <f t="array" ref="H4089">F4089/G4089*100000</f>
        <v>0.882082620076852</v>
      </c>
    </row>
    <row r="4090" ht="13" customHeight="1">
      <c r="A4090" s="8">
        <v>7</v>
      </c>
      <c r="B4090" t="s" s="9">
        <v>30</v>
      </c>
      <c r="C4090" t="s" s="9">
        <v>69</v>
      </c>
      <c r="D4090" t="s" s="9">
        <v>57</v>
      </c>
      <c r="E4090" t="s" s="9">
        <v>71</v>
      </c>
      <c r="F4090" s="10">
        <v>38</v>
      </c>
      <c r="G4090" s="10">
        <v>5214931</v>
      </c>
      <c r="H4090" s="11" cm="1">
        <f t="array" ref="H4090">F4090/G4090*100000</f>
        <v>0.728676947020009</v>
      </c>
    </row>
    <row r="4091" ht="13" customHeight="1">
      <c r="A4091" s="8">
        <v>8</v>
      </c>
      <c r="B4091" t="s" s="9">
        <v>30</v>
      </c>
      <c r="C4091" t="s" s="9">
        <v>69</v>
      </c>
      <c r="D4091" t="s" s="9">
        <v>57</v>
      </c>
      <c r="E4091" t="s" s="9">
        <v>71</v>
      </c>
      <c r="F4091" s="10">
        <v>24</v>
      </c>
      <c r="G4091" s="10">
        <v>5214931</v>
      </c>
      <c r="H4091" s="11" cm="1">
        <f t="array" ref="H4091">F4091/G4091*100000</f>
        <v>0.460217019170532</v>
      </c>
    </row>
    <row r="4092" ht="13" customHeight="1">
      <c r="A4092" s="8">
        <v>9</v>
      </c>
      <c r="B4092" t="s" s="9">
        <v>30</v>
      </c>
      <c r="C4092" t="s" s="9">
        <v>69</v>
      </c>
      <c r="D4092" t="s" s="9">
        <v>57</v>
      </c>
      <c r="E4092" t="s" s="9">
        <v>71</v>
      </c>
      <c r="F4092" s="10">
        <v>23</v>
      </c>
      <c r="G4092" s="10">
        <v>5214931</v>
      </c>
      <c r="H4092" s="11" cm="1">
        <f t="array" ref="H4092">F4092/G4092*100000</f>
        <v>0.441041310038426</v>
      </c>
    </row>
    <row r="4093" ht="13" customHeight="1">
      <c r="A4093" s="8">
        <v>10</v>
      </c>
      <c r="B4093" t="s" s="9">
        <v>30</v>
      </c>
      <c r="C4093" t="s" s="9">
        <v>69</v>
      </c>
      <c r="D4093" t="s" s="9">
        <v>57</v>
      </c>
      <c r="E4093" t="s" s="9">
        <v>71</v>
      </c>
      <c r="F4093" s="10">
        <v>24</v>
      </c>
      <c r="G4093" s="10">
        <v>5214931</v>
      </c>
      <c r="H4093" s="11" cm="1">
        <f t="array" ref="H4093">F4093/G4093*100000</f>
        <v>0.460217019170532</v>
      </c>
    </row>
    <row r="4094" ht="13" customHeight="1">
      <c r="A4094" s="8">
        <v>1</v>
      </c>
      <c r="B4094" t="s" s="9">
        <v>30</v>
      </c>
      <c r="C4094" t="s" s="9">
        <v>69</v>
      </c>
      <c r="D4094" t="s" s="9">
        <v>20</v>
      </c>
      <c r="E4094" t="s" s="9">
        <v>71</v>
      </c>
      <c r="F4094" s="10">
        <v>2662</v>
      </c>
      <c r="G4094" s="10">
        <v>2889689</v>
      </c>
      <c r="H4094" s="11" cm="1">
        <f t="array" ref="H4094">F4094/G4094*100000</f>
        <v>92.1206399719831</v>
      </c>
    </row>
    <row r="4095" ht="13" customHeight="1">
      <c r="A4095" s="8">
        <v>2</v>
      </c>
      <c r="B4095" t="s" s="9">
        <v>34</v>
      </c>
      <c r="C4095" t="s" s="9">
        <v>69</v>
      </c>
      <c r="D4095" t="s" s="9">
        <v>20</v>
      </c>
      <c r="E4095" t="s" s="9">
        <v>71</v>
      </c>
      <c r="F4095" s="10">
        <v>1006</v>
      </c>
      <c r="G4095" s="10">
        <v>2889689</v>
      </c>
      <c r="H4095" s="11" cm="1">
        <f t="array" ref="H4095">F4095/G4095*100000</f>
        <v>34.8134349405767</v>
      </c>
    </row>
    <row r="4096" ht="13" customHeight="1">
      <c r="A4096" s="8">
        <v>3</v>
      </c>
      <c r="B4096" t="s" s="9">
        <v>30</v>
      </c>
      <c r="C4096" t="s" s="9">
        <v>69</v>
      </c>
      <c r="D4096" t="s" s="9">
        <v>20</v>
      </c>
      <c r="E4096" t="s" s="9">
        <v>71</v>
      </c>
      <c r="F4096" s="10">
        <v>724</v>
      </c>
      <c r="G4096" s="10">
        <v>2889689</v>
      </c>
      <c r="H4096" s="11" cm="1">
        <f t="array" ref="H4096">F4096/G4096*100000</f>
        <v>25.0545993011705</v>
      </c>
    </row>
    <row r="4097" ht="13" customHeight="1">
      <c r="A4097" s="8">
        <v>4</v>
      </c>
      <c r="B4097" t="s" s="9">
        <v>39</v>
      </c>
      <c r="C4097" t="s" s="9">
        <v>69</v>
      </c>
      <c r="D4097" t="s" s="9">
        <v>20</v>
      </c>
      <c r="E4097" t="s" s="9">
        <v>71</v>
      </c>
      <c r="F4097" s="10">
        <v>833</v>
      </c>
      <c r="G4097" s="10">
        <v>2889689</v>
      </c>
      <c r="H4097" s="11" cm="1">
        <f t="array" ref="H4097">F4097/G4097*100000</f>
        <v>28.8266315164019</v>
      </c>
    </row>
    <row r="4098" ht="13" customHeight="1">
      <c r="A4098" s="8">
        <v>5</v>
      </c>
      <c r="B4098" t="s" s="9">
        <v>35</v>
      </c>
      <c r="C4098" t="s" s="9">
        <v>69</v>
      </c>
      <c r="D4098" t="s" s="9">
        <v>20</v>
      </c>
      <c r="E4098" t="s" s="9">
        <v>71</v>
      </c>
      <c r="F4098" s="10">
        <v>399</v>
      </c>
      <c r="G4098" s="10">
        <v>2889689</v>
      </c>
      <c r="H4098" s="11" cm="1">
        <f t="array" ref="H4098">F4098/G4098*100000</f>
        <v>13.8077142557556</v>
      </c>
    </row>
    <row r="4099" ht="13" customHeight="1">
      <c r="A4099" s="8">
        <v>6</v>
      </c>
      <c r="B4099" t="s" s="9">
        <v>30</v>
      </c>
      <c r="C4099" t="s" s="9">
        <v>69</v>
      </c>
      <c r="D4099" t="s" s="9">
        <v>20</v>
      </c>
      <c r="E4099" t="s" s="9">
        <v>71</v>
      </c>
      <c r="F4099" s="10">
        <v>434</v>
      </c>
      <c r="G4099" s="10">
        <v>2889689</v>
      </c>
      <c r="H4099" s="11" cm="1">
        <f t="array" ref="H4099">F4099/G4099*100000</f>
        <v>15.0189172606464</v>
      </c>
    </row>
    <row r="4100" ht="13" customHeight="1">
      <c r="A4100" s="8">
        <v>7</v>
      </c>
      <c r="B4100" t="s" s="9">
        <v>35</v>
      </c>
      <c r="C4100" t="s" s="9">
        <v>69</v>
      </c>
      <c r="D4100" t="s" s="9">
        <v>20</v>
      </c>
      <c r="E4100" t="s" s="9">
        <v>71</v>
      </c>
      <c r="F4100" s="10">
        <v>365</v>
      </c>
      <c r="G4100" s="10">
        <v>2889689</v>
      </c>
      <c r="H4100" s="11" cm="1">
        <f t="array" ref="H4100">F4100/G4100*100000</f>
        <v>12.6311170510045</v>
      </c>
    </row>
    <row r="4101" ht="13" customHeight="1">
      <c r="A4101" s="8">
        <v>8</v>
      </c>
      <c r="B4101" t="s" s="9">
        <v>37</v>
      </c>
      <c r="C4101" t="s" s="9">
        <v>69</v>
      </c>
      <c r="D4101" t="s" s="9">
        <v>20</v>
      </c>
      <c r="E4101" t="s" s="9">
        <v>71</v>
      </c>
      <c r="F4101" s="10">
        <v>386</v>
      </c>
      <c r="G4101" s="10">
        <v>2889689</v>
      </c>
      <c r="H4101" s="11" cm="1">
        <f t="array" ref="H4101">F4101/G4101*100000</f>
        <v>13.357838853939</v>
      </c>
    </row>
    <row r="4102" ht="13" customHeight="1">
      <c r="A4102" s="8">
        <v>9</v>
      </c>
      <c r="B4102" t="s" s="9">
        <v>30</v>
      </c>
      <c r="C4102" t="s" s="9">
        <v>69</v>
      </c>
      <c r="D4102" t="s" s="9">
        <v>20</v>
      </c>
      <c r="E4102" t="s" s="9">
        <v>71</v>
      </c>
      <c r="F4102" s="10">
        <v>320</v>
      </c>
      <c r="G4102" s="10">
        <v>2889689</v>
      </c>
      <c r="H4102" s="11" cm="1">
        <f t="array" ref="H4102">F4102/G4102*100000</f>
        <v>11.0738560447162</v>
      </c>
    </row>
    <row r="4103" ht="13" customHeight="1">
      <c r="A4103" s="8">
        <v>10</v>
      </c>
      <c r="B4103" t="s" s="9">
        <v>36</v>
      </c>
      <c r="C4103" t="s" s="9">
        <v>69</v>
      </c>
      <c r="D4103" t="s" s="9">
        <v>20</v>
      </c>
      <c r="E4103" t="s" s="9">
        <v>71</v>
      </c>
      <c r="F4103" s="10">
        <v>266</v>
      </c>
      <c r="G4103" s="10">
        <v>2889689</v>
      </c>
      <c r="H4103" s="11" cm="1">
        <f t="array" ref="H4103">F4103/G4103*100000</f>
        <v>9.205142837170371</v>
      </c>
    </row>
    <row r="4104" ht="13" customHeight="1">
      <c r="A4104" s="8">
        <v>1</v>
      </c>
      <c r="B4104" t="s" s="9">
        <v>30</v>
      </c>
      <c r="C4104" t="s" s="9">
        <v>69</v>
      </c>
      <c r="D4104" t="s" s="9">
        <v>21</v>
      </c>
      <c r="E4104" t="s" s="9">
        <v>71</v>
      </c>
      <c r="F4104" s="10">
        <v>4220</v>
      </c>
      <c r="G4104" s="10">
        <v>4635519</v>
      </c>
      <c r="H4104" s="11" cm="1">
        <f t="array" ref="H4104">F4104/G4104*100000</f>
        <v>91.0361924953819</v>
      </c>
    </row>
    <row r="4105" ht="13" customHeight="1">
      <c r="A4105" s="8">
        <v>2</v>
      </c>
      <c r="B4105" t="s" s="9">
        <v>30</v>
      </c>
      <c r="C4105" t="s" s="9">
        <v>69</v>
      </c>
      <c r="D4105" t="s" s="9">
        <v>21</v>
      </c>
      <c r="E4105" t="s" s="9">
        <v>71</v>
      </c>
      <c r="F4105" s="10">
        <v>2128</v>
      </c>
      <c r="G4105" s="10">
        <v>4635519</v>
      </c>
      <c r="H4105" s="11" cm="1">
        <f t="array" ref="H4105">F4105/G4105*100000</f>
        <v>45.9064022820314</v>
      </c>
    </row>
    <row r="4106" ht="13" customHeight="1">
      <c r="A4106" s="8">
        <v>3</v>
      </c>
      <c r="B4106" t="s" s="9">
        <v>34</v>
      </c>
      <c r="C4106" t="s" s="9">
        <v>69</v>
      </c>
      <c r="D4106" t="s" s="9">
        <v>21</v>
      </c>
      <c r="E4106" t="s" s="9">
        <v>71</v>
      </c>
      <c r="F4106" s="10">
        <v>1317</v>
      </c>
      <c r="G4106" s="10">
        <v>4635519</v>
      </c>
      <c r="H4106" s="11" cm="1">
        <f t="array" ref="H4106">F4106/G4106*100000</f>
        <v>28.4110581792459</v>
      </c>
    </row>
    <row r="4107" ht="13" customHeight="1">
      <c r="A4107" s="8">
        <v>4</v>
      </c>
      <c r="B4107" t="s" s="9">
        <v>36</v>
      </c>
      <c r="C4107" t="s" s="9">
        <v>69</v>
      </c>
      <c r="D4107" t="s" s="9">
        <v>21</v>
      </c>
      <c r="E4107" t="s" s="9">
        <v>71</v>
      </c>
      <c r="F4107" s="10">
        <v>922</v>
      </c>
      <c r="G4107" s="10">
        <v>4635519</v>
      </c>
      <c r="H4107" s="11" cm="1">
        <f t="array" ref="H4107">F4107/G4107*100000</f>
        <v>19.8898979812185</v>
      </c>
    </row>
    <row r="4108" ht="13" customHeight="1">
      <c r="A4108" s="8">
        <v>5</v>
      </c>
      <c r="B4108" t="s" s="9">
        <v>30</v>
      </c>
      <c r="C4108" t="s" s="9">
        <v>69</v>
      </c>
      <c r="D4108" t="s" s="9">
        <v>21</v>
      </c>
      <c r="E4108" t="s" s="9">
        <v>71</v>
      </c>
      <c r="F4108" s="10">
        <v>695</v>
      </c>
      <c r="G4108" s="10">
        <v>4635519</v>
      </c>
      <c r="H4108" s="11" cm="1">
        <f t="array" ref="H4108">F4108/G4108*100000</f>
        <v>14.9929274370356</v>
      </c>
    </row>
    <row r="4109" ht="13" customHeight="1">
      <c r="A4109" s="8">
        <v>6</v>
      </c>
      <c r="B4109" t="s" s="9">
        <v>36</v>
      </c>
      <c r="C4109" t="s" s="9">
        <v>69</v>
      </c>
      <c r="D4109" t="s" s="9">
        <v>21</v>
      </c>
      <c r="E4109" t="s" s="9">
        <v>71</v>
      </c>
      <c r="F4109" s="10">
        <v>603</v>
      </c>
      <c r="G4109" s="10">
        <v>4635519</v>
      </c>
      <c r="H4109" s="11" cm="1">
        <f t="array" ref="H4109">F4109/G4109*100000</f>
        <v>13.0082521504065</v>
      </c>
    </row>
    <row r="4110" ht="13" customHeight="1">
      <c r="A4110" s="8">
        <v>7</v>
      </c>
      <c r="B4110" t="s" s="9">
        <v>30</v>
      </c>
      <c r="C4110" t="s" s="9">
        <v>69</v>
      </c>
      <c r="D4110" t="s" s="9">
        <v>21</v>
      </c>
      <c r="E4110" t="s" s="9">
        <v>71</v>
      </c>
      <c r="F4110" s="10">
        <v>455</v>
      </c>
      <c r="G4110" s="10">
        <v>4635519</v>
      </c>
      <c r="H4110" s="11" cm="1">
        <f t="array" ref="H4110">F4110/G4110*100000</f>
        <v>9.815513645829091</v>
      </c>
    </row>
    <row r="4111" ht="13" customHeight="1">
      <c r="A4111" s="8">
        <v>8</v>
      </c>
      <c r="B4111" t="s" s="9">
        <v>30</v>
      </c>
      <c r="C4111" t="s" s="9">
        <v>69</v>
      </c>
      <c r="D4111" t="s" s="9">
        <v>21</v>
      </c>
      <c r="E4111" t="s" s="9">
        <v>71</v>
      </c>
      <c r="F4111" s="10">
        <v>411</v>
      </c>
      <c r="G4111" s="10">
        <v>4635519</v>
      </c>
      <c r="H4111" s="11" cm="1">
        <f t="array" ref="H4111">F4111/G4111*100000</f>
        <v>8.86632111744122</v>
      </c>
    </row>
    <row r="4112" ht="13" customHeight="1">
      <c r="A4112" s="8">
        <v>9</v>
      </c>
      <c r="B4112" t="s" s="9">
        <v>45</v>
      </c>
      <c r="C4112" t="s" s="9">
        <v>69</v>
      </c>
      <c r="D4112" t="s" s="9">
        <v>21</v>
      </c>
      <c r="E4112" t="s" s="9">
        <v>71</v>
      </c>
      <c r="F4112" s="10">
        <v>387</v>
      </c>
      <c r="G4112" s="10">
        <v>4635519</v>
      </c>
      <c r="H4112" s="11" cm="1">
        <f t="array" ref="H4112">F4112/G4112*100000</f>
        <v>8.348579738320559</v>
      </c>
    </row>
    <row r="4113" ht="13" customHeight="1">
      <c r="A4113" s="8">
        <v>10</v>
      </c>
      <c r="B4113" t="s" s="9">
        <v>45</v>
      </c>
      <c r="C4113" t="s" s="9">
        <v>69</v>
      </c>
      <c r="D4113" t="s" s="9">
        <v>21</v>
      </c>
      <c r="E4113" t="s" s="9">
        <v>71</v>
      </c>
      <c r="F4113" s="10">
        <v>368</v>
      </c>
      <c r="G4113" s="10">
        <v>4635519</v>
      </c>
      <c r="H4113" s="11" cm="1">
        <f t="array" ref="H4113">F4113/G4113*100000</f>
        <v>7.93870114651671</v>
      </c>
    </row>
    <row r="4114" ht="13.65" customHeight="1">
      <c r="A4114" s="8">
        <v>1</v>
      </c>
      <c r="B4114" t="s" s="9">
        <v>30</v>
      </c>
      <c r="C4114" t="s" s="9">
        <v>69</v>
      </c>
      <c r="D4114" t="s" s="9">
        <v>58</v>
      </c>
      <c r="E4114" t="s" s="9">
        <v>71</v>
      </c>
      <c r="F4114" s="10">
        <v>4220</v>
      </c>
      <c r="G4114" s="12"/>
      <c r="H4114" s="13"/>
    </row>
    <row r="4115" ht="13.65" customHeight="1">
      <c r="A4115" s="8">
        <v>2</v>
      </c>
      <c r="B4115" t="s" s="9">
        <v>30</v>
      </c>
      <c r="C4115" t="s" s="9">
        <v>69</v>
      </c>
      <c r="D4115" t="s" s="9">
        <v>58</v>
      </c>
      <c r="E4115" t="s" s="9">
        <v>71</v>
      </c>
      <c r="F4115" s="10">
        <v>2128</v>
      </c>
      <c r="G4115" s="14"/>
      <c r="H4115" s="15"/>
    </row>
    <row r="4116" ht="13.65" customHeight="1">
      <c r="A4116" s="8">
        <v>3</v>
      </c>
      <c r="B4116" t="s" s="9">
        <v>34</v>
      </c>
      <c r="C4116" t="s" s="9">
        <v>69</v>
      </c>
      <c r="D4116" t="s" s="9">
        <v>58</v>
      </c>
      <c r="E4116" t="s" s="9">
        <v>71</v>
      </c>
      <c r="F4116" s="10">
        <v>1317</v>
      </c>
      <c r="G4116" s="14"/>
      <c r="H4116" s="15"/>
    </row>
    <row r="4117" ht="13.65" customHeight="1">
      <c r="A4117" s="8">
        <v>4</v>
      </c>
      <c r="B4117" t="s" s="9">
        <v>36</v>
      </c>
      <c r="C4117" t="s" s="9">
        <v>69</v>
      </c>
      <c r="D4117" t="s" s="9">
        <v>58</v>
      </c>
      <c r="E4117" t="s" s="9">
        <v>71</v>
      </c>
      <c r="F4117" s="10">
        <v>922</v>
      </c>
      <c r="G4117" s="14"/>
      <c r="H4117" s="15"/>
    </row>
    <row r="4118" ht="13.65" customHeight="1">
      <c r="A4118" s="8">
        <v>5</v>
      </c>
      <c r="B4118" t="s" s="9">
        <v>30</v>
      </c>
      <c r="C4118" t="s" s="9">
        <v>69</v>
      </c>
      <c r="D4118" t="s" s="9">
        <v>58</v>
      </c>
      <c r="E4118" t="s" s="9">
        <v>71</v>
      </c>
      <c r="F4118" s="10">
        <v>695</v>
      </c>
      <c r="G4118" s="14"/>
      <c r="H4118" s="15"/>
    </row>
    <row r="4119" ht="13.65" customHeight="1">
      <c r="A4119" s="8">
        <v>6</v>
      </c>
      <c r="B4119" t="s" s="9">
        <v>36</v>
      </c>
      <c r="C4119" t="s" s="9">
        <v>69</v>
      </c>
      <c r="D4119" t="s" s="9">
        <v>58</v>
      </c>
      <c r="E4119" t="s" s="9">
        <v>71</v>
      </c>
      <c r="F4119" s="10">
        <v>603</v>
      </c>
      <c r="G4119" s="14"/>
      <c r="H4119" s="15"/>
    </row>
    <row r="4120" ht="13.65" customHeight="1">
      <c r="A4120" s="8">
        <v>7</v>
      </c>
      <c r="B4120" t="s" s="9">
        <v>30</v>
      </c>
      <c r="C4120" t="s" s="9">
        <v>69</v>
      </c>
      <c r="D4120" t="s" s="9">
        <v>58</v>
      </c>
      <c r="E4120" t="s" s="9">
        <v>71</v>
      </c>
      <c r="F4120" s="10">
        <v>455</v>
      </c>
      <c r="G4120" s="14"/>
      <c r="H4120" s="15"/>
    </row>
    <row r="4121" ht="13.65" customHeight="1">
      <c r="A4121" s="8">
        <v>8</v>
      </c>
      <c r="B4121" t="s" s="9">
        <v>30</v>
      </c>
      <c r="C4121" t="s" s="9">
        <v>69</v>
      </c>
      <c r="D4121" t="s" s="9">
        <v>58</v>
      </c>
      <c r="E4121" t="s" s="9">
        <v>71</v>
      </c>
      <c r="F4121" s="10">
        <v>411</v>
      </c>
      <c r="G4121" s="14"/>
      <c r="H4121" s="15"/>
    </row>
    <row r="4122" ht="13.65" customHeight="1">
      <c r="A4122" s="8">
        <v>9</v>
      </c>
      <c r="B4122" t="s" s="9">
        <v>45</v>
      </c>
      <c r="C4122" t="s" s="9">
        <v>69</v>
      </c>
      <c r="D4122" t="s" s="9">
        <v>58</v>
      </c>
      <c r="E4122" t="s" s="9">
        <v>71</v>
      </c>
      <c r="F4122" s="10">
        <v>387</v>
      </c>
      <c r="G4122" s="14"/>
      <c r="H4122" s="15"/>
    </row>
    <row r="4123" ht="13.65" customHeight="1">
      <c r="A4123" s="8">
        <v>10</v>
      </c>
      <c r="B4123" t="s" s="9">
        <v>45</v>
      </c>
      <c r="C4123" t="s" s="9">
        <v>69</v>
      </c>
      <c r="D4123" t="s" s="9">
        <v>58</v>
      </c>
      <c r="E4123" t="s" s="9">
        <v>71</v>
      </c>
      <c r="F4123" s="10">
        <v>368</v>
      </c>
      <c r="G4123" s="16"/>
      <c r="H4123" s="17"/>
    </row>
    <row r="4124" ht="13" customHeight="1">
      <c r="A4124" s="8">
        <v>1</v>
      </c>
      <c r="B4124" t="s" s="9">
        <v>30</v>
      </c>
      <c r="C4124" t="s" s="9">
        <v>70</v>
      </c>
      <c r="D4124" t="s" s="9">
        <v>32</v>
      </c>
      <c r="E4124" t="s" s="9">
        <v>71</v>
      </c>
      <c r="F4124" s="10">
        <v>16762</v>
      </c>
      <c r="G4124" s="10">
        <v>14521657</v>
      </c>
      <c r="H4124" s="11" cm="1">
        <f t="array" ref="H4124">F4124/G4124*100000</f>
        <v>115.427598930342</v>
      </c>
    </row>
    <row r="4125" ht="13" customHeight="1">
      <c r="A4125" s="8">
        <v>2</v>
      </c>
      <c r="B4125" t="s" s="9">
        <v>34</v>
      </c>
      <c r="C4125" t="s" s="9">
        <v>70</v>
      </c>
      <c r="D4125" t="s" s="9">
        <v>32</v>
      </c>
      <c r="E4125" t="s" s="9">
        <v>71</v>
      </c>
      <c r="F4125" s="10">
        <v>16466</v>
      </c>
      <c r="G4125" s="10">
        <v>14521657</v>
      </c>
      <c r="H4125" s="11" cm="1">
        <f t="array" ref="H4125">F4125/G4125*100000</f>
        <v>113.389264048862</v>
      </c>
    </row>
    <row r="4126" ht="13" customHeight="1">
      <c r="A4126" s="8">
        <v>3</v>
      </c>
      <c r="B4126" t="s" s="9">
        <v>37</v>
      </c>
      <c r="C4126" t="s" s="9">
        <v>70</v>
      </c>
      <c r="D4126" t="s" s="9">
        <v>32</v>
      </c>
      <c r="E4126" t="s" s="9">
        <v>71</v>
      </c>
      <c r="F4126" s="10">
        <v>7047</v>
      </c>
      <c r="G4126" s="10">
        <v>14521657</v>
      </c>
      <c r="H4126" s="11" cm="1">
        <f t="array" ref="H4126">F4126/G4126*100000</f>
        <v>48.5275199655246</v>
      </c>
    </row>
    <row r="4127" ht="13" customHeight="1">
      <c r="A4127" s="8">
        <v>4</v>
      </c>
      <c r="B4127" t="s" s="9">
        <v>35</v>
      </c>
      <c r="C4127" t="s" s="9">
        <v>70</v>
      </c>
      <c r="D4127" t="s" s="9">
        <v>32</v>
      </c>
      <c r="E4127" t="s" s="9">
        <v>71</v>
      </c>
      <c r="F4127" s="10">
        <v>4687</v>
      </c>
      <c r="G4127" s="10">
        <v>14521657</v>
      </c>
      <c r="H4127" s="11" cm="1">
        <f t="array" ref="H4127">F4127/G4127*100000</f>
        <v>32.275931045610</v>
      </c>
    </row>
    <row r="4128" ht="13" customHeight="1">
      <c r="A4128" s="8">
        <v>5</v>
      </c>
      <c r="B4128" t="s" s="9">
        <v>37</v>
      </c>
      <c r="C4128" t="s" s="9">
        <v>70</v>
      </c>
      <c r="D4128" t="s" s="9">
        <v>32</v>
      </c>
      <c r="E4128" t="s" s="9">
        <v>71</v>
      </c>
      <c r="F4128" s="10">
        <v>3646</v>
      </c>
      <c r="G4128" s="10">
        <v>14521657</v>
      </c>
      <c r="H4128" s="11" cm="1">
        <f t="array" ref="H4128">F4128/G4128*100000</f>
        <v>25.1073276279697</v>
      </c>
    </row>
    <row r="4129" ht="13" customHeight="1">
      <c r="A4129" s="8">
        <v>6</v>
      </c>
      <c r="B4129" t="s" s="9">
        <v>39</v>
      </c>
      <c r="C4129" t="s" s="9">
        <v>70</v>
      </c>
      <c r="D4129" t="s" s="9">
        <v>32</v>
      </c>
      <c r="E4129" t="s" s="9">
        <v>71</v>
      </c>
      <c r="F4129" s="10">
        <v>3276</v>
      </c>
      <c r="G4129" s="10">
        <v>14521657</v>
      </c>
      <c r="H4129" s="11" cm="1">
        <f t="array" ref="H4129">F4129/G4129*100000</f>
        <v>22.5594090261187</v>
      </c>
    </row>
    <row r="4130" ht="13" customHeight="1">
      <c r="A4130" s="8">
        <v>7</v>
      </c>
      <c r="B4130" t="s" s="9">
        <v>30</v>
      </c>
      <c r="C4130" t="s" s="9">
        <v>70</v>
      </c>
      <c r="D4130" t="s" s="9">
        <v>32</v>
      </c>
      <c r="E4130" t="s" s="9">
        <v>71</v>
      </c>
      <c r="F4130" s="10">
        <v>1941</v>
      </c>
      <c r="G4130" s="10">
        <v>14521657</v>
      </c>
      <c r="H4130" s="11" cm="1">
        <f t="array" ref="H4130">F4130/G4130*100000</f>
        <v>13.3662432599806</v>
      </c>
    </row>
    <row r="4131" ht="13" customHeight="1">
      <c r="A4131" s="8">
        <v>8</v>
      </c>
      <c r="B4131" t="s" s="9">
        <v>30</v>
      </c>
      <c r="C4131" t="s" s="9">
        <v>70</v>
      </c>
      <c r="D4131" t="s" s="9">
        <v>32</v>
      </c>
      <c r="E4131" t="s" s="9">
        <v>71</v>
      </c>
      <c r="F4131" s="10">
        <v>1912</v>
      </c>
      <c r="G4131" s="10">
        <v>14521657</v>
      </c>
      <c r="H4131" s="11" cm="1">
        <f t="array" ref="H4131">F4131/G4131*100000</f>
        <v>13.1665415317274</v>
      </c>
    </row>
    <row r="4132" ht="13" customHeight="1">
      <c r="A4132" s="8">
        <v>9</v>
      </c>
      <c r="B4132" t="s" s="9">
        <v>30</v>
      </c>
      <c r="C4132" t="s" s="9">
        <v>70</v>
      </c>
      <c r="D4132" t="s" s="9">
        <v>32</v>
      </c>
      <c r="E4132" t="s" s="9">
        <v>71</v>
      </c>
      <c r="F4132" s="10">
        <v>1805</v>
      </c>
      <c r="G4132" s="10">
        <v>14521657</v>
      </c>
      <c r="H4132" s="11" cm="1">
        <f t="array" ref="H4132">F4132/G4132*100000</f>
        <v>12.4297110171381</v>
      </c>
    </row>
    <row r="4133" ht="13" customHeight="1">
      <c r="A4133" s="8">
        <v>10</v>
      </c>
      <c r="B4133" t="s" s="9">
        <v>30</v>
      </c>
      <c r="C4133" t="s" s="9">
        <v>70</v>
      </c>
      <c r="D4133" t="s" s="9">
        <v>32</v>
      </c>
      <c r="E4133" t="s" s="9">
        <v>71</v>
      </c>
      <c r="F4133" s="10">
        <v>1273</v>
      </c>
      <c r="G4133" s="10">
        <v>14521657</v>
      </c>
      <c r="H4133" s="11" cm="1">
        <f t="array" ref="H4133">F4133/G4133*100000</f>
        <v>8.766217243665791</v>
      </c>
    </row>
    <row r="4134" ht="13" customHeight="1">
      <c r="A4134" s="8">
        <v>1</v>
      </c>
      <c r="B4134" t="s" s="9">
        <v>30</v>
      </c>
      <c r="C4134" t="s" s="9">
        <v>70</v>
      </c>
      <c r="D4134" t="s" s="9">
        <v>38</v>
      </c>
      <c r="E4134" t="s" s="9">
        <v>71</v>
      </c>
      <c r="F4134" s="10">
        <v>8063</v>
      </c>
      <c r="G4134" s="10">
        <v>1874281</v>
      </c>
      <c r="H4134" s="11" cm="1">
        <f t="array" ref="H4134">F4134/G4134*100000</f>
        <v>430.191630817364</v>
      </c>
    </row>
    <row r="4135" ht="13" customHeight="1">
      <c r="A4135" s="8">
        <v>2</v>
      </c>
      <c r="B4135" t="s" s="9">
        <v>34</v>
      </c>
      <c r="C4135" t="s" s="9">
        <v>70</v>
      </c>
      <c r="D4135" t="s" s="9">
        <v>38</v>
      </c>
      <c r="E4135" t="s" s="9">
        <v>71</v>
      </c>
      <c r="F4135" s="10">
        <v>3911</v>
      </c>
      <c r="G4135" s="10">
        <v>1874281</v>
      </c>
      <c r="H4135" s="11" cm="1">
        <f t="array" ref="H4135">F4135/G4135*100000</f>
        <v>208.666683384188</v>
      </c>
    </row>
    <row r="4136" ht="13" customHeight="1">
      <c r="A4136" s="8">
        <v>3</v>
      </c>
      <c r="B4136" t="s" s="9">
        <v>30</v>
      </c>
      <c r="C4136" t="s" s="9">
        <v>70</v>
      </c>
      <c r="D4136" t="s" s="9">
        <v>38</v>
      </c>
      <c r="E4136" t="s" s="9">
        <v>71</v>
      </c>
      <c r="F4136" s="10">
        <v>881</v>
      </c>
      <c r="G4136" s="10">
        <v>1874281</v>
      </c>
      <c r="H4136" s="11" cm="1">
        <f t="array" ref="H4136">F4136/G4136*100000</f>
        <v>47.0046913989951</v>
      </c>
    </row>
    <row r="4137" ht="13" customHeight="1">
      <c r="A4137" s="8">
        <v>4</v>
      </c>
      <c r="B4137" t="s" s="9">
        <v>39</v>
      </c>
      <c r="C4137" t="s" s="9">
        <v>70</v>
      </c>
      <c r="D4137" t="s" s="9">
        <v>38</v>
      </c>
      <c r="E4137" t="s" s="9">
        <v>71</v>
      </c>
      <c r="F4137" s="10">
        <v>1048</v>
      </c>
      <c r="G4137" s="10">
        <v>1874281</v>
      </c>
      <c r="H4137" s="11" cm="1">
        <f t="array" ref="H4137">F4137/G4137*100000</f>
        <v>55.9147747856378</v>
      </c>
    </row>
    <row r="4138" ht="13" customHeight="1">
      <c r="A4138" s="8">
        <v>5</v>
      </c>
      <c r="B4138" t="s" s="9">
        <v>35</v>
      </c>
      <c r="C4138" t="s" s="9">
        <v>70</v>
      </c>
      <c r="D4138" t="s" s="9">
        <v>38</v>
      </c>
      <c r="E4138" t="s" s="9">
        <v>71</v>
      </c>
      <c r="F4138" s="10">
        <v>568</v>
      </c>
      <c r="G4138" s="10">
        <v>1874281</v>
      </c>
      <c r="H4138" s="11" cm="1">
        <f t="array" ref="H4138">F4138/G4138*100000</f>
        <v>30.3049542731319</v>
      </c>
    </row>
    <row r="4139" ht="13" customHeight="1">
      <c r="A4139" s="8">
        <v>6</v>
      </c>
      <c r="B4139" t="s" s="9">
        <v>37</v>
      </c>
      <c r="C4139" t="s" s="9">
        <v>70</v>
      </c>
      <c r="D4139" t="s" s="9">
        <v>38</v>
      </c>
      <c r="E4139" t="s" s="9">
        <v>71</v>
      </c>
      <c r="F4139" s="10">
        <v>832</v>
      </c>
      <c r="G4139" s="10">
        <v>1874281</v>
      </c>
      <c r="H4139" s="11" cm="1">
        <f t="array" ref="H4139">F4139/G4139*100000</f>
        <v>44.3903555550102</v>
      </c>
    </row>
    <row r="4140" ht="13" customHeight="1">
      <c r="A4140" s="8">
        <v>7</v>
      </c>
      <c r="B4140" t="s" s="9">
        <v>37</v>
      </c>
      <c r="C4140" t="s" s="9">
        <v>70</v>
      </c>
      <c r="D4140" t="s" s="9">
        <v>38</v>
      </c>
      <c r="E4140" t="s" s="9">
        <v>71</v>
      </c>
      <c r="F4140" s="10">
        <v>749</v>
      </c>
      <c r="G4140" s="10">
        <v>1874281</v>
      </c>
      <c r="H4140" s="11" cm="1">
        <f t="array" ref="H4140">F4140/G4140*100000</f>
        <v>39.961990758056</v>
      </c>
    </row>
    <row r="4141" ht="13" customHeight="1">
      <c r="A4141" s="8">
        <v>8</v>
      </c>
      <c r="B4141" t="s" s="9">
        <v>35</v>
      </c>
      <c r="C4141" t="s" s="9">
        <v>70</v>
      </c>
      <c r="D4141" t="s" s="9">
        <v>38</v>
      </c>
      <c r="E4141" t="s" s="9">
        <v>71</v>
      </c>
      <c r="F4141" s="10">
        <v>391</v>
      </c>
      <c r="G4141" s="10">
        <v>1874281</v>
      </c>
      <c r="H4141" s="11" cm="1">
        <f t="array" ref="H4141">F4141/G4141*100000</f>
        <v>20.8613329591454</v>
      </c>
    </row>
    <row r="4142" ht="13" customHeight="1">
      <c r="A4142" s="8">
        <v>9</v>
      </c>
      <c r="B4142" t="s" s="9">
        <v>41</v>
      </c>
      <c r="C4142" t="s" s="9">
        <v>70</v>
      </c>
      <c r="D4142" t="s" s="9">
        <v>38</v>
      </c>
      <c r="E4142" t="s" s="9">
        <v>71</v>
      </c>
      <c r="F4142" s="10">
        <v>682</v>
      </c>
      <c r="G4142" s="10">
        <v>1874281</v>
      </c>
      <c r="H4142" s="11" cm="1">
        <f t="array" ref="H4142">F4142/G4142*100000</f>
        <v>36.3872866448521</v>
      </c>
    </row>
    <row r="4143" ht="13" customHeight="1">
      <c r="A4143" s="8">
        <v>10</v>
      </c>
      <c r="B4143" t="s" s="9">
        <v>41</v>
      </c>
      <c r="C4143" t="s" s="9">
        <v>70</v>
      </c>
      <c r="D4143" t="s" s="9">
        <v>38</v>
      </c>
      <c r="E4143" t="s" s="9">
        <v>71</v>
      </c>
      <c r="F4143" s="10">
        <v>694</v>
      </c>
      <c r="G4143" s="10">
        <v>1874281</v>
      </c>
      <c r="H4143" s="11" cm="1">
        <f t="array" ref="H4143">F4143/G4143*100000</f>
        <v>37.0275321576647</v>
      </c>
    </row>
    <row r="4144" ht="13" customHeight="1">
      <c r="A4144" s="8">
        <v>1</v>
      </c>
      <c r="B4144" t="s" s="9">
        <v>30</v>
      </c>
      <c r="C4144" t="s" s="9">
        <v>70</v>
      </c>
      <c r="D4144" t="s" s="9">
        <v>42</v>
      </c>
      <c r="E4144" t="s" s="9">
        <v>71</v>
      </c>
      <c r="F4144" s="10">
        <v>8029</v>
      </c>
      <c r="G4144" s="10">
        <v>5458063</v>
      </c>
      <c r="H4144" s="11" cm="1">
        <f t="array" ref="H4144">F4144/G4144*100000</f>
        <v>147.103468758056</v>
      </c>
    </row>
    <row r="4145" ht="13" customHeight="1">
      <c r="A4145" s="8">
        <v>2</v>
      </c>
      <c r="B4145" t="s" s="9">
        <v>41</v>
      </c>
      <c r="C4145" t="s" s="9">
        <v>70</v>
      </c>
      <c r="D4145" t="s" s="9">
        <v>42</v>
      </c>
      <c r="E4145" t="s" s="9">
        <v>71</v>
      </c>
      <c r="F4145" s="10">
        <v>5458</v>
      </c>
      <c r="G4145" s="10">
        <v>5458063</v>
      </c>
      <c r="H4145" s="11" cm="1">
        <f t="array" ref="H4145">F4145/G4145*100000</f>
        <v>99.9988457443602</v>
      </c>
    </row>
    <row r="4146" ht="13" customHeight="1">
      <c r="A4146" s="8">
        <v>3</v>
      </c>
      <c r="B4146" t="s" s="9">
        <v>30</v>
      </c>
      <c r="C4146" t="s" s="9">
        <v>70</v>
      </c>
      <c r="D4146" t="s" s="9">
        <v>42</v>
      </c>
      <c r="E4146" t="s" s="9">
        <v>71</v>
      </c>
      <c r="F4146" s="10">
        <v>4915</v>
      </c>
      <c r="G4146" s="10">
        <v>5458063</v>
      </c>
      <c r="H4146" s="11" cm="1">
        <f t="array" ref="H4146">F4146/G4146*100000</f>
        <v>90.0502614205809</v>
      </c>
    </row>
    <row r="4147" ht="13" customHeight="1">
      <c r="A4147" s="8">
        <v>4</v>
      </c>
      <c r="B4147" t="s" s="9">
        <v>30</v>
      </c>
      <c r="C4147" t="s" s="9">
        <v>70</v>
      </c>
      <c r="D4147" t="s" s="9">
        <v>42</v>
      </c>
      <c r="E4147" t="s" s="9">
        <v>71</v>
      </c>
      <c r="F4147" s="10">
        <v>3809</v>
      </c>
      <c r="G4147" s="10">
        <v>5458063</v>
      </c>
      <c r="H4147" s="11" cm="1">
        <f t="array" ref="H4147">F4147/G4147*100000</f>
        <v>69.7866624111887</v>
      </c>
    </row>
    <row r="4148" ht="13" customHeight="1">
      <c r="A4148" s="8">
        <v>5</v>
      </c>
      <c r="B4148" t="s" s="9">
        <v>34</v>
      </c>
      <c r="C4148" t="s" s="9">
        <v>70</v>
      </c>
      <c r="D4148" t="s" s="9">
        <v>42</v>
      </c>
      <c r="E4148" t="s" s="9">
        <v>71</v>
      </c>
      <c r="F4148" s="10">
        <v>3175</v>
      </c>
      <c r="G4148" s="10">
        <v>5458063</v>
      </c>
      <c r="H4148" s="11" cm="1">
        <f t="array" ref="H4148">F4148/G4148*100000</f>
        <v>58.170819941067</v>
      </c>
    </row>
    <row r="4149" ht="13" customHeight="1">
      <c r="A4149" s="8">
        <v>6</v>
      </c>
      <c r="B4149" t="s" s="9">
        <v>37</v>
      </c>
      <c r="C4149" t="s" s="9">
        <v>70</v>
      </c>
      <c r="D4149" t="s" s="9">
        <v>42</v>
      </c>
      <c r="E4149" t="s" s="9">
        <v>71</v>
      </c>
      <c r="F4149" s="10">
        <v>1957</v>
      </c>
      <c r="G4149" s="10">
        <v>5458063</v>
      </c>
      <c r="H4149" s="11" cm="1">
        <f t="array" ref="H4149">F4149/G4149*100000</f>
        <v>35.8552109054073</v>
      </c>
    </row>
    <row r="4150" ht="13" customHeight="1">
      <c r="A4150" s="8">
        <v>7</v>
      </c>
      <c r="B4150" t="s" s="9">
        <v>35</v>
      </c>
      <c r="C4150" t="s" s="9">
        <v>70</v>
      </c>
      <c r="D4150" t="s" s="9">
        <v>42</v>
      </c>
      <c r="E4150" t="s" s="9">
        <v>71</v>
      </c>
      <c r="F4150" s="10">
        <v>1904</v>
      </c>
      <c r="G4150" s="10">
        <v>5458063</v>
      </c>
      <c r="H4150" s="11" cm="1">
        <f t="array" ref="H4150">F4150/G4150*100000</f>
        <v>34.8841704465485</v>
      </c>
    </row>
    <row r="4151" ht="13" customHeight="1">
      <c r="A4151" s="8">
        <v>8</v>
      </c>
      <c r="B4151" t="s" s="9">
        <v>35</v>
      </c>
      <c r="C4151" t="s" s="9">
        <v>70</v>
      </c>
      <c r="D4151" t="s" s="9">
        <v>42</v>
      </c>
      <c r="E4151" t="s" s="9">
        <v>71</v>
      </c>
      <c r="F4151" s="10">
        <v>1641</v>
      </c>
      <c r="G4151" s="10">
        <v>5458063</v>
      </c>
      <c r="H4151" s="11" cm="1">
        <f t="array" ref="H4151">F4151/G4151*100000</f>
        <v>30.0656111884381</v>
      </c>
    </row>
    <row r="4152" ht="13" customHeight="1">
      <c r="A4152" s="8">
        <v>9</v>
      </c>
      <c r="B4152" t="s" s="9">
        <v>37</v>
      </c>
      <c r="C4152" t="s" s="9">
        <v>70</v>
      </c>
      <c r="D4152" t="s" s="9">
        <v>42</v>
      </c>
      <c r="E4152" t="s" s="9">
        <v>71</v>
      </c>
      <c r="F4152" s="10">
        <v>1581</v>
      </c>
      <c r="G4152" s="10">
        <v>5458063</v>
      </c>
      <c r="H4152" s="11" cm="1">
        <f t="array" ref="H4152">F4152/G4152*100000</f>
        <v>28.9663201029376</v>
      </c>
    </row>
    <row r="4153" ht="13" customHeight="1">
      <c r="A4153" s="8">
        <v>10</v>
      </c>
      <c r="B4153" t="s" s="9">
        <v>37</v>
      </c>
      <c r="C4153" t="s" s="9">
        <v>70</v>
      </c>
      <c r="D4153" t="s" s="9">
        <v>42</v>
      </c>
      <c r="E4153" t="s" s="9">
        <v>71</v>
      </c>
      <c r="F4153" s="10">
        <v>1836</v>
      </c>
      <c r="G4153" s="10">
        <v>5458063</v>
      </c>
      <c r="H4153" s="11" cm="1">
        <f t="array" ref="H4153">F4153/G4153*100000</f>
        <v>33.6383072163147</v>
      </c>
    </row>
    <row r="4154" ht="13" customHeight="1">
      <c r="A4154" s="8">
        <v>1</v>
      </c>
      <c r="B4154" t="s" s="9">
        <v>30</v>
      </c>
      <c r="C4154" t="s" s="9">
        <v>70</v>
      </c>
      <c r="D4154" t="s" s="9">
        <v>43</v>
      </c>
      <c r="E4154" t="s" s="9">
        <v>71</v>
      </c>
      <c r="F4154" s="10">
        <v>5888</v>
      </c>
      <c r="G4154" s="10">
        <v>3817144</v>
      </c>
      <c r="H4154" s="11" cm="1">
        <f t="array" ref="H4154">F4154/G4154*100000</f>
        <v>154.251450822919</v>
      </c>
    </row>
    <row r="4155" ht="13" customHeight="1">
      <c r="A4155" s="8">
        <v>2</v>
      </c>
      <c r="B4155" t="s" s="9">
        <v>34</v>
      </c>
      <c r="C4155" t="s" s="9">
        <v>70</v>
      </c>
      <c r="D4155" t="s" s="9">
        <v>43</v>
      </c>
      <c r="E4155" t="s" s="9">
        <v>71</v>
      </c>
      <c r="F4155" s="10">
        <v>3521</v>
      </c>
      <c r="G4155" s="10">
        <v>3817144</v>
      </c>
      <c r="H4155" s="11" cm="1">
        <f t="array" ref="H4155">F4155/G4155*100000</f>
        <v>92.2417388497788</v>
      </c>
    </row>
    <row r="4156" ht="13" customHeight="1">
      <c r="A4156" s="8">
        <v>3</v>
      </c>
      <c r="B4156" t="s" s="9">
        <v>45</v>
      </c>
      <c r="C4156" t="s" s="9">
        <v>70</v>
      </c>
      <c r="D4156" t="s" s="9">
        <v>43</v>
      </c>
      <c r="E4156" t="s" s="9">
        <v>71</v>
      </c>
      <c r="F4156" s="10">
        <v>921</v>
      </c>
      <c r="G4156" s="10">
        <v>3817144</v>
      </c>
      <c r="H4156" s="11" cm="1">
        <f t="array" ref="H4156">F4156/G4156*100000</f>
        <v>24.1279867880279</v>
      </c>
    </row>
    <row r="4157" ht="13" customHeight="1">
      <c r="A4157" s="8">
        <v>4</v>
      </c>
      <c r="B4157" t="s" s="9">
        <v>30</v>
      </c>
      <c r="C4157" t="s" s="9">
        <v>70</v>
      </c>
      <c r="D4157" t="s" s="9">
        <v>43</v>
      </c>
      <c r="E4157" t="s" s="9">
        <v>71</v>
      </c>
      <c r="F4157" s="10">
        <v>954</v>
      </c>
      <c r="G4157" s="10">
        <v>3817144</v>
      </c>
      <c r="H4157" s="11" cm="1">
        <f t="array" ref="H4157">F4157/G4157*100000</f>
        <v>24.9925074872732</v>
      </c>
    </row>
    <row r="4158" ht="13" customHeight="1">
      <c r="A4158" s="8">
        <v>5</v>
      </c>
      <c r="B4158" t="s" s="9">
        <v>35</v>
      </c>
      <c r="C4158" t="s" s="9">
        <v>70</v>
      </c>
      <c r="D4158" t="s" s="9">
        <v>43</v>
      </c>
      <c r="E4158" t="s" s="9">
        <v>71</v>
      </c>
      <c r="F4158" s="10">
        <v>718</v>
      </c>
      <c r="G4158" s="10">
        <v>3817144</v>
      </c>
      <c r="H4158" s="11" cm="1">
        <f t="array" ref="H4158">F4158/G4158*100000</f>
        <v>18.809874607822</v>
      </c>
    </row>
    <row r="4159" ht="13" customHeight="1">
      <c r="A4159" s="8">
        <v>6</v>
      </c>
      <c r="B4159" t="s" s="9">
        <v>37</v>
      </c>
      <c r="C4159" t="s" s="9">
        <v>70</v>
      </c>
      <c r="D4159" t="s" s="9">
        <v>43</v>
      </c>
      <c r="E4159" t="s" s="9">
        <v>71</v>
      </c>
      <c r="F4159" s="10">
        <v>1080</v>
      </c>
      <c r="G4159" s="10">
        <v>3817144</v>
      </c>
      <c r="H4159" s="11" cm="1">
        <f t="array" ref="H4159">F4159/G4159*100000</f>
        <v>28.2934047025734</v>
      </c>
    </row>
    <row r="4160" ht="13" customHeight="1">
      <c r="A4160" s="8">
        <v>7</v>
      </c>
      <c r="B4160" t="s" s="9">
        <v>39</v>
      </c>
      <c r="C4160" t="s" s="9">
        <v>70</v>
      </c>
      <c r="D4160" t="s" s="9">
        <v>43</v>
      </c>
      <c r="E4160" t="s" s="9">
        <v>71</v>
      </c>
      <c r="F4160" s="10">
        <v>1056</v>
      </c>
      <c r="G4160" s="10">
        <v>3817144</v>
      </c>
      <c r="H4160" s="11" cm="1">
        <f t="array" ref="H4160">F4160/G4160*100000</f>
        <v>27.6646623758496</v>
      </c>
    </row>
    <row r="4161" ht="13" customHeight="1">
      <c r="A4161" s="8">
        <v>8</v>
      </c>
      <c r="B4161" t="s" s="9">
        <v>30</v>
      </c>
      <c r="C4161" t="s" s="9">
        <v>70</v>
      </c>
      <c r="D4161" t="s" s="9">
        <v>43</v>
      </c>
      <c r="E4161" t="s" s="9">
        <v>71</v>
      </c>
      <c r="F4161" s="10">
        <v>788</v>
      </c>
      <c r="G4161" s="10">
        <v>3817144</v>
      </c>
      <c r="H4161" s="11" cm="1">
        <f t="array" ref="H4161">F4161/G4161*100000</f>
        <v>20.6437063940999</v>
      </c>
    </row>
    <row r="4162" ht="13" customHeight="1">
      <c r="A4162" s="8">
        <v>9</v>
      </c>
      <c r="B4162" t="s" s="9">
        <v>37</v>
      </c>
      <c r="C4162" t="s" s="9">
        <v>70</v>
      </c>
      <c r="D4162" t="s" s="9">
        <v>43</v>
      </c>
      <c r="E4162" t="s" s="9">
        <v>71</v>
      </c>
      <c r="F4162" s="10">
        <v>721</v>
      </c>
      <c r="G4162" s="10">
        <v>3817144</v>
      </c>
      <c r="H4162" s="11" cm="1">
        <f t="array" ref="H4162">F4162/G4162*100000</f>
        <v>18.8884673986625</v>
      </c>
    </row>
    <row r="4163" ht="13" customHeight="1">
      <c r="A4163" s="8">
        <v>10</v>
      </c>
      <c r="B4163" t="s" s="9">
        <v>30</v>
      </c>
      <c r="C4163" t="s" s="9">
        <v>70</v>
      </c>
      <c r="D4163" t="s" s="9">
        <v>43</v>
      </c>
      <c r="E4163" t="s" s="9">
        <v>71</v>
      </c>
      <c r="F4163" s="10">
        <v>639</v>
      </c>
      <c r="G4163" s="10">
        <v>3817144</v>
      </c>
      <c r="H4163" s="11" cm="1">
        <f t="array" ref="H4163">F4163/G4163*100000</f>
        <v>16.7402644490226</v>
      </c>
    </row>
    <row r="4164" ht="13" customHeight="1">
      <c r="A4164" s="8">
        <v>1</v>
      </c>
      <c r="B4164" t="s" s="9">
        <v>30</v>
      </c>
      <c r="C4164" t="s" s="9">
        <v>70</v>
      </c>
      <c r="D4164" t="s" s="9">
        <v>44</v>
      </c>
      <c r="E4164" t="s" s="9">
        <v>71</v>
      </c>
      <c r="F4164" s="10">
        <v>18364</v>
      </c>
      <c r="G4164" s="10">
        <v>13239670</v>
      </c>
      <c r="H4164" s="11" cm="1">
        <f t="array" ref="H4164">F4164/G4164*100000</f>
        <v>138.704363477337</v>
      </c>
    </row>
    <row r="4165" ht="13" customHeight="1">
      <c r="A4165" s="8">
        <v>2</v>
      </c>
      <c r="B4165" t="s" s="9">
        <v>34</v>
      </c>
      <c r="C4165" t="s" s="9">
        <v>70</v>
      </c>
      <c r="D4165" t="s" s="9">
        <v>44</v>
      </c>
      <c r="E4165" t="s" s="9">
        <v>71</v>
      </c>
      <c r="F4165" s="10">
        <v>10670</v>
      </c>
      <c r="G4165" s="10">
        <v>13239670</v>
      </c>
      <c r="H4165" s="11" cm="1">
        <f t="array" ref="H4165">F4165/G4165*100000</f>
        <v>80.5911325584399</v>
      </c>
    </row>
    <row r="4166" ht="13" customHeight="1">
      <c r="A4166" s="8">
        <v>3</v>
      </c>
      <c r="B4166" t="s" s="9">
        <v>35</v>
      </c>
      <c r="C4166" t="s" s="9">
        <v>70</v>
      </c>
      <c r="D4166" t="s" s="9">
        <v>44</v>
      </c>
      <c r="E4166" t="s" s="9">
        <v>71</v>
      </c>
      <c r="F4166" s="10">
        <v>4762</v>
      </c>
      <c r="G4166" s="10">
        <v>13239670</v>
      </c>
      <c r="H4166" s="11" cm="1">
        <f t="array" ref="H4166">F4166/G4166*100000</f>
        <v>35.9676638466064</v>
      </c>
    </row>
    <row r="4167" ht="13" customHeight="1">
      <c r="A4167" s="8">
        <v>4</v>
      </c>
      <c r="B4167" t="s" s="9">
        <v>37</v>
      </c>
      <c r="C4167" t="s" s="9">
        <v>70</v>
      </c>
      <c r="D4167" t="s" s="9">
        <v>44</v>
      </c>
      <c r="E4167" t="s" s="9">
        <v>71</v>
      </c>
      <c r="F4167" s="10">
        <v>3893</v>
      </c>
      <c r="G4167" s="10">
        <v>13239670</v>
      </c>
      <c r="H4167" s="11" cm="1">
        <f t="array" ref="H4167">F4167/G4167*100000</f>
        <v>29.4040561433933</v>
      </c>
    </row>
    <row r="4168" ht="13" customHeight="1">
      <c r="A4168" s="8">
        <v>5</v>
      </c>
      <c r="B4168" t="s" s="9">
        <v>39</v>
      </c>
      <c r="C4168" t="s" s="9">
        <v>70</v>
      </c>
      <c r="D4168" t="s" s="9">
        <v>44</v>
      </c>
      <c r="E4168" t="s" s="9">
        <v>71</v>
      </c>
      <c r="F4168" s="10">
        <v>3727</v>
      </c>
      <c r="G4168" s="10">
        <v>13239670</v>
      </c>
      <c r="H4168" s="11" cm="1">
        <f t="array" ref="H4168">F4168/G4168*100000</f>
        <v>28.1502484578543</v>
      </c>
    </row>
    <row r="4169" ht="13" customHeight="1">
      <c r="A4169" s="8">
        <v>6</v>
      </c>
      <c r="B4169" t="s" s="9">
        <v>30</v>
      </c>
      <c r="C4169" t="s" s="9">
        <v>70</v>
      </c>
      <c r="D4169" t="s" s="9">
        <v>44</v>
      </c>
      <c r="E4169" t="s" s="9">
        <v>71</v>
      </c>
      <c r="F4169" s="10">
        <v>3057</v>
      </c>
      <c r="G4169" s="10">
        <v>13239670</v>
      </c>
      <c r="H4169" s="11" cm="1">
        <f t="array" ref="H4169">F4169/G4169*100000</f>
        <v>23.0896993656186</v>
      </c>
    </row>
    <row r="4170" ht="13" customHeight="1">
      <c r="A4170" s="8">
        <v>7</v>
      </c>
      <c r="B4170" t="s" s="9">
        <v>30</v>
      </c>
      <c r="C4170" t="s" s="9">
        <v>70</v>
      </c>
      <c r="D4170" t="s" s="9">
        <v>44</v>
      </c>
      <c r="E4170" t="s" s="9">
        <v>71</v>
      </c>
      <c r="F4170" s="10">
        <v>2130</v>
      </c>
      <c r="G4170" s="10">
        <v>13239670</v>
      </c>
      <c r="H4170" s="11" cm="1">
        <f t="array" ref="H4170">F4170/G4170*100000</f>
        <v>16.0880142783015</v>
      </c>
    </row>
    <row r="4171" ht="13" customHeight="1">
      <c r="A4171" s="8">
        <v>8</v>
      </c>
      <c r="B4171" t="s" s="9">
        <v>30</v>
      </c>
      <c r="C4171" t="s" s="9">
        <v>70</v>
      </c>
      <c r="D4171" t="s" s="9">
        <v>44</v>
      </c>
      <c r="E4171" t="s" s="9">
        <v>71</v>
      </c>
      <c r="F4171" s="10">
        <v>2055</v>
      </c>
      <c r="G4171" s="10">
        <v>13239670</v>
      </c>
      <c r="H4171" s="11" cm="1">
        <f t="array" ref="H4171">F4171/G4171*100000</f>
        <v>15.521534902305</v>
      </c>
    </row>
    <row r="4172" ht="13" customHeight="1">
      <c r="A4172" s="8">
        <v>9</v>
      </c>
      <c r="B4172" t="s" s="9">
        <v>37</v>
      </c>
      <c r="C4172" t="s" s="9">
        <v>70</v>
      </c>
      <c r="D4172" t="s" s="9">
        <v>44</v>
      </c>
      <c r="E4172" t="s" s="9">
        <v>71</v>
      </c>
      <c r="F4172" s="10">
        <v>1821</v>
      </c>
      <c r="G4172" s="10">
        <v>13239670</v>
      </c>
      <c r="H4172" s="11" cm="1">
        <f t="array" ref="H4172">F4172/G4172*100000</f>
        <v>13.7541192491958</v>
      </c>
    </row>
    <row r="4173" ht="13" customHeight="1">
      <c r="A4173" s="8">
        <v>10</v>
      </c>
      <c r="B4173" t="s" s="9">
        <v>30</v>
      </c>
      <c r="C4173" t="s" s="9">
        <v>70</v>
      </c>
      <c r="D4173" t="s" s="9">
        <v>44</v>
      </c>
      <c r="E4173" t="s" s="9">
        <v>71</v>
      </c>
      <c r="F4173" s="10">
        <v>1499</v>
      </c>
      <c r="G4173" s="10">
        <v>13239670</v>
      </c>
      <c r="H4173" s="11" cm="1">
        <f t="array" ref="H4173">F4173/G4173*100000</f>
        <v>11.322034461584</v>
      </c>
    </row>
    <row r="4174" ht="13" customHeight="1">
      <c r="A4174" s="8">
        <v>1</v>
      </c>
      <c r="B4174" t="s" s="9">
        <v>30</v>
      </c>
      <c r="C4174" t="s" s="9">
        <v>70</v>
      </c>
      <c r="D4174" t="s" s="9">
        <v>46</v>
      </c>
      <c r="E4174" t="s" s="9">
        <v>71</v>
      </c>
      <c r="F4174" s="10">
        <v>12111</v>
      </c>
      <c r="G4174" s="10">
        <v>17477569</v>
      </c>
      <c r="H4174" s="11" cm="1">
        <f t="array" ref="H4174">F4174/G4174*100000</f>
        <v>69.2945340396024</v>
      </c>
    </row>
    <row r="4175" ht="13" customHeight="1">
      <c r="A4175" s="8">
        <v>2</v>
      </c>
      <c r="B4175" t="s" s="9">
        <v>35</v>
      </c>
      <c r="C4175" t="s" s="9">
        <v>70</v>
      </c>
      <c r="D4175" t="s" s="9">
        <v>46</v>
      </c>
      <c r="E4175" t="s" s="9">
        <v>71</v>
      </c>
      <c r="F4175" s="10">
        <v>4830</v>
      </c>
      <c r="G4175" s="10">
        <v>17477569</v>
      </c>
      <c r="H4175" s="11" cm="1">
        <f t="array" ref="H4175">F4175/G4175*100000</f>
        <v>27.6354222947139</v>
      </c>
    </row>
    <row r="4176" ht="13" customHeight="1">
      <c r="A4176" s="8">
        <v>3</v>
      </c>
      <c r="B4176" t="s" s="9">
        <v>30</v>
      </c>
      <c r="C4176" t="s" s="9">
        <v>70</v>
      </c>
      <c r="D4176" t="s" s="9">
        <v>46</v>
      </c>
      <c r="E4176" t="s" s="9">
        <v>71</v>
      </c>
      <c r="F4176" s="10">
        <v>4798</v>
      </c>
      <c r="G4176" s="10">
        <v>17477569</v>
      </c>
      <c r="H4176" s="11" cm="1">
        <f t="array" ref="H4176">F4176/G4176*100000</f>
        <v>27.452330469987</v>
      </c>
    </row>
    <row r="4177" ht="13" customHeight="1">
      <c r="A4177" s="8">
        <v>4</v>
      </c>
      <c r="B4177" t="s" s="9">
        <v>34</v>
      </c>
      <c r="C4177" t="s" s="9">
        <v>70</v>
      </c>
      <c r="D4177" t="s" s="9">
        <v>46</v>
      </c>
      <c r="E4177" t="s" s="9">
        <v>71</v>
      </c>
      <c r="F4177" s="10">
        <v>3820</v>
      </c>
      <c r="G4177" s="10">
        <v>17477569</v>
      </c>
      <c r="H4177" s="11" cm="1">
        <f t="array" ref="H4177">F4177/G4177*100000</f>
        <v>21.8565865767716</v>
      </c>
    </row>
    <row r="4178" ht="13" customHeight="1">
      <c r="A4178" s="8">
        <v>5</v>
      </c>
      <c r="B4178" t="s" s="9">
        <v>30</v>
      </c>
      <c r="C4178" t="s" s="9">
        <v>70</v>
      </c>
      <c r="D4178" t="s" s="9">
        <v>46</v>
      </c>
      <c r="E4178" t="s" s="9">
        <v>71</v>
      </c>
      <c r="F4178" s="10">
        <v>3204</v>
      </c>
      <c r="G4178" s="10">
        <v>17477569</v>
      </c>
      <c r="H4178" s="11" cm="1">
        <f t="array" ref="H4178">F4178/G4178*100000</f>
        <v>18.3320689507791</v>
      </c>
    </row>
    <row r="4179" ht="13" customHeight="1">
      <c r="A4179" s="8">
        <v>6</v>
      </c>
      <c r="B4179" t="s" s="9">
        <v>41</v>
      </c>
      <c r="C4179" t="s" s="9">
        <v>70</v>
      </c>
      <c r="D4179" t="s" s="9">
        <v>46</v>
      </c>
      <c r="E4179" t="s" s="9">
        <v>71</v>
      </c>
      <c r="F4179" s="10">
        <v>2797</v>
      </c>
      <c r="G4179" s="10">
        <v>17477569</v>
      </c>
      <c r="H4179" s="11" cm="1">
        <f t="array" ref="H4179">F4179/G4179*100000</f>
        <v>16.0033698050341</v>
      </c>
    </row>
    <row r="4180" ht="13" customHeight="1">
      <c r="A4180" s="8">
        <v>7</v>
      </c>
      <c r="B4180" t="s" s="9">
        <v>39</v>
      </c>
      <c r="C4180" t="s" s="9">
        <v>70</v>
      </c>
      <c r="D4180" t="s" s="9">
        <v>46</v>
      </c>
      <c r="E4180" t="s" s="9">
        <v>71</v>
      </c>
      <c r="F4180" s="10">
        <v>3039</v>
      </c>
      <c r="G4180" s="10">
        <v>17477569</v>
      </c>
      <c r="H4180" s="11" cm="1">
        <f t="array" ref="H4180">F4180/G4180*100000</f>
        <v>17.3880017295311</v>
      </c>
    </row>
    <row r="4181" ht="13" customHeight="1">
      <c r="A4181" s="8">
        <v>8</v>
      </c>
      <c r="B4181" t="s" s="9">
        <v>45</v>
      </c>
      <c r="C4181" t="s" s="9">
        <v>70</v>
      </c>
      <c r="D4181" t="s" s="9">
        <v>46</v>
      </c>
      <c r="E4181" t="s" s="9">
        <v>71</v>
      </c>
      <c r="F4181" s="10">
        <v>1272</v>
      </c>
      <c r="G4181" s="10">
        <v>17477569</v>
      </c>
      <c r="H4181" s="11" cm="1">
        <f t="array" ref="H4181">F4181/G4181*100000</f>
        <v>7.27790003289359</v>
      </c>
    </row>
    <row r="4182" ht="13" customHeight="1">
      <c r="A4182" s="8">
        <v>9</v>
      </c>
      <c r="B4182" t="s" s="9">
        <v>37</v>
      </c>
      <c r="C4182" t="s" s="9">
        <v>70</v>
      </c>
      <c r="D4182" t="s" s="9">
        <v>46</v>
      </c>
      <c r="E4182" t="s" s="9">
        <v>71</v>
      </c>
      <c r="F4182" s="10">
        <v>1230</v>
      </c>
      <c r="G4182" s="10">
        <v>17477569</v>
      </c>
      <c r="H4182" s="11" cm="1">
        <f t="array" ref="H4182">F4182/G4182*100000</f>
        <v>7.03759201293956</v>
      </c>
    </row>
    <row r="4183" ht="13" customHeight="1">
      <c r="A4183" s="8">
        <v>10</v>
      </c>
      <c r="B4183" t="s" s="9">
        <v>30</v>
      </c>
      <c r="C4183" t="s" s="9">
        <v>70</v>
      </c>
      <c r="D4183" t="s" s="9">
        <v>46</v>
      </c>
      <c r="E4183" t="s" s="9">
        <v>71</v>
      </c>
      <c r="F4183" s="10">
        <v>914</v>
      </c>
      <c r="G4183" s="10">
        <v>17477569</v>
      </c>
      <c r="H4183" s="11" cm="1">
        <f t="array" ref="H4183">F4183/G4183*100000</f>
        <v>5.22956024376159</v>
      </c>
    </row>
    <row r="4184" ht="13" customHeight="1">
      <c r="A4184" s="8">
        <v>1</v>
      </c>
      <c r="B4184" t="s" s="9">
        <v>30</v>
      </c>
      <c r="C4184" t="s" s="9">
        <v>70</v>
      </c>
      <c r="D4184" t="s" s="9">
        <v>47</v>
      </c>
      <c r="E4184" t="s" s="9">
        <v>71</v>
      </c>
      <c r="F4184" s="10">
        <v>3759</v>
      </c>
      <c r="G4184" s="10">
        <v>3342831</v>
      </c>
      <c r="H4184" s="11" cm="1">
        <f t="array" ref="H4184">F4184/G4184*100000</f>
        <v>112.449597362236</v>
      </c>
    </row>
    <row r="4185" ht="13" customHeight="1">
      <c r="A4185" s="8">
        <v>2</v>
      </c>
      <c r="B4185" t="s" s="9">
        <v>35</v>
      </c>
      <c r="C4185" t="s" s="9">
        <v>70</v>
      </c>
      <c r="D4185" t="s" s="9">
        <v>47</v>
      </c>
      <c r="E4185" t="s" s="9">
        <v>71</v>
      </c>
      <c r="F4185" s="10">
        <v>2312</v>
      </c>
      <c r="G4185" s="10">
        <v>3342831</v>
      </c>
      <c r="H4185" s="11" cm="1">
        <f t="array" ref="H4185">F4185/G4185*100000</f>
        <v>69.1629340520056</v>
      </c>
    </row>
    <row r="4186" ht="13" customHeight="1">
      <c r="A4186" s="8">
        <v>3</v>
      </c>
      <c r="B4186" t="s" s="9">
        <v>34</v>
      </c>
      <c r="C4186" t="s" s="9">
        <v>70</v>
      </c>
      <c r="D4186" t="s" s="9">
        <v>47</v>
      </c>
      <c r="E4186" t="s" s="9">
        <v>71</v>
      </c>
      <c r="F4186" s="10">
        <v>667</v>
      </c>
      <c r="G4186" s="10">
        <v>3342831</v>
      </c>
      <c r="H4186" s="11" cm="1">
        <f t="array" ref="H4186">F4186/G4186*100000</f>
        <v>19.9531474968373</v>
      </c>
    </row>
    <row r="4187" ht="13" customHeight="1">
      <c r="A4187" s="8">
        <v>4</v>
      </c>
      <c r="B4187" t="s" s="9">
        <v>45</v>
      </c>
      <c r="C4187" t="s" s="9">
        <v>70</v>
      </c>
      <c r="D4187" t="s" s="9">
        <v>47</v>
      </c>
      <c r="E4187" t="s" s="9">
        <v>71</v>
      </c>
      <c r="F4187" s="10">
        <v>418</v>
      </c>
      <c r="G4187" s="10">
        <v>3342831</v>
      </c>
      <c r="H4187" s="11" cm="1">
        <f t="array" ref="H4187">F4187/G4187*100000</f>
        <v>12.5043712948695</v>
      </c>
    </row>
    <row r="4188" ht="13" customHeight="1">
      <c r="A4188" s="8">
        <v>5</v>
      </c>
      <c r="B4188" t="s" s="9">
        <v>39</v>
      </c>
      <c r="C4188" t="s" s="9">
        <v>70</v>
      </c>
      <c r="D4188" t="s" s="9">
        <v>47</v>
      </c>
      <c r="E4188" t="s" s="9">
        <v>71</v>
      </c>
      <c r="F4188" s="10">
        <v>571</v>
      </c>
      <c r="G4188" s="10">
        <v>3342831</v>
      </c>
      <c r="H4188" s="11" cm="1">
        <f t="array" ref="H4188">F4188/G4188*100000</f>
        <v>17.0813301659581</v>
      </c>
    </row>
    <row r="4189" ht="13" customHeight="1">
      <c r="A4189" s="8">
        <v>6</v>
      </c>
      <c r="B4189" t="s" s="9">
        <v>30</v>
      </c>
      <c r="C4189" t="s" s="9">
        <v>70</v>
      </c>
      <c r="D4189" t="s" s="9">
        <v>47</v>
      </c>
      <c r="E4189" t="s" s="9">
        <v>71</v>
      </c>
      <c r="F4189" s="10">
        <v>365</v>
      </c>
      <c r="G4189" s="10">
        <v>3342831</v>
      </c>
      <c r="H4189" s="11" cm="1">
        <f t="array" ref="H4189">F4189/G4189*100000</f>
        <v>10.9188888101133</v>
      </c>
    </row>
    <row r="4190" ht="13" customHeight="1">
      <c r="A4190" s="8">
        <v>7</v>
      </c>
      <c r="B4190" t="s" s="9">
        <v>30</v>
      </c>
      <c r="C4190" t="s" s="9">
        <v>70</v>
      </c>
      <c r="D4190" t="s" s="9">
        <v>47</v>
      </c>
      <c r="E4190" t="s" s="9">
        <v>71</v>
      </c>
      <c r="F4190" s="10">
        <v>343</v>
      </c>
      <c r="G4190" s="10">
        <v>3342831</v>
      </c>
      <c r="H4190" s="11" cm="1">
        <f t="array" ref="H4190">F4190/G4190*100000</f>
        <v>10.2607640051202</v>
      </c>
    </row>
    <row r="4191" ht="13" customHeight="1">
      <c r="A4191" s="8">
        <v>8</v>
      </c>
      <c r="B4191" t="s" s="9">
        <v>30</v>
      </c>
      <c r="C4191" t="s" s="9">
        <v>70</v>
      </c>
      <c r="D4191" t="s" s="9">
        <v>47</v>
      </c>
      <c r="E4191" t="s" s="9">
        <v>71</v>
      </c>
      <c r="F4191" s="10">
        <v>337</v>
      </c>
      <c r="G4191" s="10">
        <v>3342831</v>
      </c>
      <c r="H4191" s="11" cm="1">
        <f t="array" ref="H4191">F4191/G4191*100000</f>
        <v>10.0812754219403</v>
      </c>
    </row>
    <row r="4192" ht="13" customHeight="1">
      <c r="A4192" s="8">
        <v>9</v>
      </c>
      <c r="B4192" t="s" s="9">
        <v>35</v>
      </c>
      <c r="C4192" t="s" s="9">
        <v>70</v>
      </c>
      <c r="D4192" t="s" s="9">
        <v>47</v>
      </c>
      <c r="E4192" t="s" s="9">
        <v>71</v>
      </c>
      <c r="F4192" s="10">
        <v>264</v>
      </c>
      <c r="G4192" s="10">
        <v>3342831</v>
      </c>
      <c r="H4192" s="11" cm="1">
        <f t="array" ref="H4192">F4192/G4192*100000</f>
        <v>7.8974976599176</v>
      </c>
    </row>
    <row r="4193" ht="13" customHeight="1">
      <c r="A4193" s="8">
        <v>10</v>
      </c>
      <c r="B4193" t="s" s="9">
        <v>41</v>
      </c>
      <c r="C4193" t="s" s="9">
        <v>70</v>
      </c>
      <c r="D4193" t="s" s="9">
        <v>47</v>
      </c>
      <c r="E4193" t="s" s="9">
        <v>71</v>
      </c>
      <c r="F4193" s="10">
        <v>235</v>
      </c>
      <c r="G4193" s="10">
        <v>3342831</v>
      </c>
      <c r="H4193" s="11" cm="1">
        <f t="array" ref="H4193">F4193/G4193*100000</f>
        <v>7.02996950788119</v>
      </c>
    </row>
    <row r="4194" ht="13" customHeight="1">
      <c r="A4194" s="8">
        <v>1</v>
      </c>
      <c r="B4194" t="s" s="9">
        <v>30</v>
      </c>
      <c r="C4194" t="s" s="9">
        <v>70</v>
      </c>
      <c r="D4194" t="s" s="9">
        <v>49</v>
      </c>
      <c r="E4194" t="s" s="9">
        <v>71</v>
      </c>
      <c r="F4194" s="10">
        <v>6511</v>
      </c>
      <c r="G4194" s="10">
        <v>6397690</v>
      </c>
      <c r="H4194" s="11" cm="1">
        <f t="array" ref="H4194">F4194/G4194*100000</f>
        <v>101.771108009297</v>
      </c>
    </row>
    <row r="4195" ht="13" customHeight="1">
      <c r="A4195" s="8">
        <v>2</v>
      </c>
      <c r="B4195" t="s" s="9">
        <v>34</v>
      </c>
      <c r="C4195" t="s" s="9">
        <v>70</v>
      </c>
      <c r="D4195" t="s" s="9">
        <v>49</v>
      </c>
      <c r="E4195" t="s" s="9">
        <v>71</v>
      </c>
      <c r="F4195" s="10">
        <v>3205</v>
      </c>
      <c r="G4195" s="10">
        <v>6397690</v>
      </c>
      <c r="H4195" s="11" cm="1">
        <f t="array" ref="H4195">F4195/G4195*100000</f>
        <v>50.0962065995695</v>
      </c>
    </row>
    <row r="4196" ht="13" customHeight="1">
      <c r="A4196" s="8">
        <v>3</v>
      </c>
      <c r="B4196" t="s" s="9">
        <v>35</v>
      </c>
      <c r="C4196" t="s" s="9">
        <v>70</v>
      </c>
      <c r="D4196" t="s" s="9">
        <v>49</v>
      </c>
      <c r="E4196" t="s" s="9">
        <v>71</v>
      </c>
      <c r="F4196" s="10">
        <v>1802</v>
      </c>
      <c r="G4196" s="10">
        <v>6397690</v>
      </c>
      <c r="H4196" s="11" cm="1">
        <f t="array" ref="H4196">F4196/G4196*100000</f>
        <v>28.166416315889</v>
      </c>
    </row>
    <row r="4197" ht="13" customHeight="1">
      <c r="A4197" s="8">
        <v>4</v>
      </c>
      <c r="B4197" t="s" s="9">
        <v>39</v>
      </c>
      <c r="C4197" t="s" s="9">
        <v>70</v>
      </c>
      <c r="D4197" t="s" s="9">
        <v>49</v>
      </c>
      <c r="E4197" t="s" s="9">
        <v>71</v>
      </c>
      <c r="F4197" s="10">
        <v>1221</v>
      </c>
      <c r="G4197" s="10">
        <v>6397690</v>
      </c>
      <c r="H4197" s="11" cm="1">
        <f t="array" ref="H4197">F4197/G4197*100000</f>
        <v>19.0850134970591</v>
      </c>
    </row>
    <row r="4198" ht="13" customHeight="1">
      <c r="A4198" s="8">
        <v>5</v>
      </c>
      <c r="B4198" t="s" s="9">
        <v>30</v>
      </c>
      <c r="C4198" t="s" s="9">
        <v>70</v>
      </c>
      <c r="D4198" t="s" s="9">
        <v>49</v>
      </c>
      <c r="E4198" t="s" s="9">
        <v>71</v>
      </c>
      <c r="F4198" s="10">
        <v>843</v>
      </c>
      <c r="G4198" s="10">
        <v>6397690</v>
      </c>
      <c r="H4198" s="11" cm="1">
        <f t="array" ref="H4198">F4198/G4198*100000</f>
        <v>13.176630940230</v>
      </c>
    </row>
    <row r="4199" ht="13" customHeight="1">
      <c r="A4199" s="8">
        <v>6</v>
      </c>
      <c r="B4199" t="s" s="9">
        <v>35</v>
      </c>
      <c r="C4199" t="s" s="9">
        <v>70</v>
      </c>
      <c r="D4199" t="s" s="9">
        <v>49</v>
      </c>
      <c r="E4199" t="s" s="9">
        <v>71</v>
      </c>
      <c r="F4199" s="10">
        <v>628</v>
      </c>
      <c r="G4199" s="10">
        <v>6397690</v>
      </c>
      <c r="H4199" s="11" cm="1">
        <f t="array" ref="H4199">F4199/G4199*100000</f>
        <v>9.81604297801238</v>
      </c>
    </row>
    <row r="4200" ht="13" customHeight="1">
      <c r="A4200" s="8">
        <v>7</v>
      </c>
      <c r="B4200" t="s" s="9">
        <v>30</v>
      </c>
      <c r="C4200" t="s" s="9">
        <v>70</v>
      </c>
      <c r="D4200" t="s" s="9">
        <v>49</v>
      </c>
      <c r="E4200" t="s" s="9">
        <v>71</v>
      </c>
      <c r="F4200" s="10">
        <v>765</v>
      </c>
      <c r="G4200" s="10">
        <v>6397690</v>
      </c>
      <c r="H4200" s="11" cm="1">
        <f t="array" ref="H4200">F4200/G4200*100000</f>
        <v>11.9574408888208</v>
      </c>
    </row>
    <row r="4201" ht="13" customHeight="1">
      <c r="A4201" s="8">
        <v>8</v>
      </c>
      <c r="B4201" t="s" s="9">
        <v>41</v>
      </c>
      <c r="C4201" t="s" s="9">
        <v>70</v>
      </c>
      <c r="D4201" t="s" s="9">
        <v>49</v>
      </c>
      <c r="E4201" t="s" s="9">
        <v>71</v>
      </c>
      <c r="F4201" s="10">
        <v>736</v>
      </c>
      <c r="G4201" s="10">
        <v>6397690</v>
      </c>
      <c r="H4201" s="11" cm="1">
        <f t="array" ref="H4201">F4201/G4201*100000</f>
        <v>11.5041522799635</v>
      </c>
    </row>
    <row r="4202" ht="13" customHeight="1">
      <c r="A4202" s="8">
        <v>9</v>
      </c>
      <c r="B4202" t="s" s="9">
        <v>30</v>
      </c>
      <c r="C4202" t="s" s="9">
        <v>70</v>
      </c>
      <c r="D4202" t="s" s="9">
        <v>49</v>
      </c>
      <c r="E4202" t="s" s="9">
        <v>71</v>
      </c>
      <c r="F4202" s="10">
        <v>694</v>
      </c>
      <c r="G4202" s="10">
        <v>6397690</v>
      </c>
      <c r="H4202" s="11" cm="1">
        <f t="array" ref="H4202">F4202/G4202*100000</f>
        <v>10.8476653292048</v>
      </c>
    </row>
    <row r="4203" ht="13" customHeight="1">
      <c r="A4203" s="8">
        <v>10</v>
      </c>
      <c r="B4203" t="s" s="9">
        <v>36</v>
      </c>
      <c r="C4203" t="s" s="9">
        <v>70</v>
      </c>
      <c r="D4203" t="s" s="9">
        <v>49</v>
      </c>
      <c r="E4203" t="s" s="9">
        <v>71</v>
      </c>
      <c r="F4203" s="10">
        <v>564</v>
      </c>
      <c r="G4203" s="10">
        <v>6397690</v>
      </c>
      <c r="H4203" s="11" cm="1">
        <f t="array" ref="H4203">F4203/G4203*100000</f>
        <v>8.815681910189459</v>
      </c>
    </row>
    <row r="4204" ht="13.65" customHeight="1">
      <c r="A4204" s="8">
        <v>1</v>
      </c>
      <c r="B4204" t="s" s="9">
        <v>30</v>
      </c>
      <c r="C4204" t="s" s="9">
        <v>70</v>
      </c>
      <c r="D4204" t="s" s="9">
        <v>51</v>
      </c>
      <c r="E4204" t="s" s="9">
        <v>71</v>
      </c>
      <c r="F4204" s="10">
        <v>3984</v>
      </c>
      <c r="G4204" s="12"/>
      <c r="H4204" s="13"/>
    </row>
    <row r="4205" ht="13.65" customHeight="1">
      <c r="A4205" s="8">
        <v>2</v>
      </c>
      <c r="B4205" t="s" s="9">
        <v>34</v>
      </c>
      <c r="C4205" t="s" s="9">
        <v>70</v>
      </c>
      <c r="D4205" t="s" s="9">
        <v>51</v>
      </c>
      <c r="E4205" t="s" s="9">
        <v>71</v>
      </c>
      <c r="F4205" s="10">
        <v>2220</v>
      </c>
      <c r="G4205" s="14"/>
      <c r="H4205" s="15"/>
    </row>
    <row r="4206" ht="13.65" customHeight="1">
      <c r="A4206" s="8">
        <v>3</v>
      </c>
      <c r="B4206" t="s" s="9">
        <v>30</v>
      </c>
      <c r="C4206" t="s" s="9">
        <v>70</v>
      </c>
      <c r="D4206" t="s" s="9">
        <v>51</v>
      </c>
      <c r="E4206" t="s" s="9">
        <v>71</v>
      </c>
      <c r="F4206" s="10">
        <v>1122</v>
      </c>
      <c r="G4206" s="14"/>
      <c r="H4206" s="15"/>
    </row>
    <row r="4207" ht="13.65" customHeight="1">
      <c r="A4207" s="8">
        <v>4</v>
      </c>
      <c r="B4207" t="s" s="9">
        <v>35</v>
      </c>
      <c r="C4207" t="s" s="9">
        <v>70</v>
      </c>
      <c r="D4207" t="s" s="9">
        <v>51</v>
      </c>
      <c r="E4207" t="s" s="9">
        <v>71</v>
      </c>
      <c r="F4207" s="10">
        <v>1016</v>
      </c>
      <c r="G4207" s="14"/>
      <c r="H4207" s="15"/>
    </row>
    <row r="4208" ht="13.65" customHeight="1">
      <c r="A4208" s="8">
        <v>5</v>
      </c>
      <c r="B4208" t="s" s="9">
        <v>30</v>
      </c>
      <c r="C4208" t="s" s="9">
        <v>70</v>
      </c>
      <c r="D4208" t="s" s="9">
        <v>51</v>
      </c>
      <c r="E4208" t="s" s="9">
        <v>71</v>
      </c>
      <c r="F4208" s="10">
        <v>334</v>
      </c>
      <c r="G4208" s="14"/>
      <c r="H4208" s="15"/>
    </row>
    <row r="4209" ht="13.65" customHeight="1">
      <c r="A4209" s="8">
        <v>6</v>
      </c>
      <c r="B4209" t="s" s="9">
        <v>35</v>
      </c>
      <c r="C4209" t="s" s="9">
        <v>70</v>
      </c>
      <c r="D4209" t="s" s="9">
        <v>51</v>
      </c>
      <c r="E4209" t="s" s="9">
        <v>71</v>
      </c>
      <c r="F4209" s="10">
        <v>309</v>
      </c>
      <c r="G4209" s="14"/>
      <c r="H4209" s="15"/>
    </row>
    <row r="4210" ht="13.65" customHeight="1">
      <c r="A4210" s="8">
        <v>7</v>
      </c>
      <c r="B4210" t="s" s="9">
        <v>41</v>
      </c>
      <c r="C4210" t="s" s="9">
        <v>70</v>
      </c>
      <c r="D4210" t="s" s="9">
        <v>51</v>
      </c>
      <c r="E4210" t="s" s="9">
        <v>71</v>
      </c>
      <c r="F4210" s="10">
        <v>542</v>
      </c>
      <c r="G4210" s="14"/>
      <c r="H4210" s="15"/>
    </row>
    <row r="4211" ht="13.65" customHeight="1">
      <c r="A4211" s="8">
        <v>8</v>
      </c>
      <c r="B4211" t="s" s="9">
        <v>37</v>
      </c>
      <c r="C4211" t="s" s="9">
        <v>70</v>
      </c>
      <c r="D4211" t="s" s="9">
        <v>51</v>
      </c>
      <c r="E4211" t="s" s="9">
        <v>71</v>
      </c>
      <c r="F4211" s="10">
        <v>484</v>
      </c>
      <c r="G4211" s="14"/>
      <c r="H4211" s="15"/>
    </row>
    <row r="4212" ht="13.65" customHeight="1">
      <c r="A4212" s="8">
        <v>9</v>
      </c>
      <c r="B4212" t="s" s="9">
        <v>39</v>
      </c>
      <c r="C4212" t="s" s="9">
        <v>70</v>
      </c>
      <c r="D4212" t="s" s="9">
        <v>51</v>
      </c>
      <c r="E4212" t="s" s="9">
        <v>71</v>
      </c>
      <c r="F4212" s="10">
        <v>473</v>
      </c>
      <c r="G4212" s="14"/>
      <c r="H4212" s="15"/>
    </row>
    <row r="4213" ht="13.65" customHeight="1">
      <c r="A4213" s="8">
        <v>10</v>
      </c>
      <c r="B4213" t="s" s="9">
        <v>41</v>
      </c>
      <c r="C4213" t="s" s="9">
        <v>70</v>
      </c>
      <c r="D4213" t="s" s="9">
        <v>51</v>
      </c>
      <c r="E4213" t="s" s="9">
        <v>71</v>
      </c>
      <c r="F4213" s="10">
        <v>416</v>
      </c>
      <c r="G4213" s="14"/>
      <c r="H4213" s="15"/>
    </row>
    <row r="4214" ht="13.65" customHeight="1">
      <c r="A4214" s="8">
        <v>1</v>
      </c>
      <c r="B4214" t="s" s="9">
        <v>35</v>
      </c>
      <c r="C4214" t="s" s="9">
        <v>70</v>
      </c>
      <c r="D4214" t="s" s="9">
        <v>52</v>
      </c>
      <c r="E4214" t="s" s="9">
        <v>71</v>
      </c>
      <c r="F4214" s="10">
        <v>4928</v>
      </c>
      <c r="G4214" s="14"/>
      <c r="H4214" s="15"/>
    </row>
    <row r="4215" ht="13.65" customHeight="1">
      <c r="A4215" s="8">
        <v>2</v>
      </c>
      <c r="B4215" t="s" s="9">
        <v>30</v>
      </c>
      <c r="C4215" t="s" s="9">
        <v>70</v>
      </c>
      <c r="D4215" t="s" s="9">
        <v>52</v>
      </c>
      <c r="E4215" t="s" s="9">
        <v>71</v>
      </c>
      <c r="F4215" s="10">
        <v>4747</v>
      </c>
      <c r="G4215" s="14"/>
      <c r="H4215" s="15"/>
    </row>
    <row r="4216" ht="13.65" customHeight="1">
      <c r="A4216" s="8">
        <v>3</v>
      </c>
      <c r="B4216" t="s" s="9">
        <v>30</v>
      </c>
      <c r="C4216" t="s" s="9">
        <v>70</v>
      </c>
      <c r="D4216" t="s" s="9">
        <v>52</v>
      </c>
      <c r="E4216" t="s" s="9">
        <v>71</v>
      </c>
      <c r="F4216" s="10">
        <v>1875</v>
      </c>
      <c r="G4216" s="14"/>
      <c r="H4216" s="15"/>
    </row>
    <row r="4217" ht="13.65" customHeight="1">
      <c r="A4217" s="8">
        <v>4</v>
      </c>
      <c r="B4217" t="s" s="9">
        <v>34</v>
      </c>
      <c r="C4217" t="s" s="9">
        <v>70</v>
      </c>
      <c r="D4217" t="s" s="9">
        <v>52</v>
      </c>
      <c r="E4217" t="s" s="9">
        <v>71</v>
      </c>
      <c r="F4217" s="10">
        <v>1547</v>
      </c>
      <c r="G4217" s="14"/>
      <c r="H4217" s="15"/>
    </row>
    <row r="4218" ht="13.65" customHeight="1">
      <c r="A4218" s="8">
        <v>5</v>
      </c>
      <c r="B4218" t="s" s="9">
        <v>39</v>
      </c>
      <c r="C4218" t="s" s="9">
        <v>70</v>
      </c>
      <c r="D4218" t="s" s="9">
        <v>52</v>
      </c>
      <c r="E4218" t="s" s="9">
        <v>71</v>
      </c>
      <c r="F4218" s="10">
        <v>1313</v>
      </c>
      <c r="G4218" s="14"/>
      <c r="H4218" s="15"/>
    </row>
    <row r="4219" ht="13.65" customHeight="1">
      <c r="A4219" s="8">
        <v>6</v>
      </c>
      <c r="B4219" t="s" s="9">
        <v>35</v>
      </c>
      <c r="C4219" t="s" s="9">
        <v>70</v>
      </c>
      <c r="D4219" t="s" s="9">
        <v>52</v>
      </c>
      <c r="E4219" t="s" s="9">
        <v>71</v>
      </c>
      <c r="F4219" s="10">
        <v>463</v>
      </c>
      <c r="G4219" s="14"/>
      <c r="H4219" s="15"/>
    </row>
    <row r="4220" ht="13.65" customHeight="1">
      <c r="A4220" s="8">
        <v>7</v>
      </c>
      <c r="B4220" t="s" s="9">
        <v>30</v>
      </c>
      <c r="C4220" t="s" s="9">
        <v>70</v>
      </c>
      <c r="D4220" t="s" s="9">
        <v>52</v>
      </c>
      <c r="E4220" t="s" s="9">
        <v>71</v>
      </c>
      <c r="F4220" s="10">
        <v>605</v>
      </c>
      <c r="G4220" s="14"/>
      <c r="H4220" s="15"/>
    </row>
    <row r="4221" ht="13.65" customHeight="1">
      <c r="A4221" s="8">
        <v>8</v>
      </c>
      <c r="B4221" t="s" s="9">
        <v>36</v>
      </c>
      <c r="C4221" t="s" s="9">
        <v>70</v>
      </c>
      <c r="D4221" t="s" s="9">
        <v>52</v>
      </c>
      <c r="E4221" t="s" s="9">
        <v>71</v>
      </c>
      <c r="F4221" s="10">
        <v>568</v>
      </c>
      <c r="G4221" s="14"/>
      <c r="H4221" s="15"/>
    </row>
    <row r="4222" ht="13.65" customHeight="1">
      <c r="A4222" s="8">
        <v>9</v>
      </c>
      <c r="B4222" t="s" s="9">
        <v>45</v>
      </c>
      <c r="C4222" t="s" s="9">
        <v>70</v>
      </c>
      <c r="D4222" t="s" s="9">
        <v>52</v>
      </c>
      <c r="E4222" t="s" s="9">
        <v>71</v>
      </c>
      <c r="F4222" s="10">
        <v>525</v>
      </c>
      <c r="G4222" s="14"/>
      <c r="H4222" s="15"/>
    </row>
    <row r="4223" ht="13.65" customHeight="1">
      <c r="A4223" s="8">
        <v>10</v>
      </c>
      <c r="B4223" t="s" s="9">
        <v>45</v>
      </c>
      <c r="C4223" t="s" s="9">
        <v>70</v>
      </c>
      <c r="D4223" t="s" s="9">
        <v>52</v>
      </c>
      <c r="E4223" t="s" s="9">
        <v>71</v>
      </c>
      <c r="F4223" s="10">
        <v>541</v>
      </c>
      <c r="G4223" s="16"/>
      <c r="H4223" s="17"/>
    </row>
    <row r="4224" ht="13" customHeight="1">
      <c r="A4224" s="8">
        <v>1</v>
      </c>
      <c r="B4224" t="s" s="9">
        <v>30</v>
      </c>
      <c r="C4224" t="s" s="9">
        <v>70</v>
      </c>
      <c r="D4224" t="s" s="9">
        <v>53</v>
      </c>
      <c r="E4224" t="s" s="9">
        <v>71</v>
      </c>
      <c r="F4224" s="10">
        <v>4786</v>
      </c>
      <c r="G4224" s="10">
        <v>5049226</v>
      </c>
      <c r="H4224" s="11" cm="1">
        <f t="array" ref="H4224">F4224/G4224*100000</f>
        <v>94.7868049479267</v>
      </c>
    </row>
    <row r="4225" ht="13" customHeight="1">
      <c r="A4225" s="8">
        <v>2</v>
      </c>
      <c r="B4225" t="s" s="9">
        <v>34</v>
      </c>
      <c r="C4225" t="s" s="9">
        <v>70</v>
      </c>
      <c r="D4225" t="s" s="9">
        <v>53</v>
      </c>
      <c r="E4225" t="s" s="9">
        <v>71</v>
      </c>
      <c r="F4225" s="10">
        <v>2852</v>
      </c>
      <c r="G4225" s="10">
        <v>5049226</v>
      </c>
      <c r="H4225" s="11" cm="1">
        <f t="array" ref="H4225">F4225/G4225*100000</f>
        <v>56.4839046618234</v>
      </c>
    </row>
    <row r="4226" ht="13" customHeight="1">
      <c r="A4226" s="8">
        <v>3</v>
      </c>
      <c r="B4226" t="s" s="9">
        <v>35</v>
      </c>
      <c r="C4226" t="s" s="9">
        <v>70</v>
      </c>
      <c r="D4226" t="s" s="9">
        <v>53</v>
      </c>
      <c r="E4226" t="s" s="9">
        <v>71</v>
      </c>
      <c r="F4226" s="10">
        <v>1914</v>
      </c>
      <c r="G4226" s="10">
        <v>5049226</v>
      </c>
      <c r="H4226" s="11" cm="1">
        <f t="array" ref="H4226">F4226/G4226*100000</f>
        <v>37.9067999729067</v>
      </c>
    </row>
    <row r="4227" ht="13" customHeight="1">
      <c r="A4227" s="8">
        <v>4</v>
      </c>
      <c r="B4227" t="s" s="9">
        <v>30</v>
      </c>
      <c r="C4227" t="s" s="9">
        <v>70</v>
      </c>
      <c r="D4227" t="s" s="9">
        <v>53</v>
      </c>
      <c r="E4227" t="s" s="9">
        <v>71</v>
      </c>
      <c r="F4227" s="10">
        <v>1839</v>
      </c>
      <c r="G4227" s="10">
        <v>5049226</v>
      </c>
      <c r="H4227" s="11" cm="1">
        <f t="array" ref="H4227">F4227/G4227*100000</f>
        <v>36.4214237984198</v>
      </c>
    </row>
    <row r="4228" ht="13" customHeight="1">
      <c r="A4228" s="8">
        <v>5</v>
      </c>
      <c r="B4228" t="s" s="9">
        <v>30</v>
      </c>
      <c r="C4228" t="s" s="9">
        <v>70</v>
      </c>
      <c r="D4228" t="s" s="9">
        <v>53</v>
      </c>
      <c r="E4228" t="s" s="9">
        <v>71</v>
      </c>
      <c r="F4228" s="10">
        <v>1245</v>
      </c>
      <c r="G4228" s="10">
        <v>5049226</v>
      </c>
      <c r="H4228" s="11" cm="1">
        <f t="array" ref="H4228">F4228/G4228*100000</f>
        <v>24.6572444964832</v>
      </c>
    </row>
    <row r="4229" ht="13" customHeight="1">
      <c r="A4229" s="8">
        <v>6</v>
      </c>
      <c r="B4229" t="s" s="9">
        <v>39</v>
      </c>
      <c r="C4229" t="s" s="9">
        <v>70</v>
      </c>
      <c r="D4229" t="s" s="9">
        <v>53</v>
      </c>
      <c r="E4229" t="s" s="9">
        <v>71</v>
      </c>
      <c r="F4229" s="10">
        <v>1006</v>
      </c>
      <c r="G4229" s="10">
        <v>5049226</v>
      </c>
      <c r="H4229" s="11" cm="1">
        <f t="array" ref="H4229">F4229/G4229*100000</f>
        <v>19.9238457537848</v>
      </c>
    </row>
    <row r="4230" ht="13" customHeight="1">
      <c r="A4230" s="8">
        <v>7</v>
      </c>
      <c r="B4230" t="s" s="9">
        <v>36</v>
      </c>
      <c r="C4230" t="s" s="9">
        <v>70</v>
      </c>
      <c r="D4230" t="s" s="9">
        <v>53</v>
      </c>
      <c r="E4230" t="s" s="9">
        <v>71</v>
      </c>
      <c r="F4230" s="10">
        <v>586</v>
      </c>
      <c r="G4230" s="10">
        <v>5049226</v>
      </c>
      <c r="H4230" s="11" cm="1">
        <f t="array" ref="H4230">F4230/G4230*100000</f>
        <v>11.605739176658</v>
      </c>
    </row>
    <row r="4231" ht="13" customHeight="1">
      <c r="A4231" s="8">
        <v>8</v>
      </c>
      <c r="B4231" t="s" s="9">
        <v>35</v>
      </c>
      <c r="C4231" t="s" s="9">
        <v>70</v>
      </c>
      <c r="D4231" t="s" s="9">
        <v>53</v>
      </c>
      <c r="E4231" t="s" s="9">
        <v>71</v>
      </c>
      <c r="F4231" s="10">
        <v>362</v>
      </c>
      <c r="G4231" s="10">
        <v>5049226</v>
      </c>
      <c r="H4231" s="11" cm="1">
        <f t="array" ref="H4231">F4231/G4231*100000</f>
        <v>7.16941566885697</v>
      </c>
    </row>
    <row r="4232" ht="13" customHeight="1">
      <c r="A4232" s="8">
        <v>9</v>
      </c>
      <c r="B4232" t="s" s="9">
        <v>41</v>
      </c>
      <c r="C4232" t="s" s="9">
        <v>70</v>
      </c>
      <c r="D4232" t="s" s="9">
        <v>53</v>
      </c>
      <c r="E4232" t="s" s="9">
        <v>71</v>
      </c>
      <c r="F4232" s="10">
        <v>508</v>
      </c>
      <c r="G4232" s="10">
        <v>5049226</v>
      </c>
      <c r="H4232" s="11" cm="1">
        <f t="array" ref="H4232">F4232/G4232*100000</f>
        <v>10.0609479551915</v>
      </c>
    </row>
    <row r="4233" ht="13" customHeight="1">
      <c r="A4233" s="8">
        <v>10</v>
      </c>
      <c r="B4233" t="s" s="9">
        <v>30</v>
      </c>
      <c r="C4233" t="s" s="9">
        <v>70</v>
      </c>
      <c r="D4233" t="s" s="9">
        <v>53</v>
      </c>
      <c r="E4233" t="s" s="9">
        <v>71</v>
      </c>
      <c r="F4233" s="10">
        <v>450</v>
      </c>
      <c r="G4233" s="10">
        <v>5049226</v>
      </c>
      <c r="H4233" s="11" cm="1">
        <f t="array" ref="H4233">F4233/G4233*100000</f>
        <v>8.912257046921651</v>
      </c>
    </row>
    <row r="4234" ht="13" customHeight="1">
      <c r="A4234" s="8">
        <v>1</v>
      </c>
      <c r="B4234" t="s" s="9">
        <v>30</v>
      </c>
      <c r="C4234" t="s" s="9">
        <v>70</v>
      </c>
      <c r="D4234" t="s" s="9">
        <v>54</v>
      </c>
      <c r="E4234" t="s" s="9">
        <v>71</v>
      </c>
      <c r="F4234" s="10">
        <v>1891</v>
      </c>
      <c r="G4234" s="10">
        <v>3901529</v>
      </c>
      <c r="H4234" s="11" cm="1">
        <f t="array" ref="H4234">F4234/G4234*100000</f>
        <v>48.4681774760613</v>
      </c>
    </row>
    <row r="4235" ht="13" customHeight="1">
      <c r="A4235" s="8">
        <v>2</v>
      </c>
      <c r="B4235" t="s" s="9">
        <v>35</v>
      </c>
      <c r="C4235" t="s" s="9">
        <v>70</v>
      </c>
      <c r="D4235" t="s" s="9">
        <v>54</v>
      </c>
      <c r="E4235" t="s" s="9">
        <v>71</v>
      </c>
      <c r="F4235" s="10">
        <v>750</v>
      </c>
      <c r="G4235" s="10">
        <v>3901529</v>
      </c>
      <c r="H4235" s="11" cm="1">
        <f t="array" ref="H4235">F4235/G4235*100000</f>
        <v>19.2232327377292</v>
      </c>
    </row>
    <row r="4236" ht="13" customHeight="1">
      <c r="A4236" s="8">
        <v>3</v>
      </c>
      <c r="B4236" t="s" s="9">
        <v>30</v>
      </c>
      <c r="C4236" t="s" s="9">
        <v>70</v>
      </c>
      <c r="D4236" t="s" s="9">
        <v>54</v>
      </c>
      <c r="E4236" t="s" s="9">
        <v>71</v>
      </c>
      <c r="F4236" s="10">
        <v>533</v>
      </c>
      <c r="G4236" s="10">
        <v>3901529</v>
      </c>
      <c r="H4236" s="11" cm="1">
        <f t="array" ref="H4236">F4236/G4236*100000</f>
        <v>13.6613107322796</v>
      </c>
    </row>
    <row r="4237" ht="13" customHeight="1">
      <c r="A4237" s="8">
        <v>4</v>
      </c>
      <c r="B4237" t="s" s="9">
        <v>34</v>
      </c>
      <c r="C4237" t="s" s="9">
        <v>70</v>
      </c>
      <c r="D4237" t="s" s="9">
        <v>54</v>
      </c>
      <c r="E4237" t="s" s="9">
        <v>71</v>
      </c>
      <c r="F4237" s="10">
        <v>531</v>
      </c>
      <c r="G4237" s="10">
        <v>3901529</v>
      </c>
      <c r="H4237" s="11" cm="1">
        <f t="array" ref="H4237">F4237/G4237*100000</f>
        <v>13.6100487783123</v>
      </c>
    </row>
    <row r="4238" ht="13" customHeight="1">
      <c r="A4238" s="8">
        <v>5</v>
      </c>
      <c r="B4238" t="s" s="9">
        <v>41</v>
      </c>
      <c r="C4238" t="s" s="9">
        <v>70</v>
      </c>
      <c r="D4238" t="s" s="9">
        <v>54</v>
      </c>
      <c r="E4238" t="s" s="9">
        <v>71</v>
      </c>
      <c r="F4238" s="10">
        <v>413</v>
      </c>
      <c r="G4238" s="10">
        <v>3901529</v>
      </c>
      <c r="H4238" s="11" cm="1">
        <f t="array" ref="H4238">F4238/G4238*100000</f>
        <v>10.5855934942429</v>
      </c>
    </row>
    <row r="4239" ht="13" customHeight="1">
      <c r="A4239" s="8">
        <v>6</v>
      </c>
      <c r="B4239" t="s" s="9">
        <v>39</v>
      </c>
      <c r="C4239" t="s" s="9">
        <v>70</v>
      </c>
      <c r="D4239" t="s" s="9">
        <v>54</v>
      </c>
      <c r="E4239" t="s" s="9">
        <v>71</v>
      </c>
      <c r="F4239" s="10">
        <v>421</v>
      </c>
      <c r="G4239" s="10">
        <v>3901529</v>
      </c>
      <c r="H4239" s="11" cm="1">
        <f t="array" ref="H4239">F4239/G4239*100000</f>
        <v>10.790641310112</v>
      </c>
    </row>
    <row r="4240" ht="13" customHeight="1">
      <c r="A4240" s="8">
        <v>7</v>
      </c>
      <c r="B4240" t="s" s="9">
        <v>39</v>
      </c>
      <c r="C4240" t="s" s="9">
        <v>70</v>
      </c>
      <c r="D4240" t="s" s="9">
        <v>54</v>
      </c>
      <c r="E4240" t="s" s="9">
        <v>71</v>
      </c>
      <c r="F4240" s="10">
        <v>421</v>
      </c>
      <c r="G4240" s="10">
        <v>3901529</v>
      </c>
      <c r="H4240" s="11" cm="1">
        <f t="array" ref="H4240">F4240/G4240*100000</f>
        <v>10.790641310112</v>
      </c>
    </row>
    <row r="4241" ht="13" customHeight="1">
      <c r="A4241" s="8">
        <v>8</v>
      </c>
      <c r="B4241" t="s" s="9">
        <v>35</v>
      </c>
      <c r="C4241" t="s" s="9">
        <v>70</v>
      </c>
      <c r="D4241" t="s" s="9">
        <v>54</v>
      </c>
      <c r="E4241" t="s" s="9">
        <v>71</v>
      </c>
      <c r="F4241" s="10">
        <v>216</v>
      </c>
      <c r="G4241" s="10">
        <v>3901529</v>
      </c>
      <c r="H4241" s="11" cm="1">
        <f t="array" ref="H4241">F4241/G4241*100000</f>
        <v>5.53629102846602</v>
      </c>
    </row>
    <row r="4242" ht="13" customHeight="1">
      <c r="A4242" s="8">
        <v>9</v>
      </c>
      <c r="B4242" t="s" s="9">
        <v>41</v>
      </c>
      <c r="C4242" t="s" s="9">
        <v>70</v>
      </c>
      <c r="D4242" t="s" s="9">
        <v>54</v>
      </c>
      <c r="E4242" t="s" s="9">
        <v>71</v>
      </c>
      <c r="F4242" s="10">
        <v>252</v>
      </c>
      <c r="G4242" s="10">
        <v>3901529</v>
      </c>
      <c r="H4242" s="11" cm="1">
        <f t="array" ref="H4242">F4242/G4242*100000</f>
        <v>6.45900619987702</v>
      </c>
    </row>
    <row r="4243" ht="13" customHeight="1">
      <c r="A4243" s="8">
        <v>10</v>
      </c>
      <c r="B4243" t="s" s="9">
        <v>45</v>
      </c>
      <c r="C4243" t="s" s="9">
        <v>70</v>
      </c>
      <c r="D4243" t="s" s="9">
        <v>54</v>
      </c>
      <c r="E4243" t="s" s="9">
        <v>71</v>
      </c>
      <c r="F4243" s="10">
        <v>161</v>
      </c>
      <c r="G4243" s="10">
        <v>3901529</v>
      </c>
      <c r="H4243" s="11" cm="1">
        <f t="array" ref="H4243">F4243/G4243*100000</f>
        <v>4.12658729436588</v>
      </c>
    </row>
    <row r="4244" ht="13" customHeight="1">
      <c r="A4244" s="8">
        <v>1</v>
      </c>
      <c r="B4244" t="s" s="9">
        <v>30</v>
      </c>
      <c r="C4244" t="s" s="9">
        <v>70</v>
      </c>
      <c r="D4244" t="s" s="9">
        <v>55</v>
      </c>
      <c r="E4244" t="s" s="9">
        <v>71</v>
      </c>
      <c r="F4244" s="10">
        <v>3713</v>
      </c>
      <c r="G4244" s="10">
        <v>5273604</v>
      </c>
      <c r="H4244" s="11" cm="1">
        <f t="array" ref="H4244">F4244/G4244*100000</f>
        <v>70.4072584896401</v>
      </c>
    </row>
    <row r="4245" ht="13" customHeight="1">
      <c r="A4245" s="8">
        <v>2</v>
      </c>
      <c r="B4245" t="s" s="9">
        <v>35</v>
      </c>
      <c r="C4245" t="s" s="9">
        <v>70</v>
      </c>
      <c r="D4245" t="s" s="9">
        <v>55</v>
      </c>
      <c r="E4245" t="s" s="9">
        <v>71</v>
      </c>
      <c r="F4245" s="10">
        <v>1639</v>
      </c>
      <c r="G4245" s="10">
        <v>5273604</v>
      </c>
      <c r="H4245" s="11" cm="1">
        <f t="array" ref="H4245">F4245/G4245*100000</f>
        <v>31.0793150187234</v>
      </c>
    </row>
    <row r="4246" ht="13" customHeight="1">
      <c r="A4246" s="8">
        <v>3</v>
      </c>
      <c r="B4246" t="s" s="9">
        <v>30</v>
      </c>
      <c r="C4246" t="s" s="9">
        <v>70</v>
      </c>
      <c r="D4246" t="s" s="9">
        <v>55</v>
      </c>
      <c r="E4246" t="s" s="9">
        <v>71</v>
      </c>
      <c r="F4246" s="10">
        <v>1507</v>
      </c>
      <c r="G4246" s="10">
        <v>5273604</v>
      </c>
      <c r="H4246" s="11" cm="1">
        <f t="array" ref="H4246">F4246/G4246*100000</f>
        <v>28.5762829366786</v>
      </c>
    </row>
    <row r="4247" ht="13" customHeight="1">
      <c r="A4247" s="8">
        <v>4</v>
      </c>
      <c r="B4247" t="s" s="9">
        <v>35</v>
      </c>
      <c r="C4247" t="s" s="9">
        <v>70</v>
      </c>
      <c r="D4247" t="s" s="9">
        <v>55</v>
      </c>
      <c r="E4247" t="s" s="9">
        <v>71</v>
      </c>
      <c r="F4247" s="10">
        <v>1218</v>
      </c>
      <c r="G4247" s="10">
        <v>5273604</v>
      </c>
      <c r="H4247" s="11" cm="1">
        <f t="array" ref="H4247">F4247/G4247*100000</f>
        <v>23.096159666141</v>
      </c>
    </row>
    <row r="4248" ht="13" customHeight="1">
      <c r="A4248" s="8">
        <v>5</v>
      </c>
      <c r="B4248" t="s" s="9">
        <v>35</v>
      </c>
      <c r="C4248" t="s" s="9">
        <v>70</v>
      </c>
      <c r="D4248" t="s" s="9">
        <v>55</v>
      </c>
      <c r="E4248" t="s" s="9">
        <v>71</v>
      </c>
      <c r="F4248" s="10">
        <v>1046</v>
      </c>
      <c r="G4248" s="10">
        <v>5273604</v>
      </c>
      <c r="H4248" s="11" cm="1">
        <f t="array" ref="H4248">F4248/G4248*100000</f>
        <v>19.8346330137796</v>
      </c>
    </row>
    <row r="4249" ht="13" customHeight="1">
      <c r="A4249" s="8">
        <v>6</v>
      </c>
      <c r="B4249" t="s" s="9">
        <v>34</v>
      </c>
      <c r="C4249" t="s" s="9">
        <v>70</v>
      </c>
      <c r="D4249" t="s" s="9">
        <v>55</v>
      </c>
      <c r="E4249" t="s" s="9">
        <v>71</v>
      </c>
      <c r="F4249" s="10">
        <v>733</v>
      </c>
      <c r="G4249" s="10">
        <v>5273604</v>
      </c>
      <c r="H4249" s="11" cm="1">
        <f t="array" ref="H4249">F4249/G4249*100000</f>
        <v>13.899413001052</v>
      </c>
    </row>
    <row r="4250" ht="13" customHeight="1">
      <c r="A4250" s="8">
        <v>7</v>
      </c>
      <c r="B4250" t="s" s="9">
        <v>41</v>
      </c>
      <c r="C4250" t="s" s="9">
        <v>70</v>
      </c>
      <c r="D4250" t="s" s="9">
        <v>55</v>
      </c>
      <c r="E4250" t="s" s="9">
        <v>71</v>
      </c>
      <c r="F4250" s="10">
        <v>688</v>
      </c>
      <c r="G4250" s="10">
        <v>5273604</v>
      </c>
      <c r="H4250" s="11" cm="1">
        <f t="array" ref="H4250">F4250/G4250*100000</f>
        <v>13.0461066094458</v>
      </c>
    </row>
    <row r="4251" ht="13" customHeight="1">
      <c r="A4251" s="8">
        <v>8</v>
      </c>
      <c r="B4251" t="s" s="9">
        <v>30</v>
      </c>
      <c r="C4251" t="s" s="9">
        <v>70</v>
      </c>
      <c r="D4251" t="s" s="9">
        <v>55</v>
      </c>
      <c r="E4251" t="s" s="9">
        <v>71</v>
      </c>
      <c r="F4251" s="10">
        <v>654</v>
      </c>
      <c r="G4251" s="10">
        <v>5273604</v>
      </c>
      <c r="H4251" s="11" cm="1">
        <f t="array" ref="H4251">F4251/G4251*100000</f>
        <v>12.4013862246767</v>
      </c>
    </row>
    <row r="4252" ht="13" customHeight="1">
      <c r="A4252" s="8">
        <v>9</v>
      </c>
      <c r="B4252" t="s" s="9">
        <v>39</v>
      </c>
      <c r="C4252" t="s" s="9">
        <v>70</v>
      </c>
      <c r="D4252" t="s" s="9">
        <v>55</v>
      </c>
      <c r="E4252" t="s" s="9">
        <v>71</v>
      </c>
      <c r="F4252" s="10">
        <v>663</v>
      </c>
      <c r="G4252" s="10">
        <v>5273604</v>
      </c>
      <c r="H4252" s="11" cm="1">
        <f t="array" ref="H4252">F4252/G4252*100000</f>
        <v>12.5720475029979</v>
      </c>
    </row>
    <row r="4253" ht="13" customHeight="1">
      <c r="A4253" s="8">
        <v>10</v>
      </c>
      <c r="B4253" t="s" s="9">
        <v>36</v>
      </c>
      <c r="C4253" t="s" s="9">
        <v>70</v>
      </c>
      <c r="D4253" t="s" s="9">
        <v>55</v>
      </c>
      <c r="E4253" t="s" s="9">
        <v>71</v>
      </c>
      <c r="F4253" s="10">
        <v>370</v>
      </c>
      <c r="G4253" s="10">
        <v>5273604</v>
      </c>
      <c r="H4253" s="11" cm="1">
        <f t="array" ref="H4253">F4253/G4253*100000</f>
        <v>7.01607477542872</v>
      </c>
    </row>
    <row r="4254" ht="13" customHeight="1">
      <c r="A4254" s="8">
        <v>1</v>
      </c>
      <c r="B4254" t="s" s="9">
        <v>30</v>
      </c>
      <c r="C4254" t="s" s="9">
        <v>70</v>
      </c>
      <c r="D4254" t="s" s="9">
        <v>56</v>
      </c>
      <c r="E4254" t="s" s="9">
        <v>71</v>
      </c>
      <c r="F4254" s="10">
        <v>1474</v>
      </c>
      <c r="G4254" s="10">
        <v>5691183</v>
      </c>
      <c r="H4254" s="11" cm="1">
        <f t="array" ref="H4254">F4254/G4254*100000</f>
        <v>25.899711887669</v>
      </c>
    </row>
    <row r="4255" ht="13" customHeight="1">
      <c r="A4255" s="8">
        <v>2</v>
      </c>
      <c r="B4255" t="s" s="9">
        <v>35</v>
      </c>
      <c r="C4255" t="s" s="9">
        <v>70</v>
      </c>
      <c r="D4255" t="s" s="9">
        <v>56</v>
      </c>
      <c r="E4255" t="s" s="9">
        <v>71</v>
      </c>
      <c r="F4255" s="10">
        <v>1145</v>
      </c>
      <c r="G4255" s="10">
        <v>5691183</v>
      </c>
      <c r="H4255" s="11" cm="1">
        <f t="array" ref="H4255">F4255/G4255*100000</f>
        <v>20.1188399670156</v>
      </c>
    </row>
    <row r="4256" ht="13" customHeight="1">
      <c r="A4256" s="8">
        <v>3</v>
      </c>
      <c r="B4256" t="s" s="9">
        <v>34</v>
      </c>
      <c r="C4256" t="s" s="9">
        <v>70</v>
      </c>
      <c r="D4256" t="s" s="9">
        <v>56</v>
      </c>
      <c r="E4256" t="s" s="9">
        <v>71</v>
      </c>
      <c r="F4256" s="10">
        <v>605</v>
      </c>
      <c r="G4256" s="10">
        <v>5691183</v>
      </c>
      <c r="H4256" s="11" cm="1">
        <f t="array" ref="H4256">F4256/G4256*100000</f>
        <v>10.6304787598642</v>
      </c>
    </row>
    <row r="4257" ht="13" customHeight="1">
      <c r="A4257" s="8">
        <v>4</v>
      </c>
      <c r="B4257" t="s" s="9">
        <v>30</v>
      </c>
      <c r="C4257" t="s" s="9">
        <v>70</v>
      </c>
      <c r="D4257" t="s" s="9">
        <v>56</v>
      </c>
      <c r="E4257" t="s" s="9">
        <v>71</v>
      </c>
      <c r="F4257" s="10">
        <v>468</v>
      </c>
      <c r="G4257" s="10">
        <v>5691183</v>
      </c>
      <c r="H4257" s="11" cm="1">
        <f t="array" ref="H4257">F4257/G4257*100000</f>
        <v>8.22324637953129</v>
      </c>
    </row>
    <row r="4258" ht="13" customHeight="1">
      <c r="A4258" s="8">
        <v>5</v>
      </c>
      <c r="B4258" t="s" s="9">
        <v>30</v>
      </c>
      <c r="C4258" t="s" s="9">
        <v>70</v>
      </c>
      <c r="D4258" t="s" s="9">
        <v>56</v>
      </c>
      <c r="E4258" t="s" s="9">
        <v>71</v>
      </c>
      <c r="F4258" s="10">
        <v>387</v>
      </c>
      <c r="G4258" s="10">
        <v>5691183</v>
      </c>
      <c r="H4258" s="11" cm="1">
        <f t="array" ref="H4258">F4258/G4258*100000</f>
        <v>6.79999219845856</v>
      </c>
    </row>
    <row r="4259" ht="13" customHeight="1">
      <c r="A4259" s="8">
        <v>6</v>
      </c>
      <c r="B4259" t="s" s="9">
        <v>35</v>
      </c>
      <c r="C4259" t="s" s="9">
        <v>70</v>
      </c>
      <c r="D4259" t="s" s="9">
        <v>56</v>
      </c>
      <c r="E4259" t="s" s="9">
        <v>71</v>
      </c>
      <c r="F4259" s="10">
        <v>254</v>
      </c>
      <c r="G4259" s="10">
        <v>5691183</v>
      </c>
      <c r="H4259" s="11" cm="1">
        <f t="array" ref="H4259">F4259/G4259*100000</f>
        <v>4.4630439752157</v>
      </c>
    </row>
    <row r="4260" ht="13" customHeight="1">
      <c r="A4260" s="8">
        <v>7</v>
      </c>
      <c r="B4260" t="s" s="9">
        <v>39</v>
      </c>
      <c r="C4260" t="s" s="9">
        <v>70</v>
      </c>
      <c r="D4260" t="s" s="9">
        <v>56</v>
      </c>
      <c r="E4260" t="s" s="9">
        <v>71</v>
      </c>
      <c r="F4260" s="10">
        <v>241</v>
      </c>
      <c r="G4260" s="10">
        <v>5691183</v>
      </c>
      <c r="H4260" s="11" cm="1">
        <f t="array" ref="H4260">F4260/G4260*100000</f>
        <v>4.23462046467316</v>
      </c>
    </row>
    <row r="4261" ht="13" customHeight="1">
      <c r="A4261" s="8">
        <v>8</v>
      </c>
      <c r="B4261" t="s" s="9">
        <v>37</v>
      </c>
      <c r="C4261" t="s" s="9">
        <v>70</v>
      </c>
      <c r="D4261" t="s" s="9">
        <v>56</v>
      </c>
      <c r="E4261" t="s" s="9">
        <v>71</v>
      </c>
      <c r="F4261" s="10">
        <v>184</v>
      </c>
      <c r="G4261" s="10">
        <v>5691183</v>
      </c>
      <c r="H4261" s="11" cm="1">
        <f t="array" ref="H4261">F4261/G4261*100000</f>
        <v>3.23307122614051</v>
      </c>
    </row>
    <row r="4262" ht="13" customHeight="1">
      <c r="A4262" s="8">
        <v>9</v>
      </c>
      <c r="B4262" t="s" s="9">
        <v>41</v>
      </c>
      <c r="C4262" t="s" s="9">
        <v>70</v>
      </c>
      <c r="D4262" t="s" s="9">
        <v>56</v>
      </c>
      <c r="E4262" t="s" s="9">
        <v>71</v>
      </c>
      <c r="F4262" s="10">
        <v>213</v>
      </c>
      <c r="G4262" s="10">
        <v>5691183</v>
      </c>
      <c r="H4262" s="11" cm="1">
        <f t="array" ref="H4262">F4262/G4262*100000</f>
        <v>3.74263136504309</v>
      </c>
    </row>
    <row r="4263" ht="13" customHeight="1">
      <c r="A4263" s="8">
        <v>10</v>
      </c>
      <c r="B4263" t="s" s="9">
        <v>39</v>
      </c>
      <c r="C4263" t="s" s="9">
        <v>70</v>
      </c>
      <c r="D4263" t="s" s="9">
        <v>56</v>
      </c>
      <c r="E4263" t="s" s="9">
        <v>71</v>
      </c>
      <c r="F4263" s="10">
        <v>190</v>
      </c>
      <c r="G4263" s="10">
        <v>5691183</v>
      </c>
      <c r="H4263" s="11" cm="1">
        <f t="array" ref="H4263">F4263/G4263*100000</f>
        <v>3.33849746177552</v>
      </c>
    </row>
    <row r="4264" ht="13" customHeight="1">
      <c r="A4264" s="8">
        <v>1</v>
      </c>
      <c r="B4264" t="s" s="9">
        <v>30</v>
      </c>
      <c r="C4264" t="s" s="9">
        <v>70</v>
      </c>
      <c r="D4264" t="s" s="9">
        <v>57</v>
      </c>
      <c r="E4264" t="s" s="9">
        <v>71</v>
      </c>
      <c r="F4264" s="10">
        <v>1053</v>
      </c>
      <c r="G4264" s="10">
        <v>5214931</v>
      </c>
      <c r="H4264" s="11" cm="1">
        <f t="array" ref="H4264">F4264/G4264*100000</f>
        <v>20.1920217161071</v>
      </c>
    </row>
    <row r="4265" ht="13" customHeight="1">
      <c r="A4265" s="8">
        <v>2</v>
      </c>
      <c r="B4265" t="s" s="9">
        <v>35</v>
      </c>
      <c r="C4265" t="s" s="9">
        <v>70</v>
      </c>
      <c r="D4265" t="s" s="9">
        <v>57</v>
      </c>
      <c r="E4265" t="s" s="9">
        <v>71</v>
      </c>
      <c r="F4265" s="10">
        <v>397</v>
      </c>
      <c r="G4265" s="10">
        <v>5214931</v>
      </c>
      <c r="H4265" s="11" cm="1">
        <f t="array" ref="H4265">F4265/G4265*100000</f>
        <v>7.61275652544588</v>
      </c>
    </row>
    <row r="4266" ht="13" customHeight="1">
      <c r="A4266" s="8">
        <v>3</v>
      </c>
      <c r="B4266" t="s" s="9">
        <v>34</v>
      </c>
      <c r="C4266" t="s" s="9">
        <v>70</v>
      </c>
      <c r="D4266" t="s" s="9">
        <v>57</v>
      </c>
      <c r="E4266" t="s" s="9">
        <v>71</v>
      </c>
      <c r="F4266" s="10">
        <v>342</v>
      </c>
      <c r="G4266" s="10">
        <v>5214931</v>
      </c>
      <c r="H4266" s="11" cm="1">
        <f t="array" ref="H4266">F4266/G4266*100000</f>
        <v>6.55809252318008</v>
      </c>
    </row>
    <row r="4267" ht="13" customHeight="1">
      <c r="A4267" s="8">
        <v>4</v>
      </c>
      <c r="B4267" t="s" s="9">
        <v>30</v>
      </c>
      <c r="C4267" t="s" s="9">
        <v>70</v>
      </c>
      <c r="D4267" t="s" s="9">
        <v>57</v>
      </c>
      <c r="E4267" t="s" s="9">
        <v>71</v>
      </c>
      <c r="F4267" s="10">
        <v>249</v>
      </c>
      <c r="G4267" s="10">
        <v>5214931</v>
      </c>
      <c r="H4267" s="11" cm="1">
        <f t="array" ref="H4267">F4267/G4267*100000</f>
        <v>4.77475157389427</v>
      </c>
    </row>
    <row r="4268" ht="13" customHeight="1">
      <c r="A4268" s="8">
        <v>5</v>
      </c>
      <c r="B4268" t="s" s="9">
        <v>30</v>
      </c>
      <c r="C4268" t="s" s="9">
        <v>70</v>
      </c>
      <c r="D4268" t="s" s="9">
        <v>57</v>
      </c>
      <c r="E4268" t="s" s="9">
        <v>71</v>
      </c>
      <c r="F4268" s="10">
        <v>234</v>
      </c>
      <c r="G4268" s="10">
        <v>5214931</v>
      </c>
      <c r="H4268" s="11" cm="1">
        <f t="array" ref="H4268">F4268/G4268*100000</f>
        <v>4.48711593691268</v>
      </c>
    </row>
    <row r="4269" ht="13" customHeight="1">
      <c r="A4269" s="8">
        <v>6</v>
      </c>
      <c r="B4269" t="s" s="9">
        <v>37</v>
      </c>
      <c r="C4269" t="s" s="9">
        <v>70</v>
      </c>
      <c r="D4269" t="s" s="9">
        <v>57</v>
      </c>
      <c r="E4269" t="s" s="9">
        <v>71</v>
      </c>
      <c r="F4269" s="10">
        <v>159</v>
      </c>
      <c r="G4269" s="10">
        <v>5214931</v>
      </c>
      <c r="H4269" s="11" cm="1">
        <f t="array" ref="H4269">F4269/G4269*100000</f>
        <v>3.04893775200477</v>
      </c>
    </row>
    <row r="4270" ht="13" customHeight="1">
      <c r="A4270" s="8">
        <v>7</v>
      </c>
      <c r="B4270" t="s" s="9">
        <v>30</v>
      </c>
      <c r="C4270" t="s" s="9">
        <v>70</v>
      </c>
      <c r="D4270" t="s" s="9">
        <v>57</v>
      </c>
      <c r="E4270" t="s" s="9">
        <v>71</v>
      </c>
      <c r="F4270" s="10">
        <v>120</v>
      </c>
      <c r="G4270" s="10">
        <v>5214931</v>
      </c>
      <c r="H4270" s="11" cm="1">
        <f t="array" ref="H4270">F4270/G4270*100000</f>
        <v>2.30108509585266</v>
      </c>
    </row>
    <row r="4271" ht="13" customHeight="1">
      <c r="A4271" s="8">
        <v>8</v>
      </c>
      <c r="B4271" t="s" s="9">
        <v>30</v>
      </c>
      <c r="C4271" t="s" s="9">
        <v>70</v>
      </c>
      <c r="D4271" t="s" s="9">
        <v>57</v>
      </c>
      <c r="E4271" t="s" s="9">
        <v>71</v>
      </c>
      <c r="F4271" s="10">
        <v>120</v>
      </c>
      <c r="G4271" s="10">
        <v>5214931</v>
      </c>
      <c r="H4271" s="11" cm="1">
        <f t="array" ref="H4271">F4271/G4271*100000</f>
        <v>2.30108509585266</v>
      </c>
    </row>
    <row r="4272" ht="13" customHeight="1">
      <c r="A4272" s="8">
        <v>9</v>
      </c>
      <c r="B4272" t="s" s="9">
        <v>39</v>
      </c>
      <c r="C4272" t="s" s="9">
        <v>70</v>
      </c>
      <c r="D4272" t="s" s="9">
        <v>57</v>
      </c>
      <c r="E4272" t="s" s="9">
        <v>71</v>
      </c>
      <c r="F4272" s="10">
        <v>156</v>
      </c>
      <c r="G4272" s="10">
        <v>5214931</v>
      </c>
      <c r="H4272" s="11" cm="1">
        <f t="array" ref="H4272">F4272/G4272*100000</f>
        <v>2.99141062460846</v>
      </c>
    </row>
    <row r="4273" ht="13" customHeight="1">
      <c r="A4273" s="8">
        <v>10</v>
      </c>
      <c r="B4273" t="s" s="9">
        <v>35</v>
      </c>
      <c r="C4273" t="s" s="9">
        <v>70</v>
      </c>
      <c r="D4273" t="s" s="9">
        <v>57</v>
      </c>
      <c r="E4273" t="s" s="9">
        <v>71</v>
      </c>
      <c r="F4273" s="10">
        <v>68</v>
      </c>
      <c r="G4273" s="10">
        <v>5214931</v>
      </c>
      <c r="H4273" s="11" cm="1">
        <f t="array" ref="H4273">F4273/G4273*100000</f>
        <v>1.30394822098317</v>
      </c>
    </row>
    <row r="4274" ht="13" customHeight="1">
      <c r="A4274" s="8">
        <v>1</v>
      </c>
      <c r="B4274" t="s" s="9">
        <v>35</v>
      </c>
      <c r="C4274" t="s" s="9">
        <v>70</v>
      </c>
      <c r="D4274" t="s" s="9">
        <v>20</v>
      </c>
      <c r="E4274" t="s" s="9">
        <v>71</v>
      </c>
      <c r="F4274" s="10">
        <v>3108</v>
      </c>
      <c r="G4274" s="10">
        <v>2889689</v>
      </c>
      <c r="H4274" s="11" cm="1">
        <f t="array" ref="H4274">F4274/G4274*100000</f>
        <v>107.554826834306</v>
      </c>
    </row>
    <row r="4275" ht="13" customHeight="1">
      <c r="A4275" s="8">
        <v>2</v>
      </c>
      <c r="B4275" t="s" s="9">
        <v>30</v>
      </c>
      <c r="C4275" t="s" s="9">
        <v>70</v>
      </c>
      <c r="D4275" t="s" s="9">
        <v>20</v>
      </c>
      <c r="E4275" t="s" s="9">
        <v>71</v>
      </c>
      <c r="F4275" s="10">
        <v>2747</v>
      </c>
      <c r="G4275" s="10">
        <v>2889689</v>
      </c>
      <c r="H4275" s="11" cm="1">
        <f t="array" ref="H4275">F4275/G4275*100000</f>
        <v>95.06213298386091</v>
      </c>
    </row>
    <row r="4276" ht="13" customHeight="1">
      <c r="A4276" s="8">
        <v>3</v>
      </c>
      <c r="B4276" t="s" s="9">
        <v>39</v>
      </c>
      <c r="C4276" t="s" s="9">
        <v>70</v>
      </c>
      <c r="D4276" t="s" s="9">
        <v>20</v>
      </c>
      <c r="E4276" t="s" s="9">
        <v>71</v>
      </c>
      <c r="F4276" s="10">
        <v>1302</v>
      </c>
      <c r="G4276" s="10">
        <v>2889689</v>
      </c>
      <c r="H4276" s="11" cm="1">
        <f t="array" ref="H4276">F4276/G4276*100000</f>
        <v>45.0567517819392</v>
      </c>
    </row>
    <row r="4277" ht="13" customHeight="1">
      <c r="A4277" s="8">
        <v>4</v>
      </c>
      <c r="B4277" t="s" s="9">
        <v>34</v>
      </c>
      <c r="C4277" t="s" s="9">
        <v>70</v>
      </c>
      <c r="D4277" t="s" s="9">
        <v>20</v>
      </c>
      <c r="E4277" t="s" s="9">
        <v>71</v>
      </c>
      <c r="F4277" s="10">
        <v>928</v>
      </c>
      <c r="G4277" s="10">
        <v>2889689</v>
      </c>
      <c r="H4277" s="11" cm="1">
        <f t="array" ref="H4277">F4277/G4277*100000</f>
        <v>32.1141825296771</v>
      </c>
    </row>
    <row r="4278" ht="13" customHeight="1">
      <c r="A4278" s="8">
        <v>5</v>
      </c>
      <c r="B4278" t="s" s="9">
        <v>30</v>
      </c>
      <c r="C4278" t="s" s="9">
        <v>70</v>
      </c>
      <c r="D4278" t="s" s="9">
        <v>20</v>
      </c>
      <c r="E4278" t="s" s="9">
        <v>71</v>
      </c>
      <c r="F4278" s="10">
        <v>706</v>
      </c>
      <c r="G4278" s="10">
        <v>2889689</v>
      </c>
      <c r="H4278" s="11" cm="1">
        <f t="array" ref="H4278">F4278/G4278*100000</f>
        <v>24.4316948986552</v>
      </c>
    </row>
    <row r="4279" ht="13" customHeight="1">
      <c r="A4279" s="8">
        <v>6</v>
      </c>
      <c r="B4279" t="s" s="9">
        <v>35</v>
      </c>
      <c r="C4279" t="s" s="9">
        <v>70</v>
      </c>
      <c r="D4279" t="s" s="9">
        <v>20</v>
      </c>
      <c r="E4279" t="s" s="9">
        <v>71</v>
      </c>
      <c r="F4279" s="10">
        <v>545</v>
      </c>
      <c r="G4279" s="10">
        <v>2889689</v>
      </c>
      <c r="H4279" s="11" cm="1">
        <f t="array" ref="H4279">F4279/G4279*100000</f>
        <v>18.8601610761573</v>
      </c>
    </row>
    <row r="4280" ht="13" customHeight="1">
      <c r="A4280" s="8">
        <v>7</v>
      </c>
      <c r="B4280" t="s" s="9">
        <v>36</v>
      </c>
      <c r="C4280" t="s" s="9">
        <v>70</v>
      </c>
      <c r="D4280" t="s" s="9">
        <v>20</v>
      </c>
      <c r="E4280" t="s" s="9">
        <v>71</v>
      </c>
      <c r="F4280" s="10">
        <v>465</v>
      </c>
      <c r="G4280" s="10">
        <v>2889689</v>
      </c>
      <c r="H4280" s="11" cm="1">
        <f t="array" ref="H4280">F4280/G4280*100000</f>
        <v>16.0916970649783</v>
      </c>
    </row>
    <row r="4281" ht="13" customHeight="1">
      <c r="A4281" s="8">
        <v>8</v>
      </c>
      <c r="B4281" t="s" s="9">
        <v>41</v>
      </c>
      <c r="C4281" t="s" s="9">
        <v>70</v>
      </c>
      <c r="D4281" t="s" s="9">
        <v>20</v>
      </c>
      <c r="E4281" t="s" s="9">
        <v>71</v>
      </c>
      <c r="F4281" s="10">
        <v>436</v>
      </c>
      <c r="G4281" s="10">
        <v>2889689</v>
      </c>
      <c r="H4281" s="11" cm="1">
        <f t="array" ref="H4281">F4281/G4281*100000</f>
        <v>15.0881288609259</v>
      </c>
    </row>
    <row r="4282" ht="13" customHeight="1">
      <c r="A4282" s="8">
        <v>9</v>
      </c>
      <c r="B4282" t="s" s="9">
        <v>37</v>
      </c>
      <c r="C4282" t="s" s="9">
        <v>70</v>
      </c>
      <c r="D4282" t="s" s="9">
        <v>20</v>
      </c>
      <c r="E4282" t="s" s="9">
        <v>71</v>
      </c>
      <c r="F4282" s="10">
        <v>324</v>
      </c>
      <c r="G4282" s="10">
        <v>2889689</v>
      </c>
      <c r="H4282" s="11" cm="1">
        <f t="array" ref="H4282">F4282/G4282*100000</f>
        <v>11.2122792452752</v>
      </c>
    </row>
    <row r="4283" ht="13" customHeight="1">
      <c r="A4283" s="8">
        <v>10</v>
      </c>
      <c r="B4283" t="s" s="9">
        <v>30</v>
      </c>
      <c r="C4283" t="s" s="9">
        <v>70</v>
      </c>
      <c r="D4283" t="s" s="9">
        <v>20</v>
      </c>
      <c r="E4283" t="s" s="9">
        <v>71</v>
      </c>
      <c r="F4283" s="10">
        <v>269</v>
      </c>
      <c r="G4283" s="10">
        <v>2889689</v>
      </c>
      <c r="H4283" s="11" cm="1">
        <f t="array" ref="H4283">F4283/G4283*100000</f>
        <v>9.308960237589581</v>
      </c>
    </row>
    <row r="4284" ht="13" customHeight="1">
      <c r="A4284" s="8">
        <v>1</v>
      </c>
      <c r="B4284" t="s" s="9">
        <v>30</v>
      </c>
      <c r="C4284" t="s" s="9">
        <v>70</v>
      </c>
      <c r="D4284" t="s" s="9">
        <v>21</v>
      </c>
      <c r="E4284" t="s" s="9">
        <v>71</v>
      </c>
      <c r="F4284" s="10">
        <v>4649</v>
      </c>
      <c r="G4284" s="10">
        <v>4635519</v>
      </c>
      <c r="H4284" s="11" cm="1">
        <f t="array" ref="H4284">F4284/G4284*100000</f>
        <v>100.290819647164</v>
      </c>
    </row>
    <row r="4285" ht="13" customHeight="1">
      <c r="A4285" s="8">
        <v>2</v>
      </c>
      <c r="B4285" t="s" s="9">
        <v>30</v>
      </c>
      <c r="C4285" t="s" s="9">
        <v>70</v>
      </c>
      <c r="D4285" t="s" s="9">
        <v>21</v>
      </c>
      <c r="E4285" t="s" s="9">
        <v>71</v>
      </c>
      <c r="F4285" s="10">
        <v>1651</v>
      </c>
      <c r="G4285" s="10">
        <v>4635519</v>
      </c>
      <c r="H4285" s="11" cm="1">
        <f t="array" ref="H4285">F4285/G4285*100000</f>
        <v>35.6162923720084</v>
      </c>
    </row>
    <row r="4286" ht="13" customHeight="1">
      <c r="A4286" s="8">
        <v>3</v>
      </c>
      <c r="B4286" t="s" s="9">
        <v>34</v>
      </c>
      <c r="C4286" t="s" s="9">
        <v>70</v>
      </c>
      <c r="D4286" t="s" s="9">
        <v>21</v>
      </c>
      <c r="E4286" t="s" s="9">
        <v>71</v>
      </c>
      <c r="F4286" s="10">
        <v>1524</v>
      </c>
      <c r="G4286" s="10">
        <v>4635519</v>
      </c>
      <c r="H4286" s="11" cm="1">
        <f t="array" ref="H4286">F4286/G4286*100000</f>
        <v>32.8765775741616</v>
      </c>
    </row>
    <row r="4287" ht="13" customHeight="1">
      <c r="A4287" s="8">
        <v>4</v>
      </c>
      <c r="B4287" t="s" s="9">
        <v>36</v>
      </c>
      <c r="C4287" t="s" s="9">
        <v>70</v>
      </c>
      <c r="D4287" t="s" s="9">
        <v>21</v>
      </c>
      <c r="E4287" t="s" s="9">
        <v>71</v>
      </c>
      <c r="F4287" s="10">
        <v>993</v>
      </c>
      <c r="G4287" s="10">
        <v>4635519</v>
      </c>
      <c r="H4287" s="11" cm="1">
        <f t="array" ref="H4287">F4287/G4287*100000</f>
        <v>21.4215495611171</v>
      </c>
    </row>
    <row r="4288" ht="13" customHeight="1">
      <c r="A4288" s="8">
        <v>5</v>
      </c>
      <c r="B4288" t="s" s="9">
        <v>30</v>
      </c>
      <c r="C4288" t="s" s="9">
        <v>70</v>
      </c>
      <c r="D4288" t="s" s="9">
        <v>21</v>
      </c>
      <c r="E4288" t="s" s="9">
        <v>71</v>
      </c>
      <c r="F4288" s="10">
        <v>724</v>
      </c>
      <c r="G4288" s="10">
        <v>4635519</v>
      </c>
      <c r="H4288" s="11" cm="1">
        <f t="array" ref="H4288">F4288/G4288*100000</f>
        <v>15.6185316034731</v>
      </c>
    </row>
    <row r="4289" ht="13" customHeight="1">
      <c r="A4289" s="8">
        <v>6</v>
      </c>
      <c r="B4289" t="s" s="9">
        <v>41</v>
      </c>
      <c r="C4289" t="s" s="9">
        <v>70</v>
      </c>
      <c r="D4289" t="s" s="9">
        <v>21</v>
      </c>
      <c r="E4289" t="s" s="9">
        <v>71</v>
      </c>
      <c r="F4289" s="10">
        <v>689</v>
      </c>
      <c r="G4289" s="10">
        <v>4635519</v>
      </c>
      <c r="H4289" s="11" cm="1">
        <f t="array" ref="H4289">F4289/G4289*100000</f>
        <v>14.8634920922555</v>
      </c>
    </row>
    <row r="4290" ht="13" customHeight="1">
      <c r="A4290" s="8">
        <v>7</v>
      </c>
      <c r="B4290" t="s" s="9">
        <v>36</v>
      </c>
      <c r="C4290" t="s" s="9">
        <v>70</v>
      </c>
      <c r="D4290" t="s" s="9">
        <v>21</v>
      </c>
      <c r="E4290" t="s" s="9">
        <v>71</v>
      </c>
      <c r="F4290" s="10">
        <v>624</v>
      </c>
      <c r="G4290" s="10">
        <v>4635519</v>
      </c>
      <c r="H4290" s="11" cm="1">
        <f t="array" ref="H4290">F4290/G4290*100000</f>
        <v>13.461275857137</v>
      </c>
    </row>
    <row r="4291" ht="13" customHeight="1">
      <c r="A4291" s="8">
        <v>8</v>
      </c>
      <c r="B4291" t="s" s="9">
        <v>30</v>
      </c>
      <c r="C4291" t="s" s="9">
        <v>70</v>
      </c>
      <c r="D4291" t="s" s="9">
        <v>21</v>
      </c>
      <c r="E4291" t="s" s="9">
        <v>71</v>
      </c>
      <c r="F4291" s="10">
        <v>610</v>
      </c>
      <c r="G4291" s="10">
        <v>4635519</v>
      </c>
      <c r="H4291" s="11" cm="1">
        <f t="array" ref="H4291">F4291/G4291*100000</f>
        <v>13.159260052650</v>
      </c>
    </row>
    <row r="4292" ht="13" customHeight="1">
      <c r="A4292" s="8">
        <v>9</v>
      </c>
      <c r="B4292" t="s" s="9">
        <v>45</v>
      </c>
      <c r="C4292" t="s" s="9">
        <v>70</v>
      </c>
      <c r="D4292" t="s" s="9">
        <v>21</v>
      </c>
      <c r="E4292" t="s" s="9">
        <v>71</v>
      </c>
      <c r="F4292" s="10">
        <v>546</v>
      </c>
      <c r="G4292" s="10">
        <v>4635519</v>
      </c>
      <c r="H4292" s="11" cm="1">
        <f t="array" ref="H4292">F4292/G4292*100000</f>
        <v>11.7786163749949</v>
      </c>
    </row>
    <row r="4293" ht="13" customHeight="1">
      <c r="A4293" s="8">
        <v>10</v>
      </c>
      <c r="B4293" t="s" s="9">
        <v>39</v>
      </c>
      <c r="C4293" t="s" s="9">
        <v>70</v>
      </c>
      <c r="D4293" t="s" s="9">
        <v>21</v>
      </c>
      <c r="E4293" t="s" s="9">
        <v>71</v>
      </c>
      <c r="F4293" s="10">
        <v>566</v>
      </c>
      <c r="G4293" s="10">
        <v>4635519</v>
      </c>
      <c r="H4293" s="11" cm="1">
        <f t="array" ref="H4293">F4293/G4293*100000</f>
        <v>12.2100675242621</v>
      </c>
    </row>
    <row r="4294" ht="13.65" customHeight="1">
      <c r="A4294" s="8">
        <v>1</v>
      </c>
      <c r="B4294" t="s" s="9">
        <v>30</v>
      </c>
      <c r="C4294" t="s" s="9">
        <v>70</v>
      </c>
      <c r="D4294" t="s" s="9">
        <v>58</v>
      </c>
      <c r="E4294" t="s" s="9">
        <v>71</v>
      </c>
      <c r="F4294" s="10">
        <v>1831</v>
      </c>
      <c r="G4294" s="12"/>
      <c r="H4294" s="13"/>
    </row>
    <row r="4295" ht="13.65" customHeight="1">
      <c r="A4295" s="8">
        <v>2</v>
      </c>
      <c r="B4295" t="s" s="9">
        <v>35</v>
      </c>
      <c r="C4295" t="s" s="9">
        <v>70</v>
      </c>
      <c r="D4295" t="s" s="9">
        <v>58</v>
      </c>
      <c r="E4295" t="s" s="9">
        <v>71</v>
      </c>
      <c r="F4295" s="10">
        <v>1578</v>
      </c>
      <c r="G4295" s="14"/>
      <c r="H4295" s="15"/>
    </row>
    <row r="4296" ht="13.65" customHeight="1">
      <c r="A4296" s="8">
        <v>3</v>
      </c>
      <c r="B4296" t="s" s="9">
        <v>30</v>
      </c>
      <c r="C4296" t="s" s="9">
        <v>70</v>
      </c>
      <c r="D4296" t="s" s="9">
        <v>58</v>
      </c>
      <c r="E4296" t="s" s="9">
        <v>71</v>
      </c>
      <c r="F4296" s="10">
        <v>1055</v>
      </c>
      <c r="G4296" s="14"/>
      <c r="H4296" s="15"/>
    </row>
    <row r="4297" ht="13.65" customHeight="1">
      <c r="A4297" s="8">
        <v>4</v>
      </c>
      <c r="B4297" t="s" s="9">
        <v>34</v>
      </c>
      <c r="C4297" t="s" s="9">
        <v>70</v>
      </c>
      <c r="D4297" t="s" s="9">
        <v>58</v>
      </c>
      <c r="E4297" t="s" s="9">
        <v>71</v>
      </c>
      <c r="F4297" s="10">
        <v>792</v>
      </c>
      <c r="G4297" s="14"/>
      <c r="H4297" s="15"/>
    </row>
    <row r="4298" ht="13.65" customHeight="1">
      <c r="A4298" s="8">
        <v>5</v>
      </c>
      <c r="B4298" t="s" s="9">
        <v>30</v>
      </c>
      <c r="C4298" t="s" s="9">
        <v>70</v>
      </c>
      <c r="D4298" t="s" s="9">
        <v>58</v>
      </c>
      <c r="E4298" t="s" s="9">
        <v>71</v>
      </c>
      <c r="F4298" s="10">
        <v>311</v>
      </c>
      <c r="G4298" s="14"/>
      <c r="H4298" s="15"/>
    </row>
    <row r="4299" ht="13.65" customHeight="1">
      <c r="A4299" s="8">
        <v>6</v>
      </c>
      <c r="B4299" t="s" s="9">
        <v>35</v>
      </c>
      <c r="C4299" t="s" s="9">
        <v>70</v>
      </c>
      <c r="D4299" t="s" s="9">
        <v>58</v>
      </c>
      <c r="E4299" t="s" s="9">
        <v>71</v>
      </c>
      <c r="F4299" s="10">
        <v>257</v>
      </c>
      <c r="G4299" s="14"/>
      <c r="H4299" s="15"/>
    </row>
    <row r="4300" ht="13.65" customHeight="1">
      <c r="A4300" s="8">
        <v>7</v>
      </c>
      <c r="B4300" t="s" s="9">
        <v>39</v>
      </c>
      <c r="C4300" t="s" s="9">
        <v>70</v>
      </c>
      <c r="D4300" t="s" s="9">
        <v>58</v>
      </c>
      <c r="E4300" t="s" s="9">
        <v>71</v>
      </c>
      <c r="F4300" s="10">
        <v>448</v>
      </c>
      <c r="G4300" s="14"/>
      <c r="H4300" s="15"/>
    </row>
    <row r="4301" ht="13.65" customHeight="1">
      <c r="A4301" s="8">
        <v>8</v>
      </c>
      <c r="B4301" t="s" s="9">
        <v>36</v>
      </c>
      <c r="C4301" t="s" s="9">
        <v>70</v>
      </c>
      <c r="D4301" t="s" s="9">
        <v>58</v>
      </c>
      <c r="E4301" t="s" s="9">
        <v>71</v>
      </c>
      <c r="F4301" s="10">
        <v>261</v>
      </c>
      <c r="G4301" s="14"/>
      <c r="H4301" s="15"/>
    </row>
    <row r="4302" ht="13.65" customHeight="1">
      <c r="A4302" s="8">
        <v>9</v>
      </c>
      <c r="B4302" t="s" s="9">
        <v>35</v>
      </c>
      <c r="C4302" t="s" s="9">
        <v>70</v>
      </c>
      <c r="D4302" t="s" s="9">
        <v>58</v>
      </c>
      <c r="E4302" t="s" s="9">
        <v>71</v>
      </c>
      <c r="F4302" s="10">
        <v>281</v>
      </c>
      <c r="G4302" s="14"/>
      <c r="H4302" s="15"/>
    </row>
    <row r="4303" ht="13.65" customHeight="1">
      <c r="A4303" s="8">
        <v>10</v>
      </c>
      <c r="B4303" t="s" s="9">
        <v>37</v>
      </c>
      <c r="C4303" t="s" s="9">
        <v>70</v>
      </c>
      <c r="D4303" t="s" s="9">
        <v>58</v>
      </c>
      <c r="E4303" t="s" s="9">
        <v>71</v>
      </c>
      <c r="F4303" s="10">
        <v>302</v>
      </c>
      <c r="G4303" s="14"/>
      <c r="H4303" s="15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1314"/>
  <sheetViews>
    <sheetView workbookViewId="0" showGridLines="0" defaultGridColor="1"/>
  </sheetViews>
  <sheetFormatPr defaultColWidth="8.66667" defaultRowHeight="15" customHeight="1" outlineLevelRow="0" outlineLevelCol="0"/>
  <cols>
    <col min="1" max="1" width="34" style="18" customWidth="1"/>
    <col min="2" max="2" width="12" style="18" customWidth="1"/>
    <col min="3" max="3" width="32" style="18" customWidth="1"/>
    <col min="4" max="4" width="18" style="18" customWidth="1"/>
    <col min="5" max="5" width="16" style="18" customWidth="1"/>
    <col min="6" max="6" width="22" style="18" customWidth="1"/>
    <col min="7" max="16384" width="8.67188" style="18" customWidth="1"/>
  </cols>
  <sheetData>
    <row r="1" ht="14.6" customHeight="1">
      <c r="A1" t="s" s="19">
        <v>23</v>
      </c>
      <c r="B1" t="s" s="19">
        <v>24</v>
      </c>
      <c r="C1" t="s" s="19">
        <v>25</v>
      </c>
      <c r="D1" t="s" s="19">
        <v>72</v>
      </c>
      <c r="E1" t="s" s="19">
        <v>28</v>
      </c>
      <c r="F1" t="s" s="19">
        <v>29</v>
      </c>
    </row>
    <row r="2" ht="13.65" customHeight="1">
      <c r="A2" t="s" s="20">
        <v>30</v>
      </c>
      <c r="B2" t="s" s="21">
        <v>31</v>
      </c>
      <c r="C2" t="s" s="21">
        <v>32</v>
      </c>
      <c r="D2" s="22" cm="1">
        <f t="array" ref="D2">_xlfn.SUMIFS('Diseases'!F2:F4303,'Diseases'!B2:B4303,A2,'Diseases'!C2:C4303,B2,'Diseases'!D2:D4303,C2)</f>
        <v>22804</v>
      </c>
      <c r="E2" s="22" cm="1">
        <f t="array" ref="E2">_xlfn.IFERROR(IF(INDEX('Diseases'!G2:G4303,MATCH(C2,'Diseases'!D2:D4303,0))="","",INDEX('Diseases'!G2:G4303,MATCH(C2,'Diseases'!D2:D4303,0))),"")</f>
        <v>14521657</v>
      </c>
      <c r="F2" s="23" cm="1">
        <f t="array" ref="F2">_xlfn.IFERROR(IF(E2="","",D2/E2*100000),"")</f>
        <v>157.034421071920</v>
      </c>
    </row>
    <row r="3" ht="13.65" customHeight="1">
      <c r="A3" t="s" s="24">
        <v>34</v>
      </c>
      <c r="B3" t="s" s="21">
        <v>31</v>
      </c>
      <c r="C3" t="s" s="21">
        <v>32</v>
      </c>
      <c r="D3" s="22" cm="1">
        <f t="array" ref="D3">_xlfn.SUMIFS('Diseases'!F2:F4303,'Diseases'!B2:B4303,A3,'Diseases'!C2:C4303,B3,'Diseases'!D2:D4303,C3)</f>
        <v>9819</v>
      </c>
      <c r="E3" s="22" cm="1">
        <f t="array" ref="E3">_xlfn.IFERROR(IF(INDEX('Diseases'!G2:G4303,MATCH(C3,'Diseases'!D2:D4303,0))="","",INDEX('Diseases'!G2:G4303,MATCH(C3,'Diseases'!D2:D4303,0))),"")</f>
        <v>14521657</v>
      </c>
      <c r="F3" s="23" cm="1">
        <f t="array" ref="F3">_xlfn.IFERROR(IF(E3="","",D3/E3*100000),"")</f>
        <v>67.6162506799327</v>
      </c>
    </row>
    <row r="4" ht="13.65" customHeight="1">
      <c r="A4" t="s" s="25">
        <v>35</v>
      </c>
      <c r="B4" t="s" s="21">
        <v>31</v>
      </c>
      <c r="C4" t="s" s="21">
        <v>32</v>
      </c>
      <c r="D4" s="22" cm="1">
        <f t="array" ref="D4">_xlfn.SUMIFS('Diseases'!F2:F4303,'Diseases'!B2:B4303,A4,'Diseases'!C2:C4303,B4,'Diseases'!D2:D4303,C4)</f>
        <v>6497</v>
      </c>
      <c r="E4" s="22" cm="1">
        <f t="array" ref="E4">_xlfn.IFERROR(IF(INDEX('Diseases'!G2:G4303,MATCH(C4,'Diseases'!D2:D4303,0))="","",INDEX('Diseases'!G2:G4303,MATCH(C4,'Diseases'!D2:D4303,0))),"")</f>
        <v>14521657</v>
      </c>
      <c r="F4" s="23" cm="1">
        <f t="array" ref="F4">_xlfn.IFERROR(IF(E4="","",D4/E4*100000),"")</f>
        <v>44.7400733952055</v>
      </c>
    </row>
    <row r="5" ht="13.65" customHeight="1">
      <c r="A5" t="s" s="26">
        <v>36</v>
      </c>
      <c r="B5" t="s" s="21">
        <v>31</v>
      </c>
      <c r="C5" t="s" s="21">
        <v>32</v>
      </c>
      <c r="D5" s="22" cm="1">
        <f t="array" ref="D5">_xlfn.SUMIFS('Diseases'!F2:F4303,'Diseases'!B2:B4303,A5,'Diseases'!C2:C4303,B5,'Diseases'!D2:D4303,C5)</f>
        <v>1534</v>
      </c>
      <c r="E5" s="22" cm="1">
        <f t="array" ref="E5">_xlfn.IFERROR(IF(INDEX('Diseases'!G2:G4303,MATCH(C5,'Diseases'!D2:D4303,0))="","",INDEX('Diseases'!G2:G4303,MATCH(C5,'Diseases'!D2:D4303,0))),"")</f>
        <v>14521657</v>
      </c>
      <c r="F5" s="23" cm="1">
        <f t="array" ref="F5">_xlfn.IFERROR(IF(E5="","",D5/E5*100000),"")</f>
        <v>10.5635327979445</v>
      </c>
    </row>
    <row r="6" ht="13.65" customHeight="1">
      <c r="A6" t="s" s="27">
        <v>37</v>
      </c>
      <c r="B6" t="s" s="21">
        <v>31</v>
      </c>
      <c r="C6" t="s" s="21">
        <v>32</v>
      </c>
      <c r="D6" s="22" cm="1">
        <f t="array" ref="D6">_xlfn.SUMIFS('Diseases'!F2:F4303,'Diseases'!B2:B4303,A6,'Diseases'!C2:C4303,B6,'Diseases'!D2:D4303,C6)</f>
        <v>1422</v>
      </c>
      <c r="E6" s="22" cm="1">
        <f t="array" ref="E6">_xlfn.IFERROR(IF(INDEX('Diseases'!G2:G4303,MATCH(C6,'Diseases'!D2:D4303,0))="","",INDEX('Diseases'!G2:G4303,MATCH(C6,'Diseases'!D2:D4303,0))),"")</f>
        <v>14521657</v>
      </c>
      <c r="F6" s="23" cm="1">
        <f t="array" ref="F6">_xlfn.IFERROR(IF(E6="","",D6/E6*100000),"")</f>
        <v>9.792270950897681</v>
      </c>
    </row>
    <row r="7" ht="13.65" customHeight="1">
      <c r="A7" t="s" s="20">
        <v>30</v>
      </c>
      <c r="B7" t="s" s="21">
        <v>60</v>
      </c>
      <c r="C7" t="s" s="21">
        <v>32</v>
      </c>
      <c r="D7" s="22" cm="1">
        <f t="array" ref="D7">_xlfn.SUMIFS('Diseases'!F2:F4303,'Diseases'!B2:B4303,A7,'Diseases'!C2:C4303,B7,'Diseases'!D2:D4303,C7)</f>
        <v>22824</v>
      </c>
      <c r="E7" s="22" cm="1">
        <f t="array" ref="E7">_xlfn.IFERROR(IF(INDEX('Diseases'!G2:G4303,MATCH(C7,'Diseases'!D2:D4303,0))="","",INDEX('Diseases'!G2:G4303,MATCH(C7,'Diseases'!D2:D4303,0))),"")</f>
        <v>14521657</v>
      </c>
      <c r="F7" s="23" cm="1">
        <f t="array" ref="F7">_xlfn.IFERROR(IF(E7="","",D7/E7*100000),"")</f>
        <v>157.172146401750</v>
      </c>
    </row>
    <row r="8" ht="13.65" customHeight="1">
      <c r="A8" t="s" s="25">
        <v>35</v>
      </c>
      <c r="B8" t="s" s="21">
        <v>60</v>
      </c>
      <c r="C8" t="s" s="21">
        <v>32</v>
      </c>
      <c r="D8" s="22" cm="1">
        <f t="array" ref="D8">_xlfn.SUMIFS('Diseases'!F2:F4303,'Diseases'!B2:B4303,A8,'Diseases'!C2:C4303,B8,'Diseases'!D2:D4303,C8)</f>
        <v>10177</v>
      </c>
      <c r="E8" s="22" cm="1">
        <f t="array" ref="E8">_xlfn.IFERROR(IF(INDEX('Diseases'!G2:G4303,MATCH(C8,'Diseases'!D2:D4303,0))="","",INDEX('Diseases'!G2:G4303,MATCH(C8,'Diseases'!D2:D4303,0))),"")</f>
        <v>14521657</v>
      </c>
      <c r="F8" s="23" cm="1">
        <f t="array" ref="F8">_xlfn.IFERROR(IF(E8="","",D8/E8*100000),"")</f>
        <v>70.0815340838859</v>
      </c>
    </row>
    <row r="9" ht="13.65" customHeight="1">
      <c r="A9" t="s" s="24">
        <v>34</v>
      </c>
      <c r="B9" t="s" s="21">
        <v>60</v>
      </c>
      <c r="C9" t="s" s="21">
        <v>32</v>
      </c>
      <c r="D9" s="22" cm="1">
        <f t="array" ref="D9">_xlfn.SUMIFS('Diseases'!F2:F4303,'Diseases'!B2:B4303,A9,'Diseases'!C2:C4303,B9,'Diseases'!D2:D4303,C9)</f>
        <v>7527</v>
      </c>
      <c r="E9" s="22" cm="1">
        <f t="array" ref="E9">_xlfn.IFERROR(IF(INDEX('Diseases'!G2:G4303,MATCH(C9,'Diseases'!D2:D4303,0))="","",INDEX('Diseases'!G2:G4303,MATCH(C9,'Diseases'!D2:D4303,0))),"")</f>
        <v>14521657</v>
      </c>
      <c r="F9" s="23" cm="1">
        <f t="array" ref="F9">_xlfn.IFERROR(IF(E9="","",D9/E9*100000),"")</f>
        <v>51.8329278814394</v>
      </c>
    </row>
    <row r="10" ht="13.65" customHeight="1">
      <c r="A10" t="s" s="28">
        <v>41</v>
      </c>
      <c r="B10" t="s" s="21">
        <v>60</v>
      </c>
      <c r="C10" t="s" s="21">
        <v>32</v>
      </c>
      <c r="D10" s="22" cm="1">
        <f t="array" ref="D10">_xlfn.SUMIFS('Diseases'!F2:F4303,'Diseases'!B2:B4303,A10,'Diseases'!C2:C4303,B10,'Diseases'!D2:D4303,C10)</f>
        <v>5642</v>
      </c>
      <c r="E10" s="22" cm="1">
        <f t="array" ref="E10">_xlfn.IFERROR(IF(INDEX('Diseases'!G2:G4303,MATCH(C10,'Diseases'!D2:D4303,0))="","",INDEX('Diseases'!G2:G4303,MATCH(C10,'Diseases'!D2:D4303,0))),"")</f>
        <v>14521657</v>
      </c>
      <c r="F10" s="23" cm="1">
        <f t="array" ref="F10">_xlfn.IFERROR(IF(E10="","",D10/E10*100000),"")</f>
        <v>38.8523155449822</v>
      </c>
    </row>
    <row r="11" ht="13.65" customHeight="1">
      <c r="A11" t="s" s="27">
        <v>37</v>
      </c>
      <c r="B11" t="s" s="21">
        <v>60</v>
      </c>
      <c r="C11" t="s" s="21">
        <v>32</v>
      </c>
      <c r="D11" s="22" cm="1">
        <f t="array" ref="D11">_xlfn.SUMIFS('Diseases'!F2:F4303,'Diseases'!B2:B4303,A11,'Diseases'!C2:C4303,B11,'Diseases'!D2:D4303,C11)</f>
        <v>4161</v>
      </c>
      <c r="E11" s="22" cm="1">
        <f t="array" ref="E11">_xlfn.IFERROR(IF(INDEX('Diseases'!G2:G4303,MATCH(C11,'Diseases'!D2:D4303,0))="","",INDEX('Diseases'!G2:G4303,MATCH(C11,'Diseases'!D2:D4303,0))),"")</f>
        <v>14521657</v>
      </c>
      <c r="F11" s="23" cm="1">
        <f t="array" ref="F11">_xlfn.IFERROR(IF(E11="","",D11/E11*100000),"")</f>
        <v>28.6537548710867</v>
      </c>
    </row>
    <row r="12" ht="13.65" customHeight="1">
      <c r="A12" t="s" s="29">
        <v>39</v>
      </c>
      <c r="B12" t="s" s="21">
        <v>60</v>
      </c>
      <c r="C12" t="s" s="21">
        <v>32</v>
      </c>
      <c r="D12" s="22" cm="1">
        <f t="array" ref="D12">_xlfn.SUMIFS('Diseases'!F2:F4303,'Diseases'!B2:B4303,A12,'Diseases'!C2:C4303,B12,'Diseases'!D2:D4303,C12)</f>
        <v>1895</v>
      </c>
      <c r="E12" s="22" cm="1">
        <f t="array" ref="E12">_xlfn.IFERROR(IF(INDEX('Diseases'!G2:G4303,MATCH(C12,'Diseases'!D2:D4303,0))="","",INDEX('Diseases'!G2:G4303,MATCH(C12,'Diseases'!D2:D4303,0))),"")</f>
        <v>14521657</v>
      </c>
      <c r="F12" s="23" cm="1">
        <f t="array" ref="F12">_xlfn.IFERROR(IF(E12="","",D12/E12*100000),"")</f>
        <v>13.0494750013721</v>
      </c>
    </row>
    <row r="13" ht="13.65" customHeight="1">
      <c r="A13" t="s" s="20">
        <v>30</v>
      </c>
      <c r="B13" t="s" s="21">
        <v>61</v>
      </c>
      <c r="C13" t="s" s="21">
        <v>32</v>
      </c>
      <c r="D13" s="22" cm="1">
        <f t="array" ref="D13">_xlfn.SUMIFS('Diseases'!F2:F4303,'Diseases'!B2:B4303,A13,'Diseases'!C2:C4303,B13,'Diseases'!D2:D4303,C13)</f>
        <v>22556</v>
      </c>
      <c r="E13" s="22" cm="1">
        <f t="array" ref="E13">_xlfn.IFERROR(IF(INDEX('Diseases'!G2:G4303,MATCH(C13,'Diseases'!D2:D4303,0))="","",INDEX('Diseases'!G2:G4303,MATCH(C13,'Diseases'!D2:D4303,0))),"")</f>
        <v>14521657</v>
      </c>
      <c r="F13" s="23" cm="1">
        <f t="array" ref="F13">_xlfn.IFERROR(IF(E13="","",D13/E13*100000),"")</f>
        <v>155.326626982031</v>
      </c>
    </row>
    <row r="14" ht="13.65" customHeight="1">
      <c r="A14" t="s" s="24">
        <v>34</v>
      </c>
      <c r="B14" t="s" s="21">
        <v>61</v>
      </c>
      <c r="C14" t="s" s="21">
        <v>32</v>
      </c>
      <c r="D14" s="22" cm="1">
        <f t="array" ref="D14">_xlfn.SUMIFS('Diseases'!F2:F4303,'Diseases'!B2:B4303,A14,'Diseases'!C2:C4303,B14,'Diseases'!D2:D4303,C14)</f>
        <v>12965</v>
      </c>
      <c r="E14" s="22" cm="1">
        <f t="array" ref="E14">_xlfn.IFERROR(IF(INDEX('Diseases'!G2:G4303,MATCH(C14,'Diseases'!D2:D4303,0))="","",INDEX('Diseases'!G2:G4303,MATCH(C14,'Diseases'!D2:D4303,0))),"")</f>
        <v>14521657</v>
      </c>
      <c r="F14" s="23" cm="1">
        <f t="array" ref="F14">_xlfn.IFERROR(IF(E14="","",D14/E14*100000),"")</f>
        <v>89.2804450621579</v>
      </c>
    </row>
    <row r="15" ht="13.65" customHeight="1">
      <c r="A15" t="s" s="25">
        <v>35</v>
      </c>
      <c r="B15" t="s" s="21">
        <v>61</v>
      </c>
      <c r="C15" t="s" s="21">
        <v>32</v>
      </c>
      <c r="D15" s="22" cm="1">
        <f t="array" ref="D15">_xlfn.SUMIFS('Diseases'!F2:F4303,'Diseases'!B2:B4303,A15,'Diseases'!C2:C4303,B15,'Diseases'!D2:D4303,C15)</f>
        <v>11179</v>
      </c>
      <c r="E15" s="22" cm="1">
        <f t="array" ref="E15">_xlfn.IFERROR(IF(INDEX('Diseases'!G2:G4303,MATCH(C15,'Diseases'!D2:D4303,0))="","",INDEX('Diseases'!G2:G4303,MATCH(C15,'Diseases'!D2:D4303,0))),"")</f>
        <v>14521657</v>
      </c>
      <c r="F15" s="23" cm="1">
        <f t="array" ref="F15">_xlfn.IFERROR(IF(E15="","",D15/E15*100000),"")</f>
        <v>76.98157310835811</v>
      </c>
    </row>
    <row r="16" ht="13.65" customHeight="1">
      <c r="A16" t="s" s="27">
        <v>37</v>
      </c>
      <c r="B16" t="s" s="21">
        <v>61</v>
      </c>
      <c r="C16" t="s" s="21">
        <v>32</v>
      </c>
      <c r="D16" s="22" cm="1">
        <f t="array" ref="D16">_xlfn.SUMIFS('Diseases'!F2:F4303,'Diseases'!B2:B4303,A16,'Diseases'!C2:C4303,B16,'Diseases'!D2:D4303,C16)</f>
        <v>3722</v>
      </c>
      <c r="E16" s="22" cm="1">
        <f t="array" ref="E16">_xlfn.IFERROR(IF(INDEX('Diseases'!G2:G4303,MATCH(C16,'Diseases'!D2:D4303,0))="","",INDEX('Diseases'!G2:G4303,MATCH(C16,'Diseases'!D2:D4303,0))),"")</f>
        <v>14521657</v>
      </c>
      <c r="F16" s="23" cm="1">
        <f t="array" ref="F16">_xlfn.IFERROR(IF(E16="","",D16/E16*100000),"")</f>
        <v>25.6306838813229</v>
      </c>
    </row>
    <row r="17" ht="13.65" customHeight="1">
      <c r="A17" t="s" s="29">
        <v>39</v>
      </c>
      <c r="B17" t="s" s="21">
        <v>61</v>
      </c>
      <c r="C17" t="s" s="21">
        <v>32</v>
      </c>
      <c r="D17" s="22" cm="1">
        <f t="array" ref="D17">_xlfn.SUMIFS('Diseases'!F2:F4303,'Diseases'!B2:B4303,A17,'Diseases'!C2:C4303,B17,'Diseases'!D2:D4303,C17)</f>
        <v>1514</v>
      </c>
      <c r="E17" s="22" cm="1">
        <f t="array" ref="E17">_xlfn.IFERROR(IF(INDEX('Diseases'!G2:G4303,MATCH(C17,'Diseases'!D2:D4303,0))="","",INDEX('Diseases'!G2:G4303,MATCH(C17,'Diseases'!D2:D4303,0))),"")</f>
        <v>14521657</v>
      </c>
      <c r="F17" s="23" cm="1">
        <f t="array" ref="F17">_xlfn.IFERROR(IF(E17="","",D17/E17*100000),"")</f>
        <v>10.4258074681147</v>
      </c>
    </row>
    <row r="18" ht="13.65" customHeight="1">
      <c r="A18" t="s" s="28">
        <v>41</v>
      </c>
      <c r="B18" t="s" s="21">
        <v>61</v>
      </c>
      <c r="C18" t="s" s="21">
        <v>32</v>
      </c>
      <c r="D18" s="22" cm="1">
        <f t="array" ref="D18">_xlfn.SUMIFS('Diseases'!F2:F4303,'Diseases'!B2:B4303,A18,'Diseases'!C2:C4303,B18,'Diseases'!D2:D4303,C18)</f>
        <v>1505</v>
      </c>
      <c r="E18" s="22" cm="1">
        <f t="array" ref="E18">_xlfn.IFERROR(IF(INDEX('Diseases'!G2:G4303,MATCH(C18,'Diseases'!D2:D4303,0))="","",INDEX('Diseases'!G2:G4303,MATCH(C18,'Diseases'!D2:D4303,0))),"")</f>
        <v>14521657</v>
      </c>
      <c r="F18" s="23" cm="1">
        <f t="array" ref="F18">_xlfn.IFERROR(IF(E18="","",D18/E18*100000),"")</f>
        <v>10.3638310696913</v>
      </c>
    </row>
    <row r="19" ht="13.65" customHeight="1">
      <c r="A19" t="s" s="20">
        <v>30</v>
      </c>
      <c r="B19" t="s" s="21">
        <v>62</v>
      </c>
      <c r="C19" t="s" s="21">
        <v>32</v>
      </c>
      <c r="D19" s="22" cm="1">
        <f t="array" ref="D19">_xlfn.SUMIFS('Diseases'!F2:F4303,'Diseases'!B2:B4303,A19,'Diseases'!C2:C4303,B19,'Diseases'!D2:D4303,C19)</f>
        <v>300285</v>
      </c>
      <c r="E19" s="22" cm="1">
        <f t="array" ref="E19">_xlfn.IFERROR(IF(INDEX('Diseases'!G2:G4303,MATCH(C19,'Diseases'!D2:D4303,0))="","",INDEX('Diseases'!G2:G4303,MATCH(C19,'Diseases'!D2:D4303,0))),"")</f>
        <v>14521657</v>
      </c>
      <c r="F19" s="23" cm="1">
        <f t="array" ref="F19">_xlfn.IFERROR(IF(E19="","",D19/E19*100000),"")</f>
        <v>2067.842533396840</v>
      </c>
    </row>
    <row r="20" ht="13.65" customHeight="1">
      <c r="A20" t="s" s="24">
        <v>34</v>
      </c>
      <c r="B20" t="s" s="21">
        <v>62</v>
      </c>
      <c r="C20" t="s" s="21">
        <v>32</v>
      </c>
      <c r="D20" s="22" cm="1">
        <f t="array" ref="D20">_xlfn.SUMIFS('Diseases'!F2:F4303,'Diseases'!B2:B4303,A20,'Diseases'!C2:C4303,B20,'Diseases'!D2:D4303,C20)</f>
        <v>228345</v>
      </c>
      <c r="E20" s="22" cm="1">
        <f t="array" ref="E20">_xlfn.IFERROR(IF(INDEX('Diseases'!G2:G4303,MATCH(C20,'Diseases'!D2:D4303,0))="","",INDEX('Diseases'!G2:G4303,MATCH(C20,'Diseases'!D2:D4303,0))),"")</f>
        <v>14521657</v>
      </c>
      <c r="F20" s="23" cm="1">
        <f t="array" ref="F20">_xlfn.IFERROR(IF(E20="","",D20/E20*100000),"")</f>
        <v>1572.444521999110</v>
      </c>
    </row>
    <row r="21" ht="13.65" customHeight="1">
      <c r="A21" t="s" s="25">
        <v>35</v>
      </c>
      <c r="B21" t="s" s="21">
        <v>62</v>
      </c>
      <c r="C21" t="s" s="21">
        <v>32</v>
      </c>
      <c r="D21" s="22" cm="1">
        <f t="array" ref="D21">_xlfn.SUMIFS('Diseases'!F2:F4303,'Diseases'!B2:B4303,A21,'Diseases'!C2:C4303,B21,'Diseases'!D2:D4303,C21)</f>
        <v>152085</v>
      </c>
      <c r="E21" s="22" cm="1">
        <f t="array" ref="E21">_xlfn.IFERROR(IF(INDEX('Diseases'!G2:G4303,MATCH(C21,'Diseases'!D2:D4303,0))="","",INDEX('Diseases'!G2:G4303,MATCH(C21,'Diseases'!D2:D4303,0))),"")</f>
        <v>14521657</v>
      </c>
      <c r="F21" s="23" cm="1">
        <f t="array" ref="F21">_xlfn.IFERROR(IF(E21="","",D21/E21*100000),"")</f>
        <v>1047.297839358140</v>
      </c>
    </row>
    <row r="22" ht="13.65" customHeight="1">
      <c r="A22" t="s" s="27">
        <v>37</v>
      </c>
      <c r="B22" t="s" s="21">
        <v>62</v>
      </c>
      <c r="C22" t="s" s="21">
        <v>32</v>
      </c>
      <c r="D22" s="22" cm="1">
        <f t="array" ref="D22">_xlfn.SUMIFS('Diseases'!F2:F4303,'Diseases'!B2:B4303,A22,'Diseases'!C2:C4303,B22,'Diseases'!D2:D4303,C22)</f>
        <v>85455</v>
      </c>
      <c r="E22" s="22" cm="1">
        <f t="array" ref="E22">_xlfn.IFERROR(IF(INDEX('Diseases'!G2:G4303,MATCH(C22,'Diseases'!D2:D4303,0))="","",INDEX('Diseases'!G2:G4303,MATCH(C22,'Diseases'!D2:D4303,0))),"")</f>
        <v>14521657</v>
      </c>
      <c r="F22" s="23" cm="1">
        <f t="array" ref="F22">_xlfn.IFERROR(IF(E22="","",D22/E22*100000),"")</f>
        <v>588.465903030212</v>
      </c>
    </row>
    <row r="23" ht="13.65" customHeight="1">
      <c r="A23" t="s" s="26">
        <v>36</v>
      </c>
      <c r="B23" t="s" s="21">
        <v>62</v>
      </c>
      <c r="C23" t="s" s="21">
        <v>32</v>
      </c>
      <c r="D23" s="22" cm="1">
        <f t="array" ref="D23">_xlfn.SUMIFS('Diseases'!F2:F4303,'Diseases'!B2:B4303,A23,'Diseases'!C2:C4303,B23,'Diseases'!D2:D4303,C23)</f>
        <v>20280</v>
      </c>
      <c r="E23" s="22" cm="1">
        <f t="array" ref="E23">_xlfn.IFERROR(IF(INDEX('Diseases'!G2:G4303,MATCH(C23,'Diseases'!D2:D4303,0))="","",INDEX('Diseases'!G2:G4303,MATCH(C23,'Diseases'!D2:D4303,0))),"")</f>
        <v>14521657</v>
      </c>
      <c r="F23" s="23" cm="1">
        <f t="array" ref="F23">_xlfn.IFERROR(IF(E23="","",D23/E23*100000),"")</f>
        <v>139.653484447402</v>
      </c>
    </row>
    <row r="24" ht="13.65" customHeight="1">
      <c r="A24" t="s" s="20">
        <v>30</v>
      </c>
      <c r="B24" t="s" s="21">
        <v>63</v>
      </c>
      <c r="C24" t="s" s="21">
        <v>32</v>
      </c>
      <c r="D24" s="22" cm="1">
        <f t="array" ref="D24">_xlfn.SUMIFS('Diseases'!F2:F4303,'Diseases'!B2:B4303,A24,'Diseases'!C2:C4303,B24,'Diseases'!D2:D4303,C24)</f>
        <v>19527</v>
      </c>
      <c r="E24" s="22" cm="1">
        <f t="array" ref="E24">_xlfn.IFERROR(IF(INDEX('Diseases'!G2:G4303,MATCH(C24,'Diseases'!D2:D4303,0))="","",INDEX('Diseases'!G2:G4303,MATCH(C24,'Diseases'!D2:D4303,0))),"")</f>
        <v>14521657</v>
      </c>
      <c r="F24" s="23" cm="1">
        <f t="array" ref="F24">_xlfn.IFERROR(IF(E24="","",D24/E24*100000),"")</f>
        <v>134.468125779310</v>
      </c>
    </row>
    <row r="25" ht="13.65" customHeight="1">
      <c r="A25" t="s" s="24">
        <v>34</v>
      </c>
      <c r="B25" t="s" s="21">
        <v>63</v>
      </c>
      <c r="C25" t="s" s="21">
        <v>32</v>
      </c>
      <c r="D25" s="22" cm="1">
        <f t="array" ref="D25">_xlfn.SUMIFS('Diseases'!F2:F4303,'Diseases'!B2:B4303,A25,'Diseases'!C2:C4303,B25,'Diseases'!D2:D4303,C25)</f>
        <v>17015</v>
      </c>
      <c r="E25" s="22" cm="1">
        <f t="array" ref="E25">_xlfn.IFERROR(IF(INDEX('Diseases'!G2:G4303,MATCH(C25,'Diseases'!D2:D4303,0))="","",INDEX('Diseases'!G2:G4303,MATCH(C25,'Diseases'!D2:D4303,0))),"")</f>
        <v>14521657</v>
      </c>
      <c r="F25" s="23" cm="1">
        <f t="array" ref="F25">_xlfn.IFERROR(IF(E25="","",D25/E25*100000),"")</f>
        <v>117.169824352689</v>
      </c>
    </row>
    <row r="26" ht="13.65" customHeight="1">
      <c r="A26" t="s" s="27">
        <v>37</v>
      </c>
      <c r="B26" t="s" s="21">
        <v>63</v>
      </c>
      <c r="C26" t="s" s="21">
        <v>32</v>
      </c>
      <c r="D26" s="22" cm="1">
        <f t="array" ref="D26">_xlfn.SUMIFS('Diseases'!F2:F4303,'Diseases'!B2:B4303,A26,'Diseases'!C2:C4303,B26,'Diseases'!D2:D4303,C26)</f>
        <v>12754</v>
      </c>
      <c r="E26" s="22" cm="1">
        <f t="array" ref="E26">_xlfn.IFERROR(IF(INDEX('Diseases'!G2:G4303,MATCH(C26,'Diseases'!D2:D4303,0))="","",INDEX('Diseases'!G2:G4303,MATCH(C26,'Diseases'!D2:D4303,0))),"")</f>
        <v>14521657</v>
      </c>
      <c r="F26" s="23" cm="1">
        <f t="array" ref="F26">_xlfn.IFERROR(IF(E26="","",D26/E26*100000),"")</f>
        <v>87.8274428324536</v>
      </c>
    </row>
    <row r="27" ht="13.65" customHeight="1">
      <c r="A27" t="s" s="25">
        <v>35</v>
      </c>
      <c r="B27" t="s" s="21">
        <v>63</v>
      </c>
      <c r="C27" t="s" s="21">
        <v>32</v>
      </c>
      <c r="D27" s="22" cm="1">
        <f t="array" ref="D27">_xlfn.SUMIFS('Diseases'!F2:F4303,'Diseases'!B2:B4303,A27,'Diseases'!C2:C4303,B27,'Diseases'!D2:D4303,C27)</f>
        <v>10609</v>
      </c>
      <c r="E27" s="22" cm="1">
        <f t="array" ref="E27">_xlfn.IFERROR(IF(INDEX('Diseases'!G2:G4303,MATCH(C27,'Diseases'!D2:D4303,0))="","",INDEX('Diseases'!G2:G4303,MATCH(C27,'Diseases'!D2:D4303,0))),"")</f>
        <v>14521657</v>
      </c>
      <c r="F27" s="23" cm="1">
        <f t="array" ref="F27">_xlfn.IFERROR(IF(E27="","",D27/E27*100000),"")</f>
        <v>73.05640120820919</v>
      </c>
    </row>
    <row r="28" ht="13.65" customHeight="1">
      <c r="A28" t="s" s="26">
        <v>36</v>
      </c>
      <c r="B28" t="s" s="21">
        <v>63</v>
      </c>
      <c r="C28" t="s" s="21">
        <v>32</v>
      </c>
      <c r="D28" s="22" cm="1">
        <f t="array" ref="D28">_xlfn.SUMIFS('Diseases'!F2:F4303,'Diseases'!B2:B4303,A28,'Diseases'!C2:C4303,B28,'Diseases'!D2:D4303,C28)</f>
        <v>5788</v>
      </c>
      <c r="E28" s="22" cm="1">
        <f t="array" ref="E28">_xlfn.IFERROR(IF(INDEX('Diseases'!G2:G4303,MATCH(C28,'Diseases'!D2:D4303,0))="","",INDEX('Diseases'!G2:G4303,MATCH(C28,'Diseases'!D2:D4303,0))),"")</f>
        <v>14521657</v>
      </c>
      <c r="F28" s="23" cm="1">
        <f t="array" ref="F28">_xlfn.IFERROR(IF(E28="","",D28/E28*100000),"")</f>
        <v>39.8577104527397</v>
      </c>
    </row>
    <row r="29" ht="13.65" customHeight="1">
      <c r="A29" t="s" s="29">
        <v>39</v>
      </c>
      <c r="B29" t="s" s="21">
        <v>63</v>
      </c>
      <c r="C29" t="s" s="21">
        <v>32</v>
      </c>
      <c r="D29" s="22" cm="1">
        <f t="array" ref="D29">_xlfn.SUMIFS('Diseases'!F2:F4303,'Diseases'!B2:B4303,A29,'Diseases'!C2:C4303,B29,'Diseases'!D2:D4303,C29)</f>
        <v>3375</v>
      </c>
      <c r="E29" s="22" cm="1">
        <f t="array" ref="E29">_xlfn.IFERROR(IF(INDEX('Diseases'!G2:G4303,MATCH(C29,'Diseases'!D2:D4303,0))="","",INDEX('Diseases'!G2:G4303,MATCH(C29,'Diseases'!D2:D4303,0))),"")</f>
        <v>14521657</v>
      </c>
      <c r="F29" s="23" cm="1">
        <f t="array" ref="F29">_xlfn.IFERROR(IF(E29="","",D29/E29*100000),"")</f>
        <v>23.2411494087761</v>
      </c>
    </row>
    <row r="30" ht="13.65" customHeight="1">
      <c r="A30" t="s" s="24">
        <v>34</v>
      </c>
      <c r="B30" t="s" s="21">
        <v>64</v>
      </c>
      <c r="C30" t="s" s="21">
        <v>32</v>
      </c>
      <c r="D30" s="22" cm="1">
        <f t="array" ref="D30">_xlfn.SUMIFS('Diseases'!F2:F4303,'Diseases'!B2:B4303,A30,'Diseases'!C2:C4303,B30,'Diseases'!D2:D4303,C30)</f>
        <v>27607</v>
      </c>
      <c r="E30" s="22" cm="1">
        <f t="array" ref="E30">_xlfn.IFERROR(IF(INDEX('Diseases'!G2:G4303,MATCH(C30,'Diseases'!D2:D4303,0))="","",INDEX('Diseases'!G2:G4303,MATCH(C30,'Diseases'!D2:D4303,0))),"")</f>
        <v>14521657</v>
      </c>
      <c r="F30" s="23" cm="1">
        <f t="array" ref="F30">_xlfn.IFERROR(IF(E30="","",D30/E30*100000),"")</f>
        <v>190.109159030543</v>
      </c>
    </row>
    <row r="31" ht="13.65" customHeight="1">
      <c r="A31" t="s" s="20">
        <v>30</v>
      </c>
      <c r="B31" t="s" s="21">
        <v>64</v>
      </c>
      <c r="C31" t="s" s="21">
        <v>32</v>
      </c>
      <c r="D31" s="22" cm="1">
        <f t="array" ref="D31">_xlfn.SUMIFS('Diseases'!F2:F4303,'Diseases'!B2:B4303,A31,'Diseases'!C2:C4303,B31,'Diseases'!D2:D4303,C31)</f>
        <v>23601</v>
      </c>
      <c r="E31" s="22" cm="1">
        <f t="array" ref="E31">_xlfn.IFERROR(IF(INDEX('Diseases'!G2:G4303,MATCH(C31,'Diseases'!D2:D4303,0))="","",INDEX('Diseases'!G2:G4303,MATCH(C31,'Diseases'!D2:D4303,0))),"")</f>
        <v>14521657</v>
      </c>
      <c r="F31" s="23" cm="1">
        <f t="array" ref="F31">_xlfn.IFERROR(IF(E31="","",D31/E31*100000),"")</f>
        <v>162.522775465637</v>
      </c>
    </row>
    <row r="32" ht="13.65" customHeight="1">
      <c r="A32" t="s" s="25">
        <v>35</v>
      </c>
      <c r="B32" t="s" s="21">
        <v>64</v>
      </c>
      <c r="C32" t="s" s="21">
        <v>32</v>
      </c>
      <c r="D32" s="22" cm="1">
        <f t="array" ref="D32">_xlfn.SUMIFS('Diseases'!F2:F4303,'Diseases'!B2:B4303,A32,'Diseases'!C2:C4303,B32,'Diseases'!D2:D4303,C32)</f>
        <v>23003</v>
      </c>
      <c r="E32" s="22" cm="1">
        <f t="array" ref="E32">_xlfn.IFERROR(IF(INDEX('Diseases'!G2:G4303,MATCH(C32,'Diseases'!D2:D4303,0))="","",INDEX('Diseases'!G2:G4303,MATCH(C32,'Diseases'!D2:D4303,0))),"")</f>
        <v>14521657</v>
      </c>
      <c r="F32" s="23" cm="1">
        <f t="array" ref="F32">_xlfn.IFERROR(IF(E32="","",D32/E32*100000),"")</f>
        <v>158.404788103727</v>
      </c>
    </row>
    <row r="33" ht="13.65" customHeight="1">
      <c r="A33" t="s" s="27">
        <v>37</v>
      </c>
      <c r="B33" t="s" s="21">
        <v>64</v>
      </c>
      <c r="C33" t="s" s="21">
        <v>32</v>
      </c>
      <c r="D33" s="22" cm="1">
        <f t="array" ref="D33">_xlfn.SUMIFS('Diseases'!F2:F4303,'Diseases'!B2:B4303,A33,'Diseases'!C2:C4303,B33,'Diseases'!D2:D4303,C33)</f>
        <v>18497</v>
      </c>
      <c r="E33" s="22" cm="1">
        <f t="array" ref="E33">_xlfn.IFERROR(IF(INDEX('Diseases'!G2:G4303,MATCH(C33,'Diseases'!D2:D4303,0))="","",INDEX('Diseases'!G2:G4303,MATCH(C33,'Diseases'!D2:D4303,0))),"")</f>
        <v>14521657</v>
      </c>
      <c r="F33" s="23" cm="1">
        <f t="array" ref="F33">_xlfn.IFERROR(IF(E33="","",D33/E33*100000),"")</f>
        <v>127.375271293076</v>
      </c>
    </row>
    <row r="34" ht="13.65" customHeight="1">
      <c r="A34" t="s" s="26">
        <v>36</v>
      </c>
      <c r="B34" t="s" s="21">
        <v>64</v>
      </c>
      <c r="C34" t="s" s="21">
        <v>32</v>
      </c>
      <c r="D34" s="22" cm="1">
        <f t="array" ref="D34">_xlfn.SUMIFS('Diseases'!F2:F4303,'Diseases'!B2:B4303,A34,'Diseases'!C2:C4303,B34,'Diseases'!D2:D4303,C34)</f>
        <v>6214</v>
      </c>
      <c r="E34" s="22" cm="1">
        <f t="array" ref="E34">_xlfn.IFERROR(IF(INDEX('Diseases'!G2:G4303,MATCH(C34,'Diseases'!D2:D4303,0))="","",INDEX('Diseases'!G2:G4303,MATCH(C34,'Diseases'!D2:D4303,0))),"")</f>
        <v>14521657</v>
      </c>
      <c r="F34" s="23" cm="1">
        <f t="array" ref="F34">_xlfn.IFERROR(IF(E34="","",D34/E34*100000),"")</f>
        <v>42.7912599781141</v>
      </c>
    </row>
    <row r="35" ht="13.65" customHeight="1">
      <c r="A35" t="s" s="29">
        <v>39</v>
      </c>
      <c r="B35" t="s" s="21">
        <v>64</v>
      </c>
      <c r="C35" t="s" s="21">
        <v>32</v>
      </c>
      <c r="D35" s="22" cm="1">
        <f t="array" ref="D35">_xlfn.SUMIFS('Diseases'!F2:F4303,'Diseases'!B2:B4303,A35,'Diseases'!C2:C4303,B35,'Diseases'!D2:D4303,C35)</f>
        <v>4696</v>
      </c>
      <c r="E35" s="22" cm="1">
        <f t="array" ref="E35">_xlfn.IFERROR(IF(INDEX('Diseases'!G2:G4303,MATCH(C35,'Diseases'!D2:D4303,0))="","",INDEX('Diseases'!G2:G4303,MATCH(C35,'Diseases'!D2:D4303,0))),"")</f>
        <v>14521657</v>
      </c>
      <c r="F35" s="23" cm="1">
        <f t="array" ref="F35">_xlfn.IFERROR(IF(E35="","",D35/E35*100000),"")</f>
        <v>32.3379074440334</v>
      </c>
    </row>
    <row r="36" ht="13.65" customHeight="1">
      <c r="A36" t="s" s="20">
        <v>30</v>
      </c>
      <c r="B36" t="s" s="21">
        <v>65</v>
      </c>
      <c r="C36" t="s" s="21">
        <v>32</v>
      </c>
      <c r="D36" s="22" cm="1">
        <f t="array" ref="D36">_xlfn.SUMIFS('Diseases'!F2:F4303,'Diseases'!B2:B4303,A36,'Diseases'!C2:C4303,B36,'Diseases'!D2:D4303,C36)</f>
        <v>33446</v>
      </c>
      <c r="E36" s="22" cm="1">
        <f t="array" ref="E36">_xlfn.IFERROR(IF(INDEX('Diseases'!G2:G4303,MATCH(C36,'Diseases'!D2:D4303,0))="","",INDEX('Diseases'!G2:G4303,MATCH(C36,'Diseases'!D2:D4303,0))),"")</f>
        <v>14521657</v>
      </c>
      <c r="F36" s="23" cm="1">
        <f t="array" ref="F36">_xlfn.IFERROR(IF(E36="","",D36/E36*100000),"")</f>
        <v>230.318069074349</v>
      </c>
    </row>
    <row r="37" ht="13.65" customHeight="1">
      <c r="A37" t="s" s="24">
        <v>34</v>
      </c>
      <c r="B37" t="s" s="21">
        <v>65</v>
      </c>
      <c r="C37" t="s" s="21">
        <v>32</v>
      </c>
      <c r="D37" s="22" cm="1">
        <f t="array" ref="D37">_xlfn.SUMIFS('Diseases'!F2:F4303,'Diseases'!B2:B4303,A37,'Diseases'!C2:C4303,B37,'Diseases'!D2:D4303,C37)</f>
        <v>26601</v>
      </c>
      <c r="E37" s="22" cm="1">
        <f t="array" ref="E37">_xlfn.IFERROR(IF(INDEX('Diseases'!G2:G4303,MATCH(C37,'Diseases'!D2:D4303,0))="","",INDEX('Diseases'!G2:G4303,MATCH(C37,'Diseases'!D2:D4303,0))),"")</f>
        <v>14521657</v>
      </c>
      <c r="F37" s="23" cm="1">
        <f t="array" ref="F37">_xlfn.IFERROR(IF(E37="","",D37/E37*100000),"")</f>
        <v>183.181574940105</v>
      </c>
    </row>
    <row r="38" ht="13.65" customHeight="1">
      <c r="A38" t="s" s="25">
        <v>35</v>
      </c>
      <c r="B38" t="s" s="21">
        <v>65</v>
      </c>
      <c r="C38" t="s" s="21">
        <v>32</v>
      </c>
      <c r="D38" s="22" cm="1">
        <f t="array" ref="D38">_xlfn.SUMIFS('Diseases'!F2:F4303,'Diseases'!B2:B4303,A38,'Diseases'!C2:C4303,B38,'Diseases'!D2:D4303,C38)</f>
        <v>19397</v>
      </c>
      <c r="E38" s="22" cm="1">
        <f t="array" ref="E38">_xlfn.IFERROR(IF(INDEX('Diseases'!G2:G4303,MATCH(C38,'Diseases'!D2:D4303,0))="","",INDEX('Diseases'!G2:G4303,MATCH(C38,'Diseases'!D2:D4303,0))),"")</f>
        <v>14521657</v>
      </c>
      <c r="F38" s="23" cm="1">
        <f t="array" ref="F38">_xlfn.IFERROR(IF(E38="","",D38/E38*100000),"")</f>
        <v>133.572911135417</v>
      </c>
    </row>
    <row r="39" ht="13.65" customHeight="1">
      <c r="A39" t="s" s="27">
        <v>37</v>
      </c>
      <c r="B39" t="s" s="21">
        <v>65</v>
      </c>
      <c r="C39" t="s" s="21">
        <v>32</v>
      </c>
      <c r="D39" s="22" cm="1">
        <f t="array" ref="D39">_xlfn.SUMIFS('Diseases'!F2:F4303,'Diseases'!B2:B4303,A39,'Diseases'!C2:C4303,B39,'Diseases'!D2:D4303,C39)</f>
        <v>14499</v>
      </c>
      <c r="E39" s="22" cm="1">
        <f t="array" ref="E39">_xlfn.IFERROR(IF(INDEX('Diseases'!G2:G4303,MATCH(C39,'Diseases'!D2:D4303,0))="","",INDEX('Diseases'!G2:G4303,MATCH(C39,'Diseases'!D2:D4303,0))),"")</f>
        <v>14521657</v>
      </c>
      <c r="F39" s="23" cm="1">
        <f t="array" ref="F39">_xlfn.IFERROR(IF(E39="","",D39/E39*100000),"")</f>
        <v>99.8439778601023</v>
      </c>
    </row>
    <row r="40" ht="13.65" customHeight="1">
      <c r="A40" t="s" s="29">
        <v>39</v>
      </c>
      <c r="B40" t="s" s="21">
        <v>65</v>
      </c>
      <c r="C40" t="s" s="21">
        <v>32</v>
      </c>
      <c r="D40" s="22" cm="1">
        <f t="array" ref="D40">_xlfn.SUMIFS('Diseases'!F2:F4303,'Diseases'!B2:B4303,A40,'Diseases'!C2:C4303,B40,'Diseases'!D2:D4303,C40)</f>
        <v>5711</v>
      </c>
      <c r="E40" s="22" cm="1">
        <f t="array" ref="E40">_xlfn.IFERROR(IF(INDEX('Diseases'!G2:G4303,MATCH(C40,'Diseases'!D2:D4303,0))="","",INDEX('Diseases'!G2:G4303,MATCH(C40,'Diseases'!D2:D4303,0))),"")</f>
        <v>14521657</v>
      </c>
      <c r="F40" s="23" cm="1">
        <f t="array" ref="F40">_xlfn.IFERROR(IF(E40="","",D40/E40*100000),"")</f>
        <v>39.327467932895</v>
      </c>
    </row>
    <row r="41" ht="13.65" customHeight="1">
      <c r="A41" t="s" s="26">
        <v>36</v>
      </c>
      <c r="B41" t="s" s="21">
        <v>65</v>
      </c>
      <c r="C41" t="s" s="21">
        <v>32</v>
      </c>
      <c r="D41" s="22" cm="1">
        <f t="array" ref="D41">_xlfn.SUMIFS('Diseases'!F2:F4303,'Diseases'!B2:B4303,A41,'Diseases'!C2:C4303,B41,'Diseases'!D2:D4303,C41)</f>
        <v>4266</v>
      </c>
      <c r="E41" s="22" cm="1">
        <f t="array" ref="E41">_xlfn.IFERROR(IF(INDEX('Diseases'!G2:G4303,MATCH(C41,'Diseases'!D2:D4303,0))="","",INDEX('Diseases'!G2:G4303,MATCH(C41,'Diseases'!D2:D4303,0))),"")</f>
        <v>14521657</v>
      </c>
      <c r="F41" s="23" cm="1">
        <f t="array" ref="F41">_xlfn.IFERROR(IF(E41="","",D41/E41*100000),"")</f>
        <v>29.3768128526931</v>
      </c>
    </row>
    <row r="42" ht="13.65" customHeight="1">
      <c r="A42" t="s" s="20">
        <v>30</v>
      </c>
      <c r="B42" t="s" s="21">
        <v>66</v>
      </c>
      <c r="C42" t="s" s="21">
        <v>32</v>
      </c>
      <c r="D42" s="22" cm="1">
        <f t="array" ref="D42">_xlfn.SUMIFS('Diseases'!F2:F4303,'Diseases'!B2:B4303,A42,'Diseases'!C2:C4303,B42,'Diseases'!D2:D4303,C42)</f>
        <v>32429</v>
      </c>
      <c r="E42" s="22" cm="1">
        <f t="array" ref="E42">_xlfn.IFERROR(IF(INDEX('Diseases'!G2:G4303,MATCH(C42,'Diseases'!D2:D4303,0))="","",INDEX('Diseases'!G2:G4303,MATCH(C42,'Diseases'!D2:D4303,0))),"")</f>
        <v>14521657</v>
      </c>
      <c r="F42" s="23" cm="1">
        <f t="array" ref="F42">_xlfn.IFERROR(IF(E42="","",D42/E42*100000),"")</f>
        <v>223.314736052504</v>
      </c>
    </row>
    <row r="43" ht="13.65" customHeight="1">
      <c r="A43" t="s" s="24">
        <v>34</v>
      </c>
      <c r="B43" t="s" s="21">
        <v>66</v>
      </c>
      <c r="C43" t="s" s="21">
        <v>32</v>
      </c>
      <c r="D43" s="22" cm="1">
        <f t="array" ref="D43">_xlfn.SUMIFS('Diseases'!F2:F4303,'Diseases'!B2:B4303,A43,'Diseases'!C2:C4303,B43,'Diseases'!D2:D4303,C43)</f>
        <v>18869</v>
      </c>
      <c r="E43" s="22" cm="1">
        <f t="array" ref="E43">_xlfn.IFERROR(IF(INDEX('Diseases'!G2:G4303,MATCH(C43,'Diseases'!D2:D4303,0))="","",INDEX('Diseases'!G2:G4303,MATCH(C43,'Diseases'!D2:D4303,0))),"")</f>
        <v>14521657</v>
      </c>
      <c r="F43" s="23" cm="1">
        <f t="array" ref="F43">_xlfn.IFERROR(IF(E43="","",D43/E43*100000),"")</f>
        <v>129.936962427910</v>
      </c>
    </row>
    <row r="44" ht="13.65" customHeight="1">
      <c r="A44" t="s" s="25">
        <v>35</v>
      </c>
      <c r="B44" t="s" s="21">
        <v>66</v>
      </c>
      <c r="C44" t="s" s="21">
        <v>32</v>
      </c>
      <c r="D44" s="22" cm="1">
        <f t="array" ref="D44">_xlfn.SUMIFS('Diseases'!F2:F4303,'Diseases'!B2:B4303,A44,'Diseases'!C2:C4303,B44,'Diseases'!D2:D4303,C44)</f>
        <v>13551</v>
      </c>
      <c r="E44" s="22" cm="1">
        <f t="array" ref="E44">_xlfn.IFERROR(IF(INDEX('Diseases'!G2:G4303,MATCH(C44,'Diseases'!D2:D4303,0))="","",INDEX('Diseases'!G2:G4303,MATCH(C44,'Diseases'!D2:D4303,0))),"")</f>
        <v>14521657</v>
      </c>
      <c r="F44" s="23" cm="1">
        <f t="array" ref="F44">_xlfn.IFERROR(IF(E44="","",D44/E44*100000),"")</f>
        <v>93.3157972261705</v>
      </c>
    </row>
    <row r="45" ht="13.65" customHeight="1">
      <c r="A45" t="s" s="27">
        <v>37</v>
      </c>
      <c r="B45" t="s" s="21">
        <v>66</v>
      </c>
      <c r="C45" t="s" s="21">
        <v>32</v>
      </c>
      <c r="D45" s="22" cm="1">
        <f t="array" ref="D45">_xlfn.SUMIFS('Diseases'!F2:F4303,'Diseases'!B2:B4303,A45,'Diseases'!C2:C4303,B45,'Diseases'!D2:D4303,C45)</f>
        <v>10065</v>
      </c>
      <c r="E45" s="22" cm="1">
        <f t="array" ref="E45">_xlfn.IFERROR(IF(INDEX('Diseases'!G2:G4303,MATCH(C45,'Diseases'!D2:D4303,0))="","",INDEX('Diseases'!G2:G4303,MATCH(C45,'Diseases'!D2:D4303,0))),"")</f>
        <v>14521657</v>
      </c>
      <c r="F45" s="23" cm="1">
        <f t="array" ref="F45">_xlfn.IFERROR(IF(E45="","",D45/E45*100000),"")</f>
        <v>69.3102722368391</v>
      </c>
    </row>
    <row r="46" ht="13.65" customHeight="1">
      <c r="A46" t="s" s="29">
        <v>39</v>
      </c>
      <c r="B46" t="s" s="21">
        <v>66</v>
      </c>
      <c r="C46" t="s" s="21">
        <v>32</v>
      </c>
      <c r="D46" s="22" cm="1">
        <f t="array" ref="D46">_xlfn.SUMIFS('Diseases'!F2:F4303,'Diseases'!B2:B4303,A46,'Diseases'!C2:C4303,B46,'Diseases'!D2:D4303,C46)</f>
        <v>4961</v>
      </c>
      <c r="E46" s="22" cm="1">
        <f t="array" ref="E46">_xlfn.IFERROR(IF(INDEX('Diseases'!G2:G4303,MATCH(C46,'Diseases'!D2:D4303,0))="","",INDEX('Diseases'!G2:G4303,MATCH(C46,'Diseases'!D2:D4303,0))),"")</f>
        <v>14521657</v>
      </c>
      <c r="F46" s="23" cm="1">
        <f t="array" ref="F46">_xlfn.IFERROR(IF(E46="","",D46/E46*100000),"")</f>
        <v>34.1627680642781</v>
      </c>
    </row>
    <row r="47" ht="13.65" customHeight="1">
      <c r="A47" t="s" s="26">
        <v>36</v>
      </c>
      <c r="B47" t="s" s="21">
        <v>66</v>
      </c>
      <c r="C47" t="s" s="21">
        <v>32</v>
      </c>
      <c r="D47" s="22" cm="1">
        <f t="array" ref="D47">_xlfn.SUMIFS('Diseases'!F2:F4303,'Diseases'!B2:B4303,A47,'Diseases'!C2:C4303,B47,'Diseases'!D2:D4303,C47)</f>
        <v>2482</v>
      </c>
      <c r="E47" s="22" cm="1">
        <f t="array" ref="E47">_xlfn.IFERROR(IF(INDEX('Diseases'!G2:G4303,MATCH(C47,'Diseases'!D2:D4303,0))="","",INDEX('Diseases'!G2:G4303,MATCH(C47,'Diseases'!D2:D4303,0))),"")</f>
        <v>14521657</v>
      </c>
      <c r="F47" s="23" cm="1">
        <f t="array" ref="F47">_xlfn.IFERROR(IF(E47="","",D47/E47*100000),"")</f>
        <v>17.0917134318763</v>
      </c>
    </row>
    <row r="48" ht="13.65" customHeight="1">
      <c r="A48" t="s" s="20">
        <v>30</v>
      </c>
      <c r="B48" t="s" s="21">
        <v>67</v>
      </c>
      <c r="C48" t="s" s="21">
        <v>32</v>
      </c>
      <c r="D48" s="22" cm="1">
        <f t="array" ref="D48">_xlfn.SUMIFS('Diseases'!F2:F4303,'Diseases'!B2:B4303,A48,'Diseases'!C2:C4303,B48,'Diseases'!D2:D4303,C48)</f>
        <v>58159</v>
      </c>
      <c r="E48" s="22" cm="1">
        <f t="array" ref="E48">_xlfn.IFERROR(IF(INDEX('Diseases'!G2:G4303,MATCH(C48,'Diseases'!D2:D4303,0))="","",INDEX('Diseases'!G2:G4303,MATCH(C48,'Diseases'!D2:D4303,0))),"")</f>
        <v>14521657</v>
      </c>
      <c r="F48" s="23" cm="1">
        <f t="array" ref="F48">_xlfn.IFERROR(IF(E48="","",D48/E48*100000),"")</f>
        <v>400.498372878522</v>
      </c>
    </row>
    <row r="49" ht="13.65" customHeight="1">
      <c r="A49" t="s" s="24">
        <v>34</v>
      </c>
      <c r="B49" t="s" s="21">
        <v>67</v>
      </c>
      <c r="C49" t="s" s="21">
        <v>32</v>
      </c>
      <c r="D49" s="22" cm="1">
        <f t="array" ref="D49">_xlfn.SUMIFS('Diseases'!F2:F4303,'Diseases'!B2:B4303,A49,'Diseases'!C2:C4303,B49,'Diseases'!D2:D4303,C49)</f>
        <v>26914</v>
      </c>
      <c r="E49" s="22" cm="1">
        <f t="array" ref="E49">_xlfn.IFERROR(IF(INDEX('Diseases'!G2:G4303,MATCH(C49,'Diseases'!D2:D4303,0))="","",INDEX('Diseases'!G2:G4303,MATCH(C49,'Diseases'!D2:D4303,0))),"")</f>
        <v>14521657</v>
      </c>
      <c r="F49" s="23" cm="1">
        <f t="array" ref="F49">_xlfn.IFERROR(IF(E49="","",D49/E49*100000),"")</f>
        <v>185.336976351941</v>
      </c>
    </row>
    <row r="50" ht="13.65" customHeight="1">
      <c r="A50" t="s" s="27">
        <v>37</v>
      </c>
      <c r="B50" t="s" s="21">
        <v>67</v>
      </c>
      <c r="C50" t="s" s="21">
        <v>32</v>
      </c>
      <c r="D50" s="22" cm="1">
        <f t="array" ref="D50">_xlfn.SUMIFS('Diseases'!F2:F4303,'Diseases'!B2:B4303,A50,'Diseases'!C2:C4303,B50,'Diseases'!D2:D4303,C50)</f>
        <v>18439</v>
      </c>
      <c r="E50" s="22" cm="1">
        <f t="array" ref="E50">_xlfn.IFERROR(IF(INDEX('Diseases'!G2:G4303,MATCH(C50,'Diseases'!D2:D4303,0))="","",INDEX('Diseases'!G2:G4303,MATCH(C50,'Diseases'!D2:D4303,0))),"")</f>
        <v>14521657</v>
      </c>
      <c r="F50" s="23" cm="1">
        <f t="array" ref="F50">_xlfn.IFERROR(IF(E50="","",D50/E50*100000),"")</f>
        <v>126.975867836570</v>
      </c>
    </row>
    <row r="51" ht="13.65" customHeight="1">
      <c r="A51" t="s" s="25">
        <v>35</v>
      </c>
      <c r="B51" t="s" s="21">
        <v>67</v>
      </c>
      <c r="C51" t="s" s="21">
        <v>32</v>
      </c>
      <c r="D51" s="22" cm="1">
        <f t="array" ref="D51">_xlfn.SUMIFS('Diseases'!F2:F4303,'Diseases'!B2:B4303,A51,'Diseases'!C2:C4303,B51,'Diseases'!D2:D4303,C51)</f>
        <v>9623</v>
      </c>
      <c r="E51" s="22" cm="1">
        <f t="array" ref="E51">_xlfn.IFERROR(IF(INDEX('Diseases'!G2:G4303,MATCH(C51,'Diseases'!D2:D4303,0))="","",INDEX('Diseases'!G2:G4303,MATCH(C51,'Diseases'!D2:D4303,0))),"")</f>
        <v>14521657</v>
      </c>
      <c r="F51" s="23" cm="1">
        <f t="array" ref="F51">_xlfn.IFERROR(IF(E51="","",D51/E51*100000),"")</f>
        <v>66.2665424476008</v>
      </c>
    </row>
    <row r="52" ht="13.65" customHeight="1">
      <c r="A52" t="s" s="29">
        <v>39</v>
      </c>
      <c r="B52" t="s" s="21">
        <v>67</v>
      </c>
      <c r="C52" t="s" s="21">
        <v>32</v>
      </c>
      <c r="D52" s="22" cm="1">
        <f t="array" ref="D52">_xlfn.SUMIFS('Diseases'!F2:F4303,'Diseases'!B2:B4303,A52,'Diseases'!C2:C4303,B52,'Diseases'!D2:D4303,C52)</f>
        <v>5969</v>
      </c>
      <c r="E52" s="22" cm="1">
        <f t="array" ref="E52">_xlfn.IFERROR(IF(INDEX('Diseases'!G2:G4303,MATCH(C52,'Diseases'!D2:D4303,0))="","",INDEX('Diseases'!G2:G4303,MATCH(C52,'Diseases'!D2:D4303,0))),"")</f>
        <v>14521657</v>
      </c>
      <c r="F52" s="23" cm="1">
        <f t="array" ref="F52">_xlfn.IFERROR(IF(E52="","",D52/E52*100000),"")</f>
        <v>41.1041246876992</v>
      </c>
    </row>
    <row r="53" ht="13.65" customHeight="1">
      <c r="A53" t="s" s="20">
        <v>30</v>
      </c>
      <c r="B53" t="s" s="21">
        <v>68</v>
      </c>
      <c r="C53" t="s" s="21">
        <v>32</v>
      </c>
      <c r="D53" s="22" cm="1">
        <f t="array" ref="D53">_xlfn.SUMIFS('Diseases'!F2:F4303,'Diseases'!B2:B4303,A53,'Diseases'!C2:C4303,B53,'Diseases'!D2:D4303,C53)</f>
        <v>71616</v>
      </c>
      <c r="E53" s="22" cm="1">
        <f t="array" ref="E53">_xlfn.IFERROR(IF(INDEX('Diseases'!G2:G4303,MATCH(C53,'Diseases'!D2:D4303,0))="","",INDEX('Diseases'!G2:G4303,MATCH(C53,'Diseases'!D2:D4303,0))),"")</f>
        <v>14521657</v>
      </c>
      <c r="F53" s="23" cm="1">
        <f t="array" ref="F53">_xlfn.IFERROR(IF(E53="","",D53/E53*100000),"")</f>
        <v>493.166861054493</v>
      </c>
    </row>
    <row r="54" ht="13.65" customHeight="1">
      <c r="A54" t="s" s="24">
        <v>34</v>
      </c>
      <c r="B54" t="s" s="21">
        <v>68</v>
      </c>
      <c r="C54" t="s" s="21">
        <v>32</v>
      </c>
      <c r="D54" s="22" cm="1">
        <f t="array" ref="D54">_xlfn.SUMIFS('Diseases'!F2:F4303,'Diseases'!B2:B4303,A54,'Diseases'!C2:C4303,B54,'Diseases'!D2:D4303,C54)</f>
        <v>35904</v>
      </c>
      <c r="E54" s="22" cm="1">
        <f t="array" ref="E54">_xlfn.IFERROR(IF(INDEX('Diseases'!G2:G4303,MATCH(C54,'Diseases'!D2:D4303,0))="","",INDEX('Diseases'!G2:G4303,MATCH(C54,'Diseases'!D2:D4303,0))),"")</f>
        <v>14521657</v>
      </c>
      <c r="F54" s="23" cm="1">
        <f t="array" ref="F54">_xlfn.IFERROR(IF(E54="","",D54/E54*100000),"")</f>
        <v>247.244512110429</v>
      </c>
    </row>
    <row r="55" ht="13.65" customHeight="1">
      <c r="A55" t="s" s="27">
        <v>37</v>
      </c>
      <c r="B55" t="s" s="21">
        <v>68</v>
      </c>
      <c r="C55" t="s" s="21">
        <v>32</v>
      </c>
      <c r="D55" s="22" cm="1">
        <f t="array" ref="D55">_xlfn.SUMIFS('Diseases'!F2:F4303,'Diseases'!B2:B4303,A55,'Diseases'!C2:C4303,B55,'Diseases'!D2:D4303,C55)</f>
        <v>20817</v>
      </c>
      <c r="E55" s="22" cm="1">
        <f t="array" ref="E55">_xlfn.IFERROR(IF(INDEX('Diseases'!G2:G4303,MATCH(C55,'Diseases'!D2:D4303,0))="","",INDEX('Diseases'!G2:G4303,MATCH(C55,'Diseases'!D2:D4303,0))),"")</f>
        <v>14521657</v>
      </c>
      <c r="F55" s="23" cm="1">
        <f t="array" ref="F55">_xlfn.IFERROR(IF(E55="","",D55/E55*100000),"")</f>
        <v>143.351409553331</v>
      </c>
    </row>
    <row r="56" ht="13.65" customHeight="1">
      <c r="A56" t="s" s="25">
        <v>35</v>
      </c>
      <c r="B56" t="s" s="21">
        <v>68</v>
      </c>
      <c r="C56" t="s" s="21">
        <v>32</v>
      </c>
      <c r="D56" s="22" cm="1">
        <f t="array" ref="D56">_xlfn.SUMIFS('Diseases'!F2:F4303,'Diseases'!B2:B4303,A56,'Diseases'!C2:C4303,B56,'Diseases'!D2:D4303,C56)</f>
        <v>12120</v>
      </c>
      <c r="E56" s="22" cm="1">
        <f t="array" ref="E56">_xlfn.IFERROR(IF(INDEX('Diseases'!G2:G4303,MATCH(C56,'Diseases'!D2:D4303,0))="","",INDEX('Diseases'!G2:G4303,MATCH(C56,'Diseases'!D2:D4303,0))),"")</f>
        <v>14521657</v>
      </c>
      <c r="F56" s="23" cm="1">
        <f t="array" ref="F56">_xlfn.IFERROR(IF(E56="","",D56/E56*100000),"")</f>
        <v>83.4615498768495</v>
      </c>
    </row>
    <row r="57" ht="13.65" customHeight="1">
      <c r="A57" t="s" s="29">
        <v>39</v>
      </c>
      <c r="B57" t="s" s="21">
        <v>68</v>
      </c>
      <c r="C57" t="s" s="21">
        <v>32</v>
      </c>
      <c r="D57" s="22" cm="1">
        <f t="array" ref="D57">_xlfn.SUMIFS('Diseases'!F2:F4303,'Diseases'!B2:B4303,A57,'Diseases'!C2:C4303,B57,'Diseases'!D2:D4303,C57)</f>
        <v>6967</v>
      </c>
      <c r="E57" s="22" cm="1">
        <f t="array" ref="E57">_xlfn.IFERROR(IF(INDEX('Diseases'!G2:G4303,MATCH(C57,'Diseases'!D2:D4303,0))="","",INDEX('Diseases'!G2:G4303,MATCH(C57,'Diseases'!D2:D4303,0))),"")</f>
        <v>14521657</v>
      </c>
      <c r="F57" s="23" cm="1">
        <f t="array" ref="F57">_xlfn.IFERROR(IF(E57="","",D57/E57*100000),"")</f>
        <v>47.9766186462055</v>
      </c>
    </row>
    <row r="58" ht="13.65" customHeight="1">
      <c r="A58" t="s" s="20">
        <v>30</v>
      </c>
      <c r="B58" t="s" s="21">
        <v>69</v>
      </c>
      <c r="C58" t="s" s="21">
        <v>32</v>
      </c>
      <c r="D58" s="22" cm="1">
        <f t="array" ref="D58">_xlfn.SUMIFS('Diseases'!F2:F4303,'Diseases'!B2:B4303,A58,'Diseases'!C2:C4303,B58,'Diseases'!D2:D4303,C58)</f>
        <v>38092</v>
      </c>
      <c r="E58" s="22" cm="1">
        <f t="array" ref="E58">_xlfn.IFERROR(IF(INDEX('Diseases'!G2:G4303,MATCH(C58,'Diseases'!D2:D4303,0))="","",INDEX('Diseases'!G2:G4303,MATCH(C58,'Diseases'!D2:D4303,0))),"")</f>
        <v>14521657</v>
      </c>
      <c r="F58" s="23" cm="1">
        <f t="array" ref="F58">_xlfn.IFERROR(IF(E58="","",D58/E58*100000),"")</f>
        <v>262.311663193808</v>
      </c>
    </row>
    <row r="59" ht="13.65" customHeight="1">
      <c r="A59" t="s" s="24">
        <v>34</v>
      </c>
      <c r="B59" t="s" s="21">
        <v>69</v>
      </c>
      <c r="C59" t="s" s="21">
        <v>32</v>
      </c>
      <c r="D59" s="22" cm="1">
        <f t="array" ref="D59">_xlfn.SUMIFS('Diseases'!F2:F4303,'Diseases'!B2:B4303,A59,'Diseases'!C2:C4303,B59,'Diseases'!D2:D4303,C59)</f>
        <v>31700</v>
      </c>
      <c r="E59" s="22" cm="1">
        <f t="array" ref="E59">_xlfn.IFERROR(IF(INDEX('Diseases'!G2:G4303,MATCH(C59,'Diseases'!D2:D4303,0))="","",INDEX('Diseases'!G2:G4303,MATCH(C59,'Diseases'!D2:D4303,0))),"")</f>
        <v>14521657</v>
      </c>
      <c r="F59" s="23" cm="1">
        <f t="array" ref="F59">_xlfn.IFERROR(IF(E59="","",D59/E59*100000),"")</f>
        <v>218.294647780209</v>
      </c>
    </row>
    <row r="60" ht="13.65" customHeight="1">
      <c r="A60" t="s" s="27">
        <v>37</v>
      </c>
      <c r="B60" t="s" s="21">
        <v>69</v>
      </c>
      <c r="C60" t="s" s="21">
        <v>32</v>
      </c>
      <c r="D60" s="22" cm="1">
        <f t="array" ref="D60">_xlfn.SUMIFS('Diseases'!F2:F4303,'Diseases'!B2:B4303,A60,'Diseases'!C2:C4303,B60,'Diseases'!D2:D4303,C60)</f>
        <v>21472</v>
      </c>
      <c r="E60" s="22" cm="1">
        <f t="array" ref="E60">_xlfn.IFERROR(IF(INDEX('Diseases'!G2:G4303,MATCH(C60,'Diseases'!D2:D4303,0))="","",INDEX('Diseases'!G2:G4303,MATCH(C60,'Diseases'!D2:D4303,0))),"")</f>
        <v>14521657</v>
      </c>
      <c r="F60" s="23" cm="1">
        <f t="array" ref="F60">_xlfn.IFERROR(IF(E60="","",D60/E60*100000),"")</f>
        <v>147.861914105257</v>
      </c>
    </row>
    <row r="61" ht="13.65" customHeight="1">
      <c r="A61" t="s" s="25">
        <v>35</v>
      </c>
      <c r="B61" t="s" s="21">
        <v>69</v>
      </c>
      <c r="C61" t="s" s="21">
        <v>32</v>
      </c>
      <c r="D61" s="22" cm="1">
        <f t="array" ref="D61">_xlfn.SUMIFS('Diseases'!F2:F4303,'Diseases'!B2:B4303,A61,'Diseases'!C2:C4303,B61,'Diseases'!D2:D4303,C61)</f>
        <v>9691</v>
      </c>
      <c r="E61" s="22" cm="1">
        <f t="array" ref="E61">_xlfn.IFERROR(IF(INDEX('Diseases'!G2:G4303,MATCH(C61,'Diseases'!D2:D4303,0))="","",INDEX('Diseases'!G2:G4303,MATCH(C61,'Diseases'!D2:D4303,0))),"")</f>
        <v>14521657</v>
      </c>
      <c r="F61" s="23" cm="1">
        <f t="array" ref="F61">_xlfn.IFERROR(IF(E61="","",D61/E61*100000),"")</f>
        <v>66.73480856902211</v>
      </c>
    </row>
    <row r="62" ht="13.65" customHeight="1">
      <c r="A62" t="s" s="29">
        <v>39</v>
      </c>
      <c r="B62" t="s" s="21">
        <v>69</v>
      </c>
      <c r="C62" t="s" s="21">
        <v>32</v>
      </c>
      <c r="D62" s="22" cm="1">
        <f t="array" ref="D62">_xlfn.SUMIFS('Diseases'!F2:F4303,'Diseases'!B2:B4303,A62,'Diseases'!C2:C4303,B62,'Diseases'!D2:D4303,C62)</f>
        <v>5820</v>
      </c>
      <c r="E62" s="22" cm="1">
        <f t="array" ref="E62">_xlfn.IFERROR(IF(INDEX('Diseases'!G2:G4303,MATCH(C62,'Diseases'!D2:D4303,0))="","",INDEX('Diseases'!G2:G4303,MATCH(C62,'Diseases'!D2:D4303,0))),"")</f>
        <v>14521657</v>
      </c>
      <c r="F62" s="23" cm="1">
        <f t="array" ref="F62">_xlfn.IFERROR(IF(E62="","",D62/E62*100000),"")</f>
        <v>40.0780709804673</v>
      </c>
    </row>
    <row r="63" ht="13.65" customHeight="1">
      <c r="A63" t="s" s="26">
        <v>36</v>
      </c>
      <c r="B63" t="s" s="21">
        <v>69</v>
      </c>
      <c r="C63" t="s" s="21">
        <v>32</v>
      </c>
      <c r="D63" s="22" cm="1">
        <f t="array" ref="D63">_xlfn.SUMIFS('Diseases'!F2:F4303,'Diseases'!B2:B4303,A63,'Diseases'!C2:C4303,B63,'Diseases'!D2:D4303,C63)</f>
        <v>3014</v>
      </c>
      <c r="E63" s="22" cm="1">
        <f t="array" ref="E63">_xlfn.IFERROR(IF(INDEX('Diseases'!G2:G4303,MATCH(C63,'Diseases'!D2:D4303,0))="","",INDEX('Diseases'!G2:G4303,MATCH(C63,'Diseases'!D2:D4303,0))),"")</f>
        <v>14521657</v>
      </c>
      <c r="F63" s="23" cm="1">
        <f t="array" ref="F63">_xlfn.IFERROR(IF(E63="","",D63/E63*100000),"")</f>
        <v>20.7552072053485</v>
      </c>
    </row>
    <row r="64" ht="13.65" customHeight="1">
      <c r="A64" t="s" s="20">
        <v>30</v>
      </c>
      <c r="B64" t="s" s="21">
        <v>70</v>
      </c>
      <c r="C64" t="s" s="21">
        <v>32</v>
      </c>
      <c r="D64" s="22" cm="1">
        <f t="array" ref="D64">_xlfn.SUMIFS('Diseases'!F2:F4303,'Diseases'!B2:B4303,A64,'Diseases'!C2:C4303,B64,'Diseases'!D2:D4303,C64)</f>
        <v>44325</v>
      </c>
      <c r="E64" s="22" cm="1">
        <f t="array" ref="E64">_xlfn.IFERROR(IF(INDEX('Diseases'!G2:G4303,MATCH(C64,'Diseases'!D2:D4303,0))="","",INDEX('Diseases'!G2:G4303,MATCH(C64,'Diseases'!D2:D4303,0))),"")</f>
        <v>14521657</v>
      </c>
      <c r="F64" s="23" cm="1">
        <f t="array" ref="F64">_xlfn.IFERROR(IF(E64="","",D64/E64*100000),"")</f>
        <v>305.233762235260</v>
      </c>
    </row>
    <row r="65" ht="13.65" customHeight="1">
      <c r="A65" t="s" s="24">
        <v>34</v>
      </c>
      <c r="B65" t="s" s="21">
        <v>70</v>
      </c>
      <c r="C65" t="s" s="21">
        <v>32</v>
      </c>
      <c r="D65" s="22" cm="1">
        <f t="array" ref="D65">_xlfn.SUMIFS('Diseases'!F2:F4303,'Diseases'!B2:B4303,A65,'Diseases'!C2:C4303,B65,'Diseases'!D2:D4303,C65)</f>
        <v>28123</v>
      </c>
      <c r="E65" s="22" cm="1">
        <f t="array" ref="E65">_xlfn.IFERROR(IF(INDEX('Diseases'!G2:G4303,MATCH(C65,'Diseases'!D2:D4303,0))="","",INDEX('Diseases'!G2:G4303,MATCH(C65,'Diseases'!D2:D4303,0))),"")</f>
        <v>14521657</v>
      </c>
      <c r="F65" s="23" cm="1">
        <f t="array" ref="F65">_xlfn.IFERROR(IF(E65="","",D65/E65*100000),"")</f>
        <v>193.662472540152</v>
      </c>
    </row>
    <row r="66" ht="13.65" customHeight="1">
      <c r="A66" t="s" s="27">
        <v>37</v>
      </c>
      <c r="B66" t="s" s="21">
        <v>70</v>
      </c>
      <c r="C66" t="s" s="21">
        <v>32</v>
      </c>
      <c r="D66" s="22" cm="1">
        <f t="array" ref="D66">_xlfn.SUMIFS('Diseases'!F2:F4303,'Diseases'!B2:B4303,A66,'Diseases'!C2:C4303,B66,'Diseases'!D2:D4303,C66)</f>
        <v>18274</v>
      </c>
      <c r="E66" s="22" cm="1">
        <f t="array" ref="E66">_xlfn.IFERROR(IF(INDEX('Diseases'!G2:G4303,MATCH(C66,'Diseases'!D2:D4303,0))="","",INDEX('Diseases'!G2:G4303,MATCH(C66,'Diseases'!D2:D4303,0))),"")</f>
        <v>14521657</v>
      </c>
      <c r="F66" s="23" cm="1">
        <f t="array" ref="F66">_xlfn.IFERROR(IF(E66="","",D66/E66*100000),"")</f>
        <v>125.839633865474</v>
      </c>
    </row>
    <row r="67" ht="13.65" customHeight="1">
      <c r="A67" t="s" s="25">
        <v>35</v>
      </c>
      <c r="B67" t="s" s="21">
        <v>70</v>
      </c>
      <c r="C67" t="s" s="21">
        <v>32</v>
      </c>
      <c r="D67" s="22" cm="1">
        <f t="array" ref="D67">_xlfn.SUMIFS('Diseases'!F2:F4303,'Diseases'!B2:B4303,A67,'Diseases'!C2:C4303,B67,'Diseases'!D2:D4303,C67)</f>
        <v>8056</v>
      </c>
      <c r="E67" s="22" cm="1">
        <f t="array" ref="E67">_xlfn.IFERROR(IF(INDEX('Diseases'!G2:G4303,MATCH(C67,'Diseases'!D2:D4303,0))="","",INDEX('Diseases'!G2:G4303,MATCH(C67,'Diseases'!D2:D4303,0))),"")</f>
        <v>14521657</v>
      </c>
      <c r="F67" s="23" cm="1">
        <f t="array" ref="F67">_xlfn.IFERROR(IF(E67="","",D67/E67*100000),"")</f>
        <v>55.4757628554372</v>
      </c>
    </row>
    <row r="68" ht="13.65" customHeight="1">
      <c r="A68" t="s" s="29">
        <v>39</v>
      </c>
      <c r="B68" t="s" s="21">
        <v>70</v>
      </c>
      <c r="C68" t="s" s="21">
        <v>32</v>
      </c>
      <c r="D68" s="22" cm="1">
        <f t="array" ref="D68">_xlfn.SUMIFS('Diseases'!F2:F4303,'Diseases'!B2:B4303,A68,'Diseases'!C2:C4303,B68,'Diseases'!D2:D4303,C68)</f>
        <v>4753</v>
      </c>
      <c r="E68" s="22" cm="1">
        <f t="array" ref="E68">_xlfn.IFERROR(IF(INDEX('Diseases'!G2:G4303,MATCH(C68,'Diseases'!D2:D4303,0))="","",INDEX('Diseases'!G2:G4303,MATCH(C68,'Diseases'!D2:D4303,0))),"")</f>
        <v>14521657</v>
      </c>
      <c r="F68" s="23" cm="1">
        <f t="array" ref="F68">_xlfn.IFERROR(IF(E68="","",D68/E68*100000),"")</f>
        <v>32.7304246340483</v>
      </c>
    </row>
    <row r="69" ht="13.65" customHeight="1">
      <c r="A69" t="s" s="20">
        <v>30</v>
      </c>
      <c r="B69" t="s" s="21">
        <v>31</v>
      </c>
      <c r="C69" t="s" s="21">
        <v>38</v>
      </c>
      <c r="D69" s="22" cm="1">
        <f t="array" ref="D69">_xlfn.SUMIFS('Diseases'!F2:F4303,'Diseases'!B2:B4303,A69,'Diseases'!C2:C4303,B69,'Diseases'!D2:D4303,C69)</f>
        <v>21610</v>
      </c>
      <c r="E69" s="22" cm="1">
        <f t="array" ref="E69">_xlfn.IFERROR(IF(INDEX('Diseases'!G2:G4303,MATCH(C69,'Diseases'!D2:D4303,0))="","",INDEX('Diseases'!G2:G4303,MATCH(C69,'Diseases'!D2:D4303,0))),"")</f>
        <v>1874281</v>
      </c>
      <c r="F69" s="23" cm="1">
        <f t="array" ref="F69">_xlfn.IFERROR(IF(E69="","",D69/E69*100000),"")</f>
        <v>1152.975460990110</v>
      </c>
    </row>
    <row r="70" ht="13.65" customHeight="1">
      <c r="A70" t="s" s="24">
        <v>34</v>
      </c>
      <c r="B70" t="s" s="21">
        <v>31</v>
      </c>
      <c r="C70" t="s" s="21">
        <v>38</v>
      </c>
      <c r="D70" s="22" cm="1">
        <f t="array" ref="D70">_xlfn.SUMIFS('Diseases'!F2:F4303,'Diseases'!B2:B4303,A70,'Diseases'!C2:C4303,B70,'Diseases'!D2:D4303,C70)</f>
        <v>8075</v>
      </c>
      <c r="E70" s="22" cm="1">
        <f t="array" ref="E70">_xlfn.IFERROR(IF(INDEX('Diseases'!G2:G4303,MATCH(C70,'Diseases'!D2:D4303,0))="","",INDEX('Diseases'!G2:G4303,MATCH(C70,'Diseases'!D2:D4303,0))),"")</f>
        <v>1874281</v>
      </c>
      <c r="F70" s="23" cm="1">
        <f t="array" ref="F70">_xlfn.IFERROR(IF(E70="","",D70/E70*100000),"")</f>
        <v>430.831876330177</v>
      </c>
    </row>
    <row r="71" ht="13.65" customHeight="1">
      <c r="A71" t="s" s="29">
        <v>39</v>
      </c>
      <c r="B71" t="s" s="21">
        <v>31</v>
      </c>
      <c r="C71" t="s" s="21">
        <v>38</v>
      </c>
      <c r="D71" s="22" cm="1">
        <f t="array" ref="D71">_xlfn.SUMIFS('Diseases'!F2:F4303,'Diseases'!B2:B4303,A71,'Diseases'!C2:C4303,B71,'Diseases'!D2:D4303,C71)</f>
        <v>3731</v>
      </c>
      <c r="E71" s="22" cm="1">
        <f t="array" ref="E71">_xlfn.IFERROR(IF(INDEX('Diseases'!G2:G4303,MATCH(C71,'Diseases'!D2:D4303,0))="","",INDEX('Diseases'!G2:G4303,MATCH(C71,'Diseases'!D2:D4303,0))),"")</f>
        <v>1874281</v>
      </c>
      <c r="F71" s="23" cm="1">
        <f t="array" ref="F71">_xlfn.IFERROR(IF(E71="","",D71/E71*100000),"")</f>
        <v>199.063000691999</v>
      </c>
    </row>
    <row r="72" ht="13.65" customHeight="1">
      <c r="A72" t="s" s="25">
        <v>35</v>
      </c>
      <c r="B72" t="s" s="21">
        <v>31</v>
      </c>
      <c r="C72" t="s" s="21">
        <v>38</v>
      </c>
      <c r="D72" s="22" cm="1">
        <f t="array" ref="D72">_xlfn.SUMIFS('Diseases'!F2:F4303,'Diseases'!B2:B4303,A72,'Diseases'!C2:C4303,B72,'Diseases'!D2:D4303,C72)</f>
        <v>1896</v>
      </c>
      <c r="E72" s="22" cm="1">
        <f t="array" ref="E72">_xlfn.IFERROR(IF(INDEX('Diseases'!G2:G4303,MATCH(C72,'Diseases'!D2:D4303,0))="","",INDEX('Diseases'!G2:G4303,MATCH(C72,'Diseases'!D2:D4303,0))),"")</f>
        <v>1874281</v>
      </c>
      <c r="F72" s="23" cm="1">
        <f t="array" ref="F72">_xlfn.IFERROR(IF(E72="","",D72/E72*100000),"")</f>
        <v>101.158791024398</v>
      </c>
    </row>
    <row r="73" ht="13.65" customHeight="1">
      <c r="A73" t="s" s="30">
        <v>40</v>
      </c>
      <c r="B73" t="s" s="21">
        <v>31</v>
      </c>
      <c r="C73" t="s" s="21">
        <v>38</v>
      </c>
      <c r="D73" s="22" cm="1">
        <f t="array" ref="D73">_xlfn.SUMIFS('Diseases'!F2:F4303,'Diseases'!B2:B4303,A73,'Diseases'!C2:C4303,B73,'Diseases'!D2:D4303,C73)</f>
        <v>1865</v>
      </c>
      <c r="E73" s="22" cm="1">
        <f t="array" ref="E73">_xlfn.IFERROR(IF(INDEX('Diseases'!G2:G4303,MATCH(C73,'Diseases'!D2:D4303,0))="","",INDEX('Diseases'!G2:G4303,MATCH(C73,'Diseases'!D2:D4303,0))),"")</f>
        <v>1874281</v>
      </c>
      <c r="F73" s="23" cm="1">
        <f t="array" ref="F73">_xlfn.IFERROR(IF(E73="","",D73/E73*100000),"")</f>
        <v>99.5048234496322</v>
      </c>
    </row>
    <row r="74" ht="13.65" customHeight="1">
      <c r="A74" t="s" s="28">
        <v>41</v>
      </c>
      <c r="B74" t="s" s="21">
        <v>31</v>
      </c>
      <c r="C74" t="s" s="21">
        <v>38</v>
      </c>
      <c r="D74" s="22" cm="1">
        <f t="array" ref="D74">_xlfn.SUMIFS('Diseases'!F2:F4303,'Diseases'!B2:B4303,A74,'Diseases'!C2:C4303,B74,'Diseases'!D2:D4303,C74)</f>
        <v>1840</v>
      </c>
      <c r="E74" s="22" cm="1">
        <f t="array" ref="E74">_xlfn.IFERROR(IF(INDEX('Diseases'!G2:G4303,MATCH(C74,'Diseases'!D2:D4303,0))="","",INDEX('Diseases'!G2:G4303,MATCH(C74,'Diseases'!D2:D4303,0))),"")</f>
        <v>1874281</v>
      </c>
      <c r="F74" s="23" cm="1">
        <f t="array" ref="F74">_xlfn.IFERROR(IF(E74="","",D74/E74*100000),"")</f>
        <v>98.1709786312725</v>
      </c>
    </row>
    <row r="75" ht="13.65" customHeight="1">
      <c r="A75" t="s" s="27">
        <v>37</v>
      </c>
      <c r="B75" t="s" s="21">
        <v>31</v>
      </c>
      <c r="C75" t="s" s="21">
        <v>38</v>
      </c>
      <c r="D75" s="22" cm="1">
        <f t="array" ref="D75">_xlfn.SUMIFS('Diseases'!F2:F4303,'Diseases'!B2:B4303,A75,'Diseases'!C2:C4303,B75,'Diseases'!D2:D4303,C75)</f>
        <v>1522</v>
      </c>
      <c r="E75" s="22" cm="1">
        <f t="array" ref="E75">_xlfn.IFERROR(IF(INDEX('Diseases'!G2:G4303,MATCH(C75,'Diseases'!D2:D4303,0))="","",INDEX('Diseases'!G2:G4303,MATCH(C75,'Diseases'!D2:D4303,0))),"")</f>
        <v>1874281</v>
      </c>
      <c r="F75" s="23" cm="1">
        <f t="array" ref="F75">_xlfn.IFERROR(IF(E75="","",D75/E75*100000),"")</f>
        <v>81.2044725417373</v>
      </c>
    </row>
    <row r="76" ht="13.65" customHeight="1">
      <c r="A76" t="s" s="20">
        <v>30</v>
      </c>
      <c r="B76" t="s" s="21">
        <v>60</v>
      </c>
      <c r="C76" t="s" s="21">
        <v>38</v>
      </c>
      <c r="D76" s="22" cm="1">
        <f t="array" ref="D76">_xlfn.SUMIFS('Diseases'!F2:F4303,'Diseases'!B2:B4303,A76,'Diseases'!C2:C4303,B76,'Diseases'!D2:D4303,C76)</f>
        <v>19582</v>
      </c>
      <c r="E76" s="22" cm="1">
        <f t="array" ref="E76">_xlfn.IFERROR(IF(INDEX('Diseases'!G2:G4303,MATCH(C76,'Diseases'!D2:D4303,0))="","",INDEX('Diseases'!G2:G4303,MATCH(C76,'Diseases'!D2:D4303,0))),"")</f>
        <v>1874281</v>
      </c>
      <c r="F76" s="23" cm="1">
        <f t="array" ref="F76">_xlfn.IFERROR(IF(E76="","",D76/E76*100000),"")</f>
        <v>1044.773969324770</v>
      </c>
    </row>
    <row r="77" ht="13.65" customHeight="1">
      <c r="A77" t="s" s="24">
        <v>34</v>
      </c>
      <c r="B77" t="s" s="21">
        <v>60</v>
      </c>
      <c r="C77" t="s" s="21">
        <v>38</v>
      </c>
      <c r="D77" s="22" cm="1">
        <f t="array" ref="D77">_xlfn.SUMIFS('Diseases'!F2:F4303,'Diseases'!B2:B4303,A77,'Diseases'!C2:C4303,B77,'Diseases'!D2:D4303,C77)</f>
        <v>7305</v>
      </c>
      <c r="E77" s="22" cm="1">
        <f t="array" ref="E77">_xlfn.IFERROR(IF(INDEX('Diseases'!G2:G4303,MATCH(C77,'Diseases'!D2:D4303,0))="","",INDEX('Diseases'!G2:G4303,MATCH(C77,'Diseases'!D2:D4303,0))),"")</f>
        <v>1874281</v>
      </c>
      <c r="F77" s="23" cm="1">
        <f t="array" ref="F77">_xlfn.IFERROR(IF(E77="","",D77/E77*100000),"")</f>
        <v>389.749455924699</v>
      </c>
    </row>
    <row r="78" ht="13.65" customHeight="1">
      <c r="A78" t="s" s="27">
        <v>37</v>
      </c>
      <c r="B78" t="s" s="21">
        <v>60</v>
      </c>
      <c r="C78" t="s" s="21">
        <v>38</v>
      </c>
      <c r="D78" s="22" cm="1">
        <f t="array" ref="D78">_xlfn.SUMIFS('Diseases'!F2:F4303,'Diseases'!B2:B4303,A78,'Diseases'!C2:C4303,B78,'Diseases'!D2:D4303,C78)</f>
        <v>4527</v>
      </c>
      <c r="E78" s="22" cm="1">
        <f t="array" ref="E78">_xlfn.IFERROR(IF(INDEX('Diseases'!G2:G4303,MATCH(C78,'Diseases'!D2:D4303,0))="","",INDEX('Diseases'!G2:G4303,MATCH(C78,'Diseases'!D2:D4303,0))),"")</f>
        <v>1874281</v>
      </c>
      <c r="F78" s="23" cm="1">
        <f t="array" ref="F78">_xlfn.IFERROR(IF(E78="","",D78/E78*100000),"")</f>
        <v>241.532619708571</v>
      </c>
    </row>
    <row r="79" ht="13.65" customHeight="1">
      <c r="A79" t="s" s="29">
        <v>39</v>
      </c>
      <c r="B79" t="s" s="21">
        <v>60</v>
      </c>
      <c r="C79" t="s" s="21">
        <v>38</v>
      </c>
      <c r="D79" s="22" cm="1">
        <f t="array" ref="D79">_xlfn.SUMIFS('Diseases'!F2:F4303,'Diseases'!B2:B4303,A79,'Diseases'!C2:C4303,B79,'Diseases'!D2:D4303,C79)</f>
        <v>3703</v>
      </c>
      <c r="E79" s="22" cm="1">
        <f t="array" ref="E79">_xlfn.IFERROR(IF(INDEX('Diseases'!G2:G4303,MATCH(C79,'Diseases'!D2:D4303,0))="","",INDEX('Diseases'!G2:G4303,MATCH(C79,'Diseases'!D2:D4303,0))),"")</f>
        <v>1874281</v>
      </c>
      <c r="F79" s="23" cm="1">
        <f t="array" ref="F79">_xlfn.IFERROR(IF(E79="","",D79/E79*100000),"")</f>
        <v>197.569094495436</v>
      </c>
    </row>
    <row r="80" ht="13.65" customHeight="1">
      <c r="A80" t="s" s="25">
        <v>35</v>
      </c>
      <c r="B80" t="s" s="21">
        <v>60</v>
      </c>
      <c r="C80" t="s" s="21">
        <v>38</v>
      </c>
      <c r="D80" s="22" cm="1">
        <f t="array" ref="D80">_xlfn.SUMIFS('Diseases'!F2:F4303,'Diseases'!B2:B4303,A80,'Diseases'!C2:C4303,B80,'Diseases'!D2:D4303,C80)</f>
        <v>1949</v>
      </c>
      <c r="E80" s="22" cm="1">
        <f t="array" ref="E80">_xlfn.IFERROR(IF(INDEX('Diseases'!G2:G4303,MATCH(C80,'Diseases'!D2:D4303,0))="","",INDEX('Diseases'!G2:G4303,MATCH(C80,'Diseases'!D2:D4303,0))),"")</f>
        <v>1874281</v>
      </c>
      <c r="F80" s="23" cm="1">
        <f t="array" ref="F80">_xlfn.IFERROR(IF(E80="","",D80/E80*100000),"")</f>
        <v>103.986542039321</v>
      </c>
    </row>
    <row r="81" ht="13.65" customHeight="1">
      <c r="A81" t="s" s="30">
        <v>40</v>
      </c>
      <c r="B81" t="s" s="21">
        <v>60</v>
      </c>
      <c r="C81" t="s" s="21">
        <v>38</v>
      </c>
      <c r="D81" s="22" cm="1">
        <f t="array" ref="D81">_xlfn.SUMIFS('Diseases'!F2:F4303,'Diseases'!B2:B4303,A81,'Diseases'!C2:C4303,B81,'Diseases'!D2:D4303,C81)</f>
        <v>1655</v>
      </c>
      <c r="E81" s="22" cm="1">
        <f t="array" ref="E81">_xlfn.IFERROR(IF(INDEX('Diseases'!G2:G4303,MATCH(C81,'Diseases'!D2:D4303,0))="","",INDEX('Diseases'!G2:G4303,MATCH(C81,'Diseases'!D2:D4303,0))),"")</f>
        <v>1874281</v>
      </c>
      <c r="F81" s="23" cm="1">
        <f t="array" ref="F81">_xlfn.IFERROR(IF(E81="","",D81/E81*100000),"")</f>
        <v>88.3005269754108</v>
      </c>
    </row>
    <row r="82" ht="13.65" customHeight="1">
      <c r="A82" t="s" s="31">
        <v>45</v>
      </c>
      <c r="B82" t="s" s="21">
        <v>60</v>
      </c>
      <c r="C82" t="s" s="21">
        <v>38</v>
      </c>
      <c r="D82" s="22" cm="1">
        <f t="array" ref="D82">_xlfn.SUMIFS('Diseases'!F2:F4303,'Diseases'!B2:B4303,A82,'Diseases'!C2:C4303,B82,'Diseases'!D2:D4303,C82)</f>
        <v>1037</v>
      </c>
      <c r="E82" s="22" cm="1">
        <f t="array" ref="E82">_xlfn.IFERROR(IF(INDEX('Diseases'!G2:G4303,MATCH(C82,'Diseases'!D2:D4303,0))="","",INDEX('Diseases'!G2:G4303,MATCH(C82,'Diseases'!D2:D4303,0))),"")</f>
        <v>1874281</v>
      </c>
      <c r="F82" s="23" cm="1">
        <f t="array" ref="F82">_xlfn.IFERROR(IF(E82="","",D82/E82*100000),"")</f>
        <v>55.3278830655595</v>
      </c>
    </row>
    <row r="83" ht="13.65" customHeight="1">
      <c r="A83" t="s" s="20">
        <v>30</v>
      </c>
      <c r="B83" t="s" s="21">
        <v>61</v>
      </c>
      <c r="C83" t="s" s="21">
        <v>38</v>
      </c>
      <c r="D83" s="22" cm="1">
        <f t="array" ref="D83">_xlfn.SUMIFS('Diseases'!F2:F4303,'Diseases'!B2:B4303,A83,'Diseases'!C2:C4303,B83,'Diseases'!D2:D4303,C83)</f>
        <v>17064</v>
      </c>
      <c r="E83" s="22" cm="1">
        <f t="array" ref="E83">_xlfn.IFERROR(IF(INDEX('Diseases'!G2:G4303,MATCH(C83,'Diseases'!D2:D4303,0))="","",INDEX('Diseases'!G2:G4303,MATCH(C83,'Diseases'!D2:D4303,0))),"")</f>
        <v>1874281</v>
      </c>
      <c r="F83" s="23" cm="1">
        <f t="array" ref="F83">_xlfn.IFERROR(IF(E83="","",D83/E83*100000),"")</f>
        <v>910.429119219583</v>
      </c>
    </row>
    <row r="84" ht="13.65" customHeight="1">
      <c r="A84" t="s" s="24">
        <v>34</v>
      </c>
      <c r="B84" t="s" s="21">
        <v>61</v>
      </c>
      <c r="C84" t="s" s="21">
        <v>38</v>
      </c>
      <c r="D84" s="22" cm="1">
        <f t="array" ref="D84">_xlfn.SUMIFS('Diseases'!F2:F4303,'Diseases'!B2:B4303,A84,'Diseases'!C2:C4303,B84,'Diseases'!D2:D4303,C84)</f>
        <v>5937</v>
      </c>
      <c r="E84" s="22" cm="1">
        <f t="array" ref="E84">_xlfn.IFERROR(IF(INDEX('Diseases'!G2:G4303,MATCH(C84,'Diseases'!D2:D4303,0))="","",INDEX('Diseases'!G2:G4303,MATCH(C84,'Diseases'!D2:D4303,0))),"")</f>
        <v>1874281</v>
      </c>
      <c r="F84" s="23" cm="1">
        <f t="array" ref="F84">_xlfn.IFERROR(IF(E84="","",D84/E84*100000),"")</f>
        <v>316.761467464057</v>
      </c>
    </row>
    <row r="85" ht="13.65" customHeight="1">
      <c r="A85" t="s" s="27">
        <v>37</v>
      </c>
      <c r="B85" t="s" s="21">
        <v>61</v>
      </c>
      <c r="C85" t="s" s="21">
        <v>38</v>
      </c>
      <c r="D85" s="22" cm="1">
        <f t="array" ref="D85">_xlfn.SUMIFS('Diseases'!F2:F4303,'Diseases'!B2:B4303,A85,'Diseases'!C2:C4303,B85,'Diseases'!D2:D4303,C85)</f>
        <v>3761</v>
      </c>
      <c r="E85" s="22" cm="1">
        <f t="array" ref="E85">_xlfn.IFERROR(IF(INDEX('Diseases'!G2:G4303,MATCH(C85,'Diseases'!D2:D4303,0))="","",INDEX('Diseases'!G2:G4303,MATCH(C85,'Diseases'!D2:D4303,0))),"")</f>
        <v>1874281</v>
      </c>
      <c r="F85" s="23" cm="1">
        <f t="array" ref="F85">_xlfn.IFERROR(IF(E85="","",D85/E85*100000),"")</f>
        <v>200.663614474030</v>
      </c>
    </row>
    <row r="86" ht="13.65" customHeight="1">
      <c r="A86" t="s" s="29">
        <v>39</v>
      </c>
      <c r="B86" t="s" s="21">
        <v>61</v>
      </c>
      <c r="C86" t="s" s="21">
        <v>38</v>
      </c>
      <c r="D86" s="22" cm="1">
        <f t="array" ref="D86">_xlfn.SUMIFS('Diseases'!F2:F4303,'Diseases'!B2:B4303,A86,'Diseases'!C2:C4303,B86,'Diseases'!D2:D4303,C86)</f>
        <v>3094</v>
      </c>
      <c r="E86" s="22" cm="1">
        <f t="array" ref="E86">_xlfn.IFERROR(IF(INDEX('Diseases'!G2:G4303,MATCH(C86,'Diseases'!D2:D4303,0))="","",INDEX('Diseases'!G2:G4303,MATCH(C86,'Diseases'!D2:D4303,0))),"")</f>
        <v>1874281</v>
      </c>
      <c r="F86" s="23" cm="1">
        <f t="array" ref="F86">_xlfn.IFERROR(IF(E86="","",D86/E86*100000),"")</f>
        <v>165.076634720194</v>
      </c>
    </row>
    <row r="87" ht="13.65" customHeight="1">
      <c r="A87" t="s" s="25">
        <v>35</v>
      </c>
      <c r="B87" t="s" s="21">
        <v>61</v>
      </c>
      <c r="C87" t="s" s="21">
        <v>38</v>
      </c>
      <c r="D87" s="22" cm="1">
        <f t="array" ref="D87">_xlfn.SUMIFS('Diseases'!F2:F4303,'Diseases'!B2:B4303,A87,'Diseases'!C2:C4303,B87,'Diseases'!D2:D4303,C87)</f>
        <v>1476</v>
      </c>
      <c r="E87" s="22" cm="1">
        <f t="array" ref="E87">_xlfn.IFERROR(IF(INDEX('Diseases'!G2:G4303,MATCH(C87,'Diseases'!D2:D4303,0))="","",INDEX('Diseases'!G2:G4303,MATCH(C87,'Diseases'!D2:D4303,0))),"")</f>
        <v>1874281</v>
      </c>
      <c r="F87" s="23" cm="1">
        <f t="array" ref="F87">_xlfn.IFERROR(IF(E87="","",D87/E87*100000),"")</f>
        <v>78.7501980759555</v>
      </c>
    </row>
    <row r="88" ht="13.65" customHeight="1">
      <c r="A88" t="s" s="20">
        <v>30</v>
      </c>
      <c r="B88" t="s" s="21">
        <v>62</v>
      </c>
      <c r="C88" t="s" s="21">
        <v>38</v>
      </c>
      <c r="D88" s="22" cm="1">
        <f t="array" ref="D88">_xlfn.SUMIFS('Diseases'!F2:F4303,'Diseases'!B2:B4303,A88,'Diseases'!C2:C4303,B88,'Diseases'!D2:D4303,C88)</f>
        <v>270150</v>
      </c>
      <c r="E88" s="22" cm="1">
        <f t="array" ref="E88">_xlfn.IFERROR(IF(INDEX('Diseases'!G2:G4303,MATCH(C88,'Diseases'!D2:D4303,0))="","",INDEX('Diseases'!G2:G4303,MATCH(C88,'Diseases'!D2:D4303,0))),"")</f>
        <v>1874281</v>
      </c>
      <c r="F88" s="23" cm="1">
        <f t="array" ref="F88">_xlfn.IFERROR(IF(E88="","",D88/E88*100000),"")</f>
        <v>14413.5271071947</v>
      </c>
    </row>
    <row r="89" ht="13.65" customHeight="1">
      <c r="A89" t="s" s="24">
        <v>34</v>
      </c>
      <c r="B89" t="s" s="21">
        <v>62</v>
      </c>
      <c r="C89" t="s" s="21">
        <v>38</v>
      </c>
      <c r="D89" s="22" cm="1">
        <f t="array" ref="D89">_xlfn.SUMIFS('Diseases'!F2:F4303,'Diseases'!B2:B4303,A89,'Diseases'!C2:C4303,B89,'Diseases'!D2:D4303,C89)</f>
        <v>102435</v>
      </c>
      <c r="E89" s="22" cm="1">
        <f t="array" ref="E89">_xlfn.IFERROR(IF(INDEX('Diseases'!G2:G4303,MATCH(C89,'Diseases'!D2:D4303,0))="","",INDEX('Diseases'!G2:G4303,MATCH(C89,'Diseases'!D2:D4303,0))),"")</f>
        <v>1874281</v>
      </c>
      <c r="F89" s="23" cm="1">
        <f t="array" ref="F89">_xlfn.IFERROR(IF(E89="","",D89/E89*100000),"")</f>
        <v>5465.295758746950</v>
      </c>
    </row>
    <row r="90" ht="13.65" customHeight="1">
      <c r="A90" t="s" s="25">
        <v>35</v>
      </c>
      <c r="B90" t="s" s="21">
        <v>62</v>
      </c>
      <c r="C90" t="s" s="21">
        <v>38</v>
      </c>
      <c r="D90" s="22" cm="1">
        <f t="array" ref="D90">_xlfn.SUMIFS('Diseases'!F2:F4303,'Diseases'!B2:B4303,A90,'Diseases'!C2:C4303,B90,'Diseases'!D2:D4303,C90)</f>
        <v>50460</v>
      </c>
      <c r="E90" s="22" cm="1">
        <f t="array" ref="E90">_xlfn.IFERROR(IF(INDEX('Diseases'!G2:G4303,MATCH(C90,'Diseases'!D2:D4303,0))="","",INDEX('Diseases'!G2:G4303,MATCH(C90,'Diseases'!D2:D4303,0))),"")</f>
        <v>1874281</v>
      </c>
      <c r="F90" s="23" cm="1">
        <f t="array" ref="F90">_xlfn.IFERROR(IF(E90="","",D90/E90*100000),"")</f>
        <v>2692.232381377180</v>
      </c>
    </row>
    <row r="91" ht="13.65" customHeight="1">
      <c r="A91" t="s" s="27">
        <v>37</v>
      </c>
      <c r="B91" t="s" s="21">
        <v>62</v>
      </c>
      <c r="C91" t="s" s="21">
        <v>38</v>
      </c>
      <c r="D91" s="22" cm="1">
        <f t="array" ref="D91">_xlfn.SUMIFS('Diseases'!F2:F4303,'Diseases'!B2:B4303,A91,'Diseases'!C2:C4303,B91,'Diseases'!D2:D4303,C91)</f>
        <v>42480</v>
      </c>
      <c r="E91" s="22" cm="1">
        <f t="array" ref="E91">_xlfn.IFERROR(IF(INDEX('Diseases'!G2:G4303,MATCH(C91,'Diseases'!D2:D4303,0))="","",INDEX('Diseases'!G2:G4303,MATCH(C91,'Diseases'!D2:D4303,0))),"")</f>
        <v>1874281</v>
      </c>
      <c r="F91" s="23" cm="1">
        <f t="array" ref="F91">_xlfn.IFERROR(IF(E91="","",D91/E91*100000),"")</f>
        <v>2266.469115356770</v>
      </c>
    </row>
    <row r="92" ht="13.65" customHeight="1">
      <c r="A92" t="s" s="29">
        <v>39</v>
      </c>
      <c r="B92" t="s" s="21">
        <v>62</v>
      </c>
      <c r="C92" t="s" s="21">
        <v>38</v>
      </c>
      <c r="D92" s="22" cm="1">
        <f t="array" ref="D92">_xlfn.SUMIFS('Diseases'!F2:F4303,'Diseases'!B2:B4303,A92,'Diseases'!C2:C4303,B92,'Diseases'!D2:D4303,C92)</f>
        <v>21195</v>
      </c>
      <c r="E92" s="22" cm="1">
        <f t="array" ref="E92">_xlfn.IFERROR(IF(INDEX('Diseases'!G2:G4303,MATCH(C92,'Diseases'!D2:D4303,0))="","",INDEX('Diseases'!G2:G4303,MATCH(C92,'Diseases'!D2:D4303,0))),"")</f>
        <v>1874281</v>
      </c>
      <c r="F92" s="23" cm="1">
        <f t="array" ref="F92">_xlfn.IFERROR(IF(E92="","",D92/E92*100000),"")</f>
        <v>1130.833637005340</v>
      </c>
    </row>
    <row r="93" ht="13.65" customHeight="1">
      <c r="A93" t="s" s="28">
        <v>41</v>
      </c>
      <c r="B93" t="s" s="21">
        <v>62</v>
      </c>
      <c r="C93" t="s" s="21">
        <v>38</v>
      </c>
      <c r="D93" s="22" cm="1">
        <f t="array" ref="D93">_xlfn.SUMIFS('Diseases'!F2:F4303,'Diseases'!B2:B4303,A93,'Diseases'!C2:C4303,B93,'Diseases'!D2:D4303,C93)</f>
        <v>17220</v>
      </c>
      <c r="E93" s="22" cm="1">
        <f t="array" ref="E93">_xlfn.IFERROR(IF(INDEX('Diseases'!G2:G4303,MATCH(C93,'Diseases'!D2:D4303,0))="","",INDEX('Diseases'!G2:G4303,MATCH(C93,'Diseases'!D2:D4303,0))),"")</f>
        <v>1874281</v>
      </c>
      <c r="F93" s="23" cm="1">
        <f t="array" ref="F93">_xlfn.IFERROR(IF(E93="","",D93/E93*100000),"")</f>
        <v>918.7523108861481</v>
      </c>
    </row>
    <row r="94" ht="13.65" customHeight="1">
      <c r="A94" t="s" s="20">
        <v>30</v>
      </c>
      <c r="B94" t="s" s="21">
        <v>63</v>
      </c>
      <c r="C94" t="s" s="21">
        <v>38</v>
      </c>
      <c r="D94" s="22" cm="1">
        <f t="array" ref="D94">_xlfn.SUMIFS('Diseases'!F2:F4303,'Diseases'!B2:B4303,A94,'Diseases'!C2:C4303,B94,'Diseases'!D2:D4303,C94)</f>
        <v>17232</v>
      </c>
      <c r="E94" s="22" cm="1">
        <f t="array" ref="E94">_xlfn.IFERROR(IF(INDEX('Diseases'!G2:G4303,MATCH(C94,'Diseases'!D2:D4303,0))="","",INDEX('Diseases'!G2:G4303,MATCH(C94,'Diseases'!D2:D4303,0))),"")</f>
        <v>1874281</v>
      </c>
      <c r="F94" s="23" cm="1">
        <f t="array" ref="F94">_xlfn.IFERROR(IF(E94="","",D94/E94*100000),"")</f>
        <v>919.392556398960</v>
      </c>
    </row>
    <row r="95" ht="13.65" customHeight="1">
      <c r="A95" t="s" s="24">
        <v>34</v>
      </c>
      <c r="B95" t="s" s="21">
        <v>63</v>
      </c>
      <c r="C95" t="s" s="21">
        <v>38</v>
      </c>
      <c r="D95" s="22" cm="1">
        <f t="array" ref="D95">_xlfn.SUMIFS('Diseases'!F2:F4303,'Diseases'!B2:B4303,A95,'Diseases'!C2:C4303,B95,'Diseases'!D2:D4303,C95)</f>
        <v>8187</v>
      </c>
      <c r="E95" s="22" cm="1">
        <f t="array" ref="E95">_xlfn.IFERROR(IF(INDEX('Diseases'!G2:G4303,MATCH(C95,'Diseases'!D2:D4303,0))="","",INDEX('Diseases'!G2:G4303,MATCH(C95,'Diseases'!D2:D4303,0))),"")</f>
        <v>1874281</v>
      </c>
      <c r="F95" s="23" cm="1">
        <f t="array" ref="F95">_xlfn.IFERROR(IF(E95="","",D95/E95*100000),"")</f>
        <v>436.807501116428</v>
      </c>
    </row>
    <row r="96" ht="13.65" customHeight="1">
      <c r="A96" t="s" s="27">
        <v>37</v>
      </c>
      <c r="B96" t="s" s="21">
        <v>63</v>
      </c>
      <c r="C96" t="s" s="21">
        <v>38</v>
      </c>
      <c r="D96" s="22" cm="1">
        <f t="array" ref="D96">_xlfn.SUMIFS('Diseases'!F2:F4303,'Diseases'!B2:B4303,A96,'Diseases'!C2:C4303,B96,'Diseases'!D2:D4303,C96)</f>
        <v>3047</v>
      </c>
      <c r="E96" s="22" cm="1">
        <f t="array" ref="E96">_xlfn.IFERROR(IF(INDEX('Diseases'!G2:G4303,MATCH(C96,'Diseases'!D2:D4303,0))="","",INDEX('Diseases'!G2:G4303,MATCH(C96,'Diseases'!D2:D4303,0))),"")</f>
        <v>1874281</v>
      </c>
      <c r="F96" s="23" cm="1">
        <f t="array" ref="F96">_xlfn.IFERROR(IF(E96="","",D96/E96*100000),"")</f>
        <v>162.569006461678</v>
      </c>
    </row>
    <row r="97" ht="13.65" customHeight="1">
      <c r="A97" t="s" s="25">
        <v>35</v>
      </c>
      <c r="B97" t="s" s="21">
        <v>63</v>
      </c>
      <c r="C97" t="s" s="21">
        <v>38</v>
      </c>
      <c r="D97" s="22" cm="1">
        <f t="array" ref="D97">_xlfn.SUMIFS('Diseases'!F2:F4303,'Diseases'!B2:B4303,A97,'Diseases'!C2:C4303,B97,'Diseases'!D2:D4303,C97)</f>
        <v>2616</v>
      </c>
      <c r="E97" s="22" cm="1">
        <f t="array" ref="E97">_xlfn.IFERROR(IF(INDEX('Diseases'!G2:G4303,MATCH(C97,'Diseases'!D2:D4303,0))="","",INDEX('Diseases'!G2:G4303,MATCH(C97,'Diseases'!D2:D4303,0))),"")</f>
        <v>1874281</v>
      </c>
      <c r="F97" s="23" cm="1">
        <f t="array" ref="F97">_xlfn.IFERROR(IF(E97="","",D97/E97*100000),"")</f>
        <v>139.573521793157</v>
      </c>
    </row>
    <row r="98" ht="13.65" customHeight="1">
      <c r="A98" t="s" s="31">
        <v>45</v>
      </c>
      <c r="B98" t="s" s="21">
        <v>63</v>
      </c>
      <c r="C98" t="s" s="21">
        <v>38</v>
      </c>
      <c r="D98" s="22" cm="1">
        <f t="array" ref="D98">_xlfn.SUMIFS('Diseases'!F2:F4303,'Diseases'!B2:B4303,A98,'Diseases'!C2:C4303,B98,'Diseases'!D2:D4303,C98)</f>
        <v>1223</v>
      </c>
      <c r="E98" s="22" cm="1">
        <f t="array" ref="E98">_xlfn.IFERROR(IF(INDEX('Diseases'!G2:G4303,MATCH(C98,'Diseases'!D2:D4303,0))="","",INDEX('Diseases'!G2:G4303,MATCH(C98,'Diseases'!D2:D4303,0))),"")</f>
        <v>1874281</v>
      </c>
      <c r="F98" s="23" cm="1">
        <f t="array" ref="F98">_xlfn.IFERROR(IF(E98="","",D98/E98*100000),"")</f>
        <v>65.2516885141556</v>
      </c>
    </row>
    <row r="99" ht="13.65" customHeight="1">
      <c r="A99" t="s" s="29">
        <v>39</v>
      </c>
      <c r="B99" t="s" s="21">
        <v>63</v>
      </c>
      <c r="C99" t="s" s="21">
        <v>38</v>
      </c>
      <c r="D99" s="22" cm="1">
        <f t="array" ref="D99">_xlfn.SUMIFS('Diseases'!F2:F4303,'Diseases'!B2:B4303,A99,'Diseases'!C2:C4303,B99,'Diseases'!D2:D4303,C99)</f>
        <v>1173</v>
      </c>
      <c r="E99" s="22" cm="1">
        <f t="array" ref="E99">_xlfn.IFERROR(IF(INDEX('Diseases'!G2:G4303,MATCH(C99,'Diseases'!D2:D4303,0))="","",INDEX('Diseases'!G2:G4303,MATCH(C99,'Diseases'!D2:D4303,0))),"")</f>
        <v>1874281</v>
      </c>
      <c r="F99" s="23" cm="1">
        <f t="array" ref="F99">_xlfn.IFERROR(IF(E99="","",D99/E99*100000),"")</f>
        <v>62.5839988774362</v>
      </c>
    </row>
    <row r="100" ht="13.65" customHeight="1">
      <c r="A100" t="s" s="20">
        <v>30</v>
      </c>
      <c r="B100" t="s" s="21">
        <v>64</v>
      </c>
      <c r="C100" t="s" s="21">
        <v>38</v>
      </c>
      <c r="D100" s="22" cm="1">
        <f t="array" ref="D100">_xlfn.SUMIFS('Diseases'!F2:F4303,'Diseases'!B2:B4303,A100,'Diseases'!C2:C4303,B100,'Diseases'!D2:D4303,C100)</f>
        <v>17839</v>
      </c>
      <c r="E100" s="22" cm="1">
        <f t="array" ref="E100">_xlfn.IFERROR(IF(INDEX('Diseases'!G2:G4303,MATCH(C100,'Diseases'!D2:D4303,0))="","",INDEX('Diseases'!G2:G4303,MATCH(C100,'Diseases'!D2:D4303,0))),"")</f>
        <v>1874281</v>
      </c>
      <c r="F100" s="23" cm="1">
        <f t="array" ref="F100">_xlfn.IFERROR(IF(E100="","",D100/E100*100000),"")</f>
        <v>951.778308588733</v>
      </c>
    </row>
    <row r="101" ht="13.65" customHeight="1">
      <c r="A101" t="s" s="24">
        <v>34</v>
      </c>
      <c r="B101" t="s" s="21">
        <v>64</v>
      </c>
      <c r="C101" t="s" s="21">
        <v>38</v>
      </c>
      <c r="D101" s="22" cm="1">
        <f t="array" ref="D101">_xlfn.SUMIFS('Diseases'!F2:F4303,'Diseases'!B2:B4303,A101,'Diseases'!C2:C4303,B101,'Diseases'!D2:D4303,C101)</f>
        <v>6524</v>
      </c>
      <c r="E101" s="22" cm="1">
        <f t="array" ref="E101">_xlfn.IFERROR(IF(INDEX('Diseases'!G2:G4303,MATCH(C101,'Diseases'!D2:D4303,0))="","",INDEX('Diseases'!G2:G4303,MATCH(C101,'Diseases'!D2:D4303,0))),"")</f>
        <v>1874281</v>
      </c>
      <c r="F101" s="23" cm="1">
        <f t="array" ref="F101">_xlfn.IFERROR(IF(E101="","",D101/E101*100000),"")</f>
        <v>348.080143799142</v>
      </c>
    </row>
    <row r="102" ht="13.65" customHeight="1">
      <c r="A102" t="s" s="25">
        <v>35</v>
      </c>
      <c r="B102" t="s" s="21">
        <v>64</v>
      </c>
      <c r="C102" t="s" s="21">
        <v>38</v>
      </c>
      <c r="D102" s="22" cm="1">
        <f t="array" ref="D102">_xlfn.SUMIFS('Diseases'!F2:F4303,'Diseases'!B2:B4303,A102,'Diseases'!C2:C4303,B102,'Diseases'!D2:D4303,C102)</f>
        <v>4265</v>
      </c>
      <c r="E102" s="22" cm="1">
        <f t="array" ref="E102">_xlfn.IFERROR(IF(INDEX('Diseases'!G2:G4303,MATCH(C102,'Diseases'!D2:D4303,0))="","",INDEX('Diseases'!G2:G4303,MATCH(C102,'Diseases'!D2:D4303,0))),"")</f>
        <v>1874281</v>
      </c>
      <c r="F102" s="23" cm="1">
        <f t="array" ref="F102">_xlfn.IFERROR(IF(E102="","",D102/E102*100000),"")</f>
        <v>227.553926012161</v>
      </c>
    </row>
    <row r="103" ht="13.65" customHeight="1">
      <c r="A103" t="s" s="29">
        <v>39</v>
      </c>
      <c r="B103" t="s" s="21">
        <v>64</v>
      </c>
      <c r="C103" t="s" s="21">
        <v>38</v>
      </c>
      <c r="D103" s="22" cm="1">
        <f t="array" ref="D103">_xlfn.SUMIFS('Diseases'!F2:F4303,'Diseases'!B2:B4303,A103,'Diseases'!C2:C4303,B103,'Diseases'!D2:D4303,C103)</f>
        <v>2964</v>
      </c>
      <c r="E103" s="22" cm="1">
        <f t="array" ref="E103">_xlfn.IFERROR(IF(INDEX('Diseases'!G2:G4303,MATCH(C103,'Diseases'!D2:D4303,0))="","",INDEX('Diseases'!G2:G4303,MATCH(C103,'Diseases'!D2:D4303,0))),"")</f>
        <v>1874281</v>
      </c>
      <c r="F103" s="23" cm="1">
        <f t="array" ref="F103">_xlfn.IFERROR(IF(E103="","",D103/E103*100000),"")</f>
        <v>158.140641664724</v>
      </c>
    </row>
    <row r="104" ht="13.65" customHeight="1">
      <c r="A104" t="s" s="27">
        <v>37</v>
      </c>
      <c r="B104" t="s" s="21">
        <v>64</v>
      </c>
      <c r="C104" t="s" s="21">
        <v>38</v>
      </c>
      <c r="D104" s="22" cm="1">
        <f t="array" ref="D104">_xlfn.SUMIFS('Diseases'!F2:F4303,'Diseases'!B2:B4303,A104,'Diseases'!C2:C4303,B104,'Diseases'!D2:D4303,C104)</f>
        <v>1924</v>
      </c>
      <c r="E104" s="22" cm="1">
        <f t="array" ref="E104">_xlfn.IFERROR(IF(INDEX('Diseases'!G2:G4303,MATCH(C104,'Diseases'!D2:D4303,0))="","",INDEX('Diseases'!G2:G4303,MATCH(C104,'Diseases'!D2:D4303,0))),"")</f>
        <v>1874281</v>
      </c>
      <c r="F104" s="23" cm="1">
        <f t="array" ref="F104">_xlfn.IFERROR(IF(E104="","",D104/E104*100000),"")</f>
        <v>102.652697220961</v>
      </c>
    </row>
    <row r="105" ht="13.65" customHeight="1">
      <c r="A105" t="s" s="31">
        <v>45</v>
      </c>
      <c r="B105" t="s" s="21">
        <v>64</v>
      </c>
      <c r="C105" t="s" s="21">
        <v>38</v>
      </c>
      <c r="D105" s="22" cm="1">
        <f t="array" ref="D105">_xlfn.SUMIFS('Diseases'!F2:F4303,'Diseases'!B2:B4303,A105,'Diseases'!C2:C4303,B105,'Diseases'!D2:D4303,C105)</f>
        <v>1462</v>
      </c>
      <c r="E105" s="22" cm="1">
        <f t="array" ref="E105">_xlfn.IFERROR(IF(INDEX('Diseases'!G2:G4303,MATCH(C105,'Diseases'!D2:D4303,0))="","",INDEX('Diseases'!G2:G4303,MATCH(C105,'Diseases'!D2:D4303,0))),"")</f>
        <v>1874281</v>
      </c>
      <c r="F105" s="23" cm="1">
        <f t="array" ref="F105">_xlfn.IFERROR(IF(E105="","",D105/E105*100000),"")</f>
        <v>78.0032449776741</v>
      </c>
    </row>
    <row r="106" ht="13.65" customHeight="1">
      <c r="A106" t="s" s="20">
        <v>30</v>
      </c>
      <c r="B106" t="s" s="21">
        <v>65</v>
      </c>
      <c r="C106" t="s" s="21">
        <v>38</v>
      </c>
      <c r="D106" s="22" cm="1">
        <f t="array" ref="D106">_xlfn.SUMIFS('Diseases'!F2:F4303,'Diseases'!B2:B4303,A106,'Diseases'!C2:C4303,B106,'Diseases'!D2:D4303,C106)</f>
        <v>13792</v>
      </c>
      <c r="E106" s="22" cm="1">
        <f t="array" ref="E106">_xlfn.IFERROR(IF(INDEX('Diseases'!G2:G4303,MATCH(C106,'Diseases'!D2:D4303,0))="","",INDEX('Diseases'!G2:G4303,MATCH(C106,'Diseases'!D2:D4303,0))),"")</f>
        <v>1874281</v>
      </c>
      <c r="F106" s="23" cm="1">
        <f t="array" ref="F106">_xlfn.IFERROR(IF(E106="","",D106/E106*100000),"")</f>
        <v>735.855509392668</v>
      </c>
    </row>
    <row r="107" ht="13.65" customHeight="1">
      <c r="A107" t="s" s="24">
        <v>34</v>
      </c>
      <c r="B107" t="s" s="21">
        <v>65</v>
      </c>
      <c r="C107" t="s" s="21">
        <v>38</v>
      </c>
      <c r="D107" s="22" cm="1">
        <f t="array" ref="D107">_xlfn.SUMIFS('Diseases'!F2:F4303,'Diseases'!B2:B4303,A107,'Diseases'!C2:C4303,B107,'Diseases'!D2:D4303,C107)</f>
        <v>7345</v>
      </c>
      <c r="E107" s="22" cm="1">
        <f t="array" ref="E107">_xlfn.IFERROR(IF(INDEX('Diseases'!G2:G4303,MATCH(C107,'Diseases'!D2:D4303,0))="","",INDEX('Diseases'!G2:G4303,MATCH(C107,'Diseases'!D2:D4303,0))),"")</f>
        <v>1874281</v>
      </c>
      <c r="F107" s="23" cm="1">
        <f t="array" ref="F107">_xlfn.IFERROR(IF(E107="","",D107/E107*100000),"")</f>
        <v>391.883607634074</v>
      </c>
    </row>
    <row r="108" ht="13.65" customHeight="1">
      <c r="A108" t="s" s="25">
        <v>35</v>
      </c>
      <c r="B108" t="s" s="21">
        <v>65</v>
      </c>
      <c r="C108" t="s" s="21">
        <v>38</v>
      </c>
      <c r="D108" s="22" cm="1">
        <f t="array" ref="D108">_xlfn.SUMIFS('Diseases'!F2:F4303,'Diseases'!B2:B4303,A108,'Diseases'!C2:C4303,B108,'Diseases'!D2:D4303,C108)</f>
        <v>3879</v>
      </c>
      <c r="E108" s="22" cm="1">
        <f t="array" ref="E108">_xlfn.IFERROR(IF(INDEX('Diseases'!G2:G4303,MATCH(C108,'Diseases'!D2:D4303,0))="","",INDEX('Diseases'!G2:G4303,MATCH(C108,'Diseases'!D2:D4303,0))),"")</f>
        <v>1874281</v>
      </c>
      <c r="F108" s="23" cm="1">
        <f t="array" ref="F108">_xlfn.IFERROR(IF(E108="","",D108/E108*100000),"")</f>
        <v>206.959362016688</v>
      </c>
    </row>
    <row r="109" ht="13.65" customHeight="1">
      <c r="A109" t="s" s="27">
        <v>37</v>
      </c>
      <c r="B109" t="s" s="21">
        <v>65</v>
      </c>
      <c r="C109" t="s" s="21">
        <v>38</v>
      </c>
      <c r="D109" s="22" cm="1">
        <f t="array" ref="D109">_xlfn.SUMIFS('Diseases'!F2:F4303,'Diseases'!B2:B4303,A109,'Diseases'!C2:C4303,B109,'Diseases'!D2:D4303,C109)</f>
        <v>3381</v>
      </c>
      <c r="E109" s="22" cm="1">
        <f t="array" ref="E109">_xlfn.IFERROR(IF(INDEX('Diseases'!G2:G4303,MATCH(C109,'Diseases'!D2:D4303,0))="","",INDEX('Diseases'!G2:G4303,MATCH(C109,'Diseases'!D2:D4303,0))),"")</f>
        <v>1874281</v>
      </c>
      <c r="F109" s="23" cm="1">
        <f t="array" ref="F109">_xlfn.IFERROR(IF(E109="","",D109/E109*100000),"")</f>
        <v>180.389173234963</v>
      </c>
    </row>
    <row r="110" ht="13.65" customHeight="1">
      <c r="A110" t="s" s="29">
        <v>39</v>
      </c>
      <c r="B110" t="s" s="21">
        <v>65</v>
      </c>
      <c r="C110" t="s" s="21">
        <v>38</v>
      </c>
      <c r="D110" s="22" cm="1">
        <f t="array" ref="D110">_xlfn.SUMIFS('Diseases'!F2:F4303,'Diseases'!B2:B4303,A110,'Diseases'!C2:C4303,B110,'Diseases'!D2:D4303,C110)</f>
        <v>2723</v>
      </c>
      <c r="E110" s="22" cm="1">
        <f t="array" ref="E110">_xlfn.IFERROR(IF(INDEX('Diseases'!G2:G4303,MATCH(C110,'Diseases'!D2:D4303,0))="","",INDEX('Diseases'!G2:G4303,MATCH(C110,'Diseases'!D2:D4303,0))),"")</f>
        <v>1874281</v>
      </c>
      <c r="F110" s="23" cm="1">
        <f t="array" ref="F110">_xlfn.IFERROR(IF(E110="","",D110/E110*100000),"")</f>
        <v>145.282377615736</v>
      </c>
    </row>
    <row r="111" ht="13.65" customHeight="1">
      <c r="A111" t="s" s="28">
        <v>41</v>
      </c>
      <c r="B111" t="s" s="21">
        <v>65</v>
      </c>
      <c r="C111" t="s" s="21">
        <v>38</v>
      </c>
      <c r="D111" s="22" cm="1">
        <f t="array" ref="D111">_xlfn.SUMIFS('Diseases'!F2:F4303,'Diseases'!B2:B4303,A111,'Diseases'!C2:C4303,B111,'Diseases'!D2:D4303,C111)</f>
        <v>1788</v>
      </c>
      <c r="E111" s="22" cm="1">
        <f t="array" ref="E111">_xlfn.IFERROR(IF(INDEX('Diseases'!G2:G4303,MATCH(C111,'Diseases'!D2:D4303,0))="","",INDEX('Diseases'!G2:G4303,MATCH(C111,'Diseases'!D2:D4303,0))),"")</f>
        <v>1874281</v>
      </c>
      <c r="F111" s="23" cm="1">
        <f t="array" ref="F111">_xlfn.IFERROR(IF(E111="","",D111/E111*100000),"")</f>
        <v>95.39658140908431</v>
      </c>
    </row>
    <row r="112" ht="13.65" customHeight="1">
      <c r="A112" t="s" s="20">
        <v>30</v>
      </c>
      <c r="B112" t="s" s="21">
        <v>66</v>
      </c>
      <c r="C112" t="s" s="21">
        <v>38</v>
      </c>
      <c r="D112" s="22" cm="1">
        <f t="array" ref="D112">_xlfn.SUMIFS('Diseases'!F2:F4303,'Diseases'!B2:B4303,A112,'Diseases'!C2:C4303,B112,'Diseases'!D2:D4303,C112)</f>
        <v>13036</v>
      </c>
      <c r="E112" s="22" cm="1">
        <f t="array" ref="E112">_xlfn.IFERROR(IF(INDEX('Diseases'!G2:G4303,MATCH(C112,'Diseases'!D2:D4303,0))="","",INDEX('Diseases'!G2:G4303,MATCH(C112,'Diseases'!D2:D4303,0))),"")</f>
        <v>1874281</v>
      </c>
      <c r="F112" s="23" cm="1">
        <f t="array" ref="F112">_xlfn.IFERROR(IF(E112="","",D112/E112*100000),"")</f>
        <v>695.520042085472</v>
      </c>
    </row>
    <row r="113" ht="13.65" customHeight="1">
      <c r="A113" t="s" s="24">
        <v>34</v>
      </c>
      <c r="B113" t="s" s="21">
        <v>66</v>
      </c>
      <c r="C113" t="s" s="21">
        <v>38</v>
      </c>
      <c r="D113" s="22" cm="1">
        <f t="array" ref="D113">_xlfn.SUMIFS('Diseases'!F2:F4303,'Diseases'!B2:B4303,A113,'Diseases'!C2:C4303,B113,'Diseases'!D2:D4303,C113)</f>
        <v>10069</v>
      </c>
      <c r="E113" s="22" cm="1">
        <f t="array" ref="E113">_xlfn.IFERROR(IF(INDEX('Diseases'!G2:G4303,MATCH(C113,'Diseases'!D2:D4303,0))="","",INDEX('Diseases'!G2:G4303,MATCH(C113,'Diseases'!D2:D4303,0))),"")</f>
        <v>1874281</v>
      </c>
      <c r="F113" s="23" cm="1">
        <f t="array" ref="F113">_xlfn.IFERROR(IF(E113="","",D113/E113*100000),"")</f>
        <v>537.219339042545</v>
      </c>
    </row>
    <row r="114" ht="13.65" customHeight="1">
      <c r="A114" t="s" s="27">
        <v>37</v>
      </c>
      <c r="B114" t="s" s="21">
        <v>66</v>
      </c>
      <c r="C114" t="s" s="21">
        <v>38</v>
      </c>
      <c r="D114" s="22" cm="1">
        <f t="array" ref="D114">_xlfn.SUMIFS('Diseases'!F2:F4303,'Diseases'!B2:B4303,A114,'Diseases'!C2:C4303,B114,'Diseases'!D2:D4303,C114)</f>
        <v>5409</v>
      </c>
      <c r="E114" s="22" cm="1">
        <f t="array" ref="E114">_xlfn.IFERROR(IF(INDEX('Diseases'!G2:G4303,MATCH(C114,'Diseases'!D2:D4303,0))="","",INDEX('Diseases'!G2:G4303,MATCH(C114,'Diseases'!D2:D4303,0))),"")</f>
        <v>1874281</v>
      </c>
      <c r="F114" s="23" cm="1">
        <f t="array" ref="F114">_xlfn.IFERROR(IF(E114="","",D114/E114*100000),"")</f>
        <v>288.5906649003</v>
      </c>
    </row>
    <row r="115" ht="13.65" customHeight="1">
      <c r="A115" t="s" s="25">
        <v>35</v>
      </c>
      <c r="B115" t="s" s="21">
        <v>66</v>
      </c>
      <c r="C115" t="s" s="21">
        <v>38</v>
      </c>
      <c r="D115" s="22" cm="1">
        <f t="array" ref="D115">_xlfn.SUMIFS('Diseases'!F2:F4303,'Diseases'!B2:B4303,A115,'Diseases'!C2:C4303,B115,'Diseases'!D2:D4303,C115)</f>
        <v>4132</v>
      </c>
      <c r="E115" s="22" cm="1">
        <f t="array" ref="E115">_xlfn.IFERROR(IF(INDEX('Diseases'!G2:G4303,MATCH(C115,'Diseases'!D2:D4303,0))="","",INDEX('Diseases'!G2:G4303,MATCH(C115,'Diseases'!D2:D4303,0))),"")</f>
        <v>1874281</v>
      </c>
      <c r="F115" s="23" cm="1">
        <f t="array" ref="F115">_xlfn.IFERROR(IF(E115="","",D115/E115*100000),"")</f>
        <v>220.457871578488</v>
      </c>
    </row>
    <row r="116" ht="13.65" customHeight="1">
      <c r="A116" t="s" s="28">
        <v>41</v>
      </c>
      <c r="B116" t="s" s="21">
        <v>66</v>
      </c>
      <c r="C116" t="s" s="21">
        <v>38</v>
      </c>
      <c r="D116" s="22" cm="1">
        <f t="array" ref="D116">_xlfn.SUMIFS('Diseases'!F2:F4303,'Diseases'!B2:B4303,A116,'Diseases'!C2:C4303,B116,'Diseases'!D2:D4303,C116)</f>
        <v>3392</v>
      </c>
      <c r="E116" s="22" cm="1">
        <f t="array" ref="E116">_xlfn.IFERROR(IF(INDEX('Diseases'!G2:G4303,MATCH(C116,'Diseases'!D2:D4303,0))="","",INDEX('Diseases'!G2:G4303,MATCH(C116,'Diseases'!D2:D4303,0))),"")</f>
        <v>1874281</v>
      </c>
      <c r="F116" s="23" cm="1">
        <f t="array" ref="F116">_xlfn.IFERROR(IF(E116="","",D116/E116*100000),"")</f>
        <v>180.976064955041</v>
      </c>
    </row>
    <row r="117" ht="13.65" customHeight="1">
      <c r="A117" t="s" s="29">
        <v>39</v>
      </c>
      <c r="B117" t="s" s="21">
        <v>66</v>
      </c>
      <c r="C117" t="s" s="21">
        <v>38</v>
      </c>
      <c r="D117" s="22" cm="1">
        <f t="array" ref="D117">_xlfn.SUMIFS('Diseases'!F2:F4303,'Diseases'!B2:B4303,A117,'Diseases'!C2:C4303,B117,'Diseases'!D2:D4303,C117)</f>
        <v>1663</v>
      </c>
      <c r="E117" s="22" cm="1">
        <f t="array" ref="E117">_xlfn.IFERROR(IF(INDEX('Diseases'!G2:G4303,MATCH(C117,'Diseases'!D2:D4303,0))="","",INDEX('Diseases'!G2:G4303,MATCH(C117,'Diseases'!D2:D4303,0))),"")</f>
        <v>1874281</v>
      </c>
      <c r="F117" s="23" cm="1">
        <f t="array" ref="F117">_xlfn.IFERROR(IF(E117="","",D117/E117*100000),"")</f>
        <v>88.72735731728589</v>
      </c>
    </row>
    <row r="118" ht="13.65" customHeight="1">
      <c r="A118" t="s" s="20">
        <v>30</v>
      </c>
      <c r="B118" t="s" s="21">
        <v>67</v>
      </c>
      <c r="C118" t="s" s="21">
        <v>38</v>
      </c>
      <c r="D118" s="22" cm="1">
        <f t="array" ref="D118">_xlfn.SUMIFS('Diseases'!F2:F4303,'Diseases'!B2:B4303,A118,'Diseases'!C2:C4303,B118,'Diseases'!D2:D4303,C118)</f>
        <v>25282</v>
      </c>
      <c r="E118" s="22" cm="1">
        <f t="array" ref="E118">_xlfn.IFERROR(IF(INDEX('Diseases'!G2:G4303,MATCH(C118,'Diseases'!D2:D4303,0))="","",INDEX('Diseases'!G2:G4303,MATCH(C118,'Diseases'!D2:D4303,0))),"")</f>
        <v>1874281</v>
      </c>
      <c r="F118" s="23" cm="1">
        <f t="array" ref="F118">_xlfn.IFERROR(IF(E118="","",D118/E118*100000),"")</f>
        <v>1348.890587910780</v>
      </c>
    </row>
    <row r="119" ht="13.65" customHeight="1">
      <c r="A119" t="s" s="28">
        <v>41</v>
      </c>
      <c r="B119" t="s" s="21">
        <v>67</v>
      </c>
      <c r="C119" t="s" s="21">
        <v>38</v>
      </c>
      <c r="D119" s="22" cm="1">
        <f t="array" ref="D119">_xlfn.SUMIFS('Diseases'!F2:F4303,'Diseases'!B2:B4303,A119,'Diseases'!C2:C4303,B119,'Diseases'!D2:D4303,C119)</f>
        <v>6355</v>
      </c>
      <c r="E119" s="22" cm="1">
        <f t="array" ref="E119">_xlfn.IFERROR(IF(INDEX('Diseases'!G2:G4303,MATCH(C119,'Diseases'!D2:D4303,0))="","",INDEX('Diseases'!G2:G4303,MATCH(C119,'Diseases'!D2:D4303,0))),"")</f>
        <v>1874281</v>
      </c>
      <c r="F119" s="23" cm="1">
        <f t="array" ref="F119">_xlfn.IFERROR(IF(E119="","",D119/E119*100000),"")</f>
        <v>339.063352827031</v>
      </c>
    </row>
    <row r="120" ht="13.65" customHeight="1">
      <c r="A120" t="s" s="24">
        <v>34</v>
      </c>
      <c r="B120" t="s" s="21">
        <v>67</v>
      </c>
      <c r="C120" t="s" s="21">
        <v>38</v>
      </c>
      <c r="D120" s="22" cm="1">
        <f t="array" ref="D120">_xlfn.SUMIFS('Diseases'!F2:F4303,'Diseases'!B2:B4303,A120,'Diseases'!C2:C4303,B120,'Diseases'!D2:D4303,C120)</f>
        <v>5402</v>
      </c>
      <c r="E120" s="22" cm="1">
        <f t="array" ref="E120">_xlfn.IFERROR(IF(INDEX('Diseases'!G2:G4303,MATCH(C120,'Diseases'!D2:D4303,0))="","",INDEX('Diseases'!G2:G4303,MATCH(C120,'Diseases'!D2:D4303,0))),"")</f>
        <v>1874281</v>
      </c>
      <c r="F120" s="23" cm="1">
        <f t="array" ref="F120">_xlfn.IFERROR(IF(E120="","",D120/E120*100000),"")</f>
        <v>288.217188351160</v>
      </c>
    </row>
    <row r="121" ht="13.65" customHeight="1">
      <c r="A121" t="s" s="25">
        <v>35</v>
      </c>
      <c r="B121" t="s" s="21">
        <v>67</v>
      </c>
      <c r="C121" t="s" s="21">
        <v>38</v>
      </c>
      <c r="D121" s="22" cm="1">
        <f t="array" ref="D121">_xlfn.SUMIFS('Diseases'!F2:F4303,'Diseases'!B2:B4303,A121,'Diseases'!C2:C4303,B121,'Diseases'!D2:D4303,C121)</f>
        <v>4073</v>
      </c>
      <c r="E121" s="22" cm="1">
        <f t="array" ref="E121">_xlfn.IFERROR(IF(INDEX('Diseases'!G2:G4303,MATCH(C121,'Diseases'!D2:D4303,0))="","",INDEX('Diseases'!G2:G4303,MATCH(C121,'Diseases'!D2:D4303,0))),"")</f>
        <v>1874281</v>
      </c>
      <c r="F121" s="23" cm="1">
        <f t="array" ref="F121">_xlfn.IFERROR(IF(E121="","",D121/E121*100000),"")</f>
        <v>217.309997807159</v>
      </c>
    </row>
    <row r="122" ht="13.65" customHeight="1">
      <c r="A122" t="s" s="29">
        <v>39</v>
      </c>
      <c r="B122" t="s" s="21">
        <v>67</v>
      </c>
      <c r="C122" t="s" s="21">
        <v>38</v>
      </c>
      <c r="D122" s="22" cm="1">
        <f t="array" ref="D122">_xlfn.SUMIFS('Diseases'!F2:F4303,'Diseases'!B2:B4303,A122,'Diseases'!C2:C4303,B122,'Diseases'!D2:D4303,C122)</f>
        <v>2430</v>
      </c>
      <c r="E122" s="22" cm="1">
        <f t="array" ref="E122">_xlfn.IFERROR(IF(INDEX('Diseases'!G2:G4303,MATCH(C122,'Diseases'!D2:D4303,0))="","",INDEX('Diseases'!G2:G4303,MATCH(C122,'Diseases'!D2:D4303,0))),"")</f>
        <v>1874281</v>
      </c>
      <c r="F122" s="23" cm="1">
        <f t="array" ref="F122">_xlfn.IFERROR(IF(E122="","",D122/E122*100000),"")</f>
        <v>129.649716344561</v>
      </c>
    </row>
    <row r="123" ht="13.65" customHeight="1">
      <c r="A123" t="s" s="27">
        <v>37</v>
      </c>
      <c r="B123" t="s" s="21">
        <v>67</v>
      </c>
      <c r="C123" t="s" s="21">
        <v>38</v>
      </c>
      <c r="D123" s="22" cm="1">
        <f t="array" ref="D123">_xlfn.SUMIFS('Diseases'!F2:F4303,'Diseases'!B2:B4303,A123,'Diseases'!C2:C4303,B123,'Diseases'!D2:D4303,C123)</f>
        <v>1603</v>
      </c>
      <c r="E123" s="22" cm="1">
        <f t="array" ref="E123">_xlfn.IFERROR(IF(INDEX('Diseases'!G2:G4303,MATCH(C123,'Diseases'!D2:D4303,0))="","",INDEX('Diseases'!G2:G4303,MATCH(C123,'Diseases'!D2:D4303,0))),"")</f>
        <v>1874281</v>
      </c>
      <c r="F123" s="23" cm="1">
        <f t="array" ref="F123">_xlfn.IFERROR(IF(E123="","",D123/E123*100000),"")</f>
        <v>85.5261297532227</v>
      </c>
    </row>
    <row r="124" ht="13.65" customHeight="1">
      <c r="A124" t="s" s="20">
        <v>30</v>
      </c>
      <c r="B124" t="s" s="21">
        <v>68</v>
      </c>
      <c r="C124" t="s" s="21">
        <v>38</v>
      </c>
      <c r="D124" s="22" cm="1">
        <f t="array" ref="D124">_xlfn.SUMIFS('Diseases'!F2:F4303,'Diseases'!B2:B4303,A124,'Diseases'!C2:C4303,B124,'Diseases'!D2:D4303,C124)</f>
        <v>22784</v>
      </c>
      <c r="E124" s="22" cm="1">
        <f t="array" ref="E124">_xlfn.IFERROR(IF(INDEX('Diseases'!G2:G4303,MATCH(C124,'Diseases'!D2:D4303,0))="","",INDEX('Diseases'!G2:G4303,MATCH(C124,'Diseases'!D2:D4303,0))),"")</f>
        <v>1874281</v>
      </c>
      <c r="F124" s="23" cm="1">
        <f t="array" ref="F124">_xlfn.IFERROR(IF(E124="","",D124/E124*100000),"")</f>
        <v>1215.612813660280</v>
      </c>
    </row>
    <row r="125" ht="13.65" customHeight="1">
      <c r="A125" t="s" s="24">
        <v>34</v>
      </c>
      <c r="B125" t="s" s="21">
        <v>68</v>
      </c>
      <c r="C125" t="s" s="21">
        <v>38</v>
      </c>
      <c r="D125" s="22" cm="1">
        <f t="array" ref="D125">_xlfn.SUMIFS('Diseases'!F2:F4303,'Diseases'!B2:B4303,A125,'Diseases'!C2:C4303,B125,'Diseases'!D2:D4303,C125)</f>
        <v>8434</v>
      </c>
      <c r="E125" s="22" cm="1">
        <f t="array" ref="E125">_xlfn.IFERROR(IF(INDEX('Diseases'!G2:G4303,MATCH(C125,'Diseases'!D2:D4303,0))="","",INDEX('Diseases'!G2:G4303,MATCH(C125,'Diseases'!D2:D4303,0))),"")</f>
        <v>1874281</v>
      </c>
      <c r="F125" s="23" cm="1">
        <f t="array" ref="F125">_xlfn.IFERROR(IF(E125="","",D125/E125*100000),"")</f>
        <v>449.985887921822</v>
      </c>
    </row>
    <row r="126" ht="13.65" customHeight="1">
      <c r="A126" t="s" s="27">
        <v>37</v>
      </c>
      <c r="B126" t="s" s="21">
        <v>68</v>
      </c>
      <c r="C126" t="s" s="21">
        <v>38</v>
      </c>
      <c r="D126" s="22" cm="1">
        <f t="array" ref="D126">_xlfn.SUMIFS('Diseases'!F2:F4303,'Diseases'!B2:B4303,A126,'Diseases'!C2:C4303,B126,'Diseases'!D2:D4303,C126)</f>
        <v>3938</v>
      </c>
      <c r="E126" s="22" cm="1">
        <f t="array" ref="E126">_xlfn.IFERROR(IF(INDEX('Diseases'!G2:G4303,MATCH(C126,'Diseases'!D2:D4303,0))="","",INDEX('Diseases'!G2:G4303,MATCH(C126,'Diseases'!D2:D4303,0))),"")</f>
        <v>1874281</v>
      </c>
      <c r="F126" s="23" cm="1">
        <f t="array" ref="F126">_xlfn.IFERROR(IF(E126="","",D126/E126*100000),"")</f>
        <v>210.107235788017</v>
      </c>
    </row>
    <row r="127" ht="13.65" customHeight="1">
      <c r="A127" t="s" s="25">
        <v>35</v>
      </c>
      <c r="B127" t="s" s="21">
        <v>68</v>
      </c>
      <c r="C127" t="s" s="21">
        <v>38</v>
      </c>
      <c r="D127" s="22" cm="1">
        <f t="array" ref="D127">_xlfn.SUMIFS('Diseases'!F2:F4303,'Diseases'!B2:B4303,A127,'Diseases'!C2:C4303,B127,'Diseases'!D2:D4303,C127)</f>
        <v>3510</v>
      </c>
      <c r="E127" s="22" cm="1">
        <f t="array" ref="E127">_xlfn.IFERROR(IF(INDEX('Diseases'!G2:G4303,MATCH(C127,'Diseases'!D2:D4303,0))="","",INDEX('Diseases'!G2:G4303,MATCH(C127,'Diseases'!D2:D4303,0))),"")</f>
        <v>1874281</v>
      </c>
      <c r="F127" s="23" cm="1">
        <f t="array" ref="F127">_xlfn.IFERROR(IF(E127="","",D127/E127*100000),"")</f>
        <v>187.271812497699</v>
      </c>
    </row>
    <row r="128" ht="13.65" customHeight="1">
      <c r="A128" t="s" s="29">
        <v>39</v>
      </c>
      <c r="B128" t="s" s="21">
        <v>68</v>
      </c>
      <c r="C128" t="s" s="21">
        <v>38</v>
      </c>
      <c r="D128" s="22" cm="1">
        <f t="array" ref="D128">_xlfn.SUMIFS('Diseases'!F2:F4303,'Diseases'!B2:B4303,A128,'Diseases'!C2:C4303,B128,'Diseases'!D2:D4303,C128)</f>
        <v>3220</v>
      </c>
      <c r="E128" s="22" cm="1">
        <f t="array" ref="E128">_xlfn.IFERROR(IF(INDEX('Diseases'!G2:G4303,MATCH(C128,'Diseases'!D2:D4303,0))="","",INDEX('Diseases'!G2:G4303,MATCH(C128,'Diseases'!D2:D4303,0))),"")</f>
        <v>1874281</v>
      </c>
      <c r="F128" s="23" cm="1">
        <f t="array" ref="F128">_xlfn.IFERROR(IF(E128="","",D128/E128*100000),"")</f>
        <v>171.799212604727</v>
      </c>
    </row>
    <row r="129" ht="13.65" customHeight="1">
      <c r="A129" t="s" s="28">
        <v>41</v>
      </c>
      <c r="B129" t="s" s="21">
        <v>68</v>
      </c>
      <c r="C129" t="s" s="21">
        <v>38</v>
      </c>
      <c r="D129" s="22" cm="1">
        <f t="array" ref="D129">_xlfn.SUMIFS('Diseases'!F2:F4303,'Diseases'!B2:B4303,A129,'Diseases'!C2:C4303,B129,'Diseases'!D2:D4303,C129)</f>
        <v>1650</v>
      </c>
      <c r="E129" s="22" cm="1">
        <f t="array" ref="E129">_xlfn.IFERROR(IF(INDEX('Diseases'!G2:G4303,MATCH(C129,'Diseases'!D2:D4303,0))="","",INDEX('Diseases'!G2:G4303,MATCH(C129,'Diseases'!D2:D4303,0))),"")</f>
        <v>1874281</v>
      </c>
      <c r="F129" s="23" cm="1">
        <f t="array" ref="F129">_xlfn.IFERROR(IF(E129="","",D129/E129*100000),"")</f>
        <v>88.0337580117389</v>
      </c>
    </row>
    <row r="130" ht="13.65" customHeight="1">
      <c r="A130" t="s" s="20">
        <v>30</v>
      </c>
      <c r="B130" t="s" s="21">
        <v>69</v>
      </c>
      <c r="C130" t="s" s="21">
        <v>38</v>
      </c>
      <c r="D130" s="22" cm="1">
        <f t="array" ref="D130">_xlfn.SUMIFS('Diseases'!F2:F4303,'Diseases'!B2:B4303,A130,'Diseases'!C2:C4303,B130,'Diseases'!D2:D4303,C130)</f>
        <v>20149</v>
      </c>
      <c r="E130" s="22" cm="1">
        <f t="array" ref="E130">_xlfn.IFERROR(IF(INDEX('Diseases'!G2:G4303,MATCH(C130,'Diseases'!D2:D4303,0))="","",INDEX('Diseases'!G2:G4303,MATCH(C130,'Diseases'!D2:D4303,0))),"")</f>
        <v>1874281</v>
      </c>
      <c r="F130" s="23" cm="1">
        <f t="array" ref="F130">_xlfn.IFERROR(IF(E130="","",D130/E130*100000),"")</f>
        <v>1075.025569805170</v>
      </c>
    </row>
    <row r="131" ht="13.65" customHeight="1">
      <c r="A131" t="s" s="24">
        <v>34</v>
      </c>
      <c r="B131" t="s" s="21">
        <v>69</v>
      </c>
      <c r="C131" t="s" s="21">
        <v>38</v>
      </c>
      <c r="D131" s="22" cm="1">
        <f t="array" ref="D131">_xlfn.SUMIFS('Diseases'!F2:F4303,'Diseases'!B2:B4303,A131,'Diseases'!C2:C4303,B131,'Diseases'!D2:D4303,C131)</f>
        <v>6537</v>
      </c>
      <c r="E131" s="22" cm="1">
        <f t="array" ref="E131">_xlfn.IFERROR(IF(INDEX('Diseases'!G2:G4303,MATCH(C131,'Diseases'!D2:D4303,0))="","",INDEX('Diseases'!G2:G4303,MATCH(C131,'Diseases'!D2:D4303,0))),"")</f>
        <v>1874281</v>
      </c>
      <c r="F131" s="23" cm="1">
        <f t="array" ref="F131">_xlfn.IFERROR(IF(E131="","",D131/E131*100000),"")</f>
        <v>348.773743104689</v>
      </c>
    </row>
    <row r="132" ht="13.65" customHeight="1">
      <c r="A132" t="s" s="27">
        <v>37</v>
      </c>
      <c r="B132" t="s" s="21">
        <v>69</v>
      </c>
      <c r="C132" t="s" s="21">
        <v>38</v>
      </c>
      <c r="D132" s="22" cm="1">
        <f t="array" ref="D132">_xlfn.SUMIFS('Diseases'!F2:F4303,'Diseases'!B2:B4303,A132,'Diseases'!C2:C4303,B132,'Diseases'!D2:D4303,C132)</f>
        <v>2969</v>
      </c>
      <c r="E132" s="22" cm="1">
        <f t="array" ref="E132">_xlfn.IFERROR(IF(INDEX('Diseases'!G2:G4303,MATCH(C132,'Diseases'!D2:D4303,0))="","",INDEX('Diseases'!G2:G4303,MATCH(C132,'Diseases'!D2:D4303,0))),"")</f>
        <v>1874281</v>
      </c>
      <c r="F132" s="23" cm="1">
        <f t="array" ref="F132">_xlfn.IFERROR(IF(E132="","",D132/E132*100000),"")</f>
        <v>158.407410628396</v>
      </c>
    </row>
    <row r="133" ht="13.65" customHeight="1">
      <c r="A133" t="s" s="28">
        <v>41</v>
      </c>
      <c r="B133" t="s" s="21">
        <v>69</v>
      </c>
      <c r="C133" t="s" s="21">
        <v>38</v>
      </c>
      <c r="D133" s="22" cm="1">
        <f t="array" ref="D133">_xlfn.SUMIFS('Diseases'!F2:F4303,'Diseases'!B2:B4303,A133,'Diseases'!C2:C4303,B133,'Diseases'!D2:D4303,C133)</f>
        <v>2383</v>
      </c>
      <c r="E133" s="22" cm="1">
        <f t="array" ref="E133">_xlfn.IFERROR(IF(INDEX('Diseases'!G2:G4303,MATCH(C133,'Diseases'!D2:D4303,0))="","",INDEX('Diseases'!G2:G4303,MATCH(C133,'Diseases'!D2:D4303,0))),"")</f>
        <v>1874281</v>
      </c>
      <c r="F133" s="23" cm="1">
        <f t="array" ref="F133">_xlfn.IFERROR(IF(E133="","",D133/E133*100000),"")</f>
        <v>127.142088086045</v>
      </c>
    </row>
    <row r="134" ht="13.65" customHeight="1">
      <c r="A134" t="s" s="25">
        <v>35</v>
      </c>
      <c r="B134" t="s" s="21">
        <v>69</v>
      </c>
      <c r="C134" t="s" s="21">
        <v>38</v>
      </c>
      <c r="D134" s="22" cm="1">
        <f t="array" ref="D134">_xlfn.SUMIFS('Diseases'!F2:F4303,'Diseases'!B2:B4303,A134,'Diseases'!C2:C4303,B134,'Diseases'!D2:D4303,C134)</f>
        <v>1206</v>
      </c>
      <c r="E134" s="22" cm="1">
        <f t="array" ref="E134">_xlfn.IFERROR(IF(INDEX('Diseases'!G2:G4303,MATCH(C134,'Diseases'!D2:D4303,0))="","",INDEX('Diseases'!G2:G4303,MATCH(C134,'Diseases'!D2:D4303,0))),"")</f>
        <v>1874281</v>
      </c>
      <c r="F134" s="23" cm="1">
        <f t="array" ref="F134">_xlfn.IFERROR(IF(E134="","",D134/E134*100000),"")</f>
        <v>64.344674037671</v>
      </c>
    </row>
    <row r="135" ht="13.65" customHeight="1">
      <c r="A135" t="s" s="29">
        <v>39</v>
      </c>
      <c r="B135" t="s" s="21">
        <v>69</v>
      </c>
      <c r="C135" t="s" s="21">
        <v>38</v>
      </c>
      <c r="D135" s="22" cm="1">
        <f t="array" ref="D135">_xlfn.SUMIFS('Diseases'!F2:F4303,'Diseases'!B2:B4303,A135,'Diseases'!C2:C4303,B135,'Diseases'!D2:D4303,C135)</f>
        <v>1202</v>
      </c>
      <c r="E135" s="22" cm="1">
        <f t="array" ref="E135">_xlfn.IFERROR(IF(INDEX('Diseases'!G2:G4303,MATCH(C135,'Diseases'!D2:D4303,0))="","",INDEX('Diseases'!G2:G4303,MATCH(C135,'Diseases'!D2:D4303,0))),"")</f>
        <v>1874281</v>
      </c>
      <c r="F135" s="23" cm="1">
        <f t="array" ref="F135">_xlfn.IFERROR(IF(E135="","",D135/E135*100000),"")</f>
        <v>64.1312588667334</v>
      </c>
    </row>
    <row r="136" ht="13.65" customHeight="1">
      <c r="A136" t="s" s="20">
        <v>30</v>
      </c>
      <c r="B136" t="s" s="21">
        <v>70</v>
      </c>
      <c r="C136" t="s" s="21">
        <v>38</v>
      </c>
      <c r="D136" s="22" cm="1">
        <f t="array" ref="D136">_xlfn.SUMIFS('Diseases'!F2:F4303,'Diseases'!B2:B4303,A136,'Diseases'!C2:C4303,B136,'Diseases'!D2:D4303,C136)</f>
        <v>16262</v>
      </c>
      <c r="E136" s="22" cm="1">
        <f t="array" ref="E136">_xlfn.IFERROR(IF(INDEX('Diseases'!G2:G4303,MATCH(C136,'Diseases'!D2:D4303,0))="","",INDEX('Diseases'!G2:G4303,MATCH(C136,'Diseases'!D2:D4303,0))),"")</f>
        <v>1874281</v>
      </c>
      <c r="F136" s="23" cm="1">
        <f t="array" ref="F136">_xlfn.IFERROR(IF(E136="","",D136/E136*100000),"")</f>
        <v>867.639377446605</v>
      </c>
    </row>
    <row r="137" ht="13.65" customHeight="1">
      <c r="A137" t="s" s="24">
        <v>34</v>
      </c>
      <c r="B137" t="s" s="21">
        <v>70</v>
      </c>
      <c r="C137" t="s" s="21">
        <v>38</v>
      </c>
      <c r="D137" s="22" cm="1">
        <f t="array" ref="D137">_xlfn.SUMIFS('Diseases'!F2:F4303,'Diseases'!B2:B4303,A137,'Diseases'!C2:C4303,B137,'Diseases'!D2:D4303,C137)</f>
        <v>6527</v>
      </c>
      <c r="E137" s="22" cm="1">
        <f t="array" ref="E137">_xlfn.IFERROR(IF(INDEX('Diseases'!G2:G4303,MATCH(C137,'Diseases'!D2:D4303,0))="","",INDEX('Diseases'!G2:G4303,MATCH(C137,'Diseases'!D2:D4303,0))),"")</f>
        <v>1874281</v>
      </c>
      <c r="F137" s="23" cm="1">
        <f t="array" ref="F137">_xlfn.IFERROR(IF(E137="","",D137/E137*100000),"")</f>
        <v>348.240205177345</v>
      </c>
    </row>
    <row r="138" ht="13.65" customHeight="1">
      <c r="A138" t="s" s="25">
        <v>35</v>
      </c>
      <c r="B138" t="s" s="21">
        <v>70</v>
      </c>
      <c r="C138" t="s" s="21">
        <v>38</v>
      </c>
      <c r="D138" s="22" cm="1">
        <f t="array" ref="D138">_xlfn.SUMIFS('Diseases'!F2:F4303,'Diseases'!B2:B4303,A138,'Diseases'!C2:C4303,B138,'Diseases'!D2:D4303,C138)</f>
        <v>2573</v>
      </c>
      <c r="E138" s="22" cm="1">
        <f t="array" ref="E138">_xlfn.IFERROR(IF(INDEX('Diseases'!G2:G4303,MATCH(C138,'Diseases'!D2:D4303,0))="","",INDEX('Diseases'!G2:G4303,MATCH(C138,'Diseases'!D2:D4303,0))),"")</f>
        <v>1874281</v>
      </c>
      <c r="F138" s="23" cm="1">
        <f t="array" ref="F138">_xlfn.IFERROR(IF(E138="","",D138/E138*100000),"")</f>
        <v>137.279308705578</v>
      </c>
    </row>
    <row r="139" ht="13.65" customHeight="1">
      <c r="A139" t="s" s="27">
        <v>37</v>
      </c>
      <c r="B139" t="s" s="21">
        <v>70</v>
      </c>
      <c r="C139" t="s" s="21">
        <v>38</v>
      </c>
      <c r="D139" s="22" cm="1">
        <f t="array" ref="D139">_xlfn.SUMIFS('Diseases'!F2:F4303,'Diseases'!B2:B4303,A139,'Diseases'!C2:C4303,B139,'Diseases'!D2:D4303,C139)</f>
        <v>2552</v>
      </c>
      <c r="E139" s="22" cm="1">
        <f t="array" ref="E139">_xlfn.IFERROR(IF(INDEX('Diseases'!G2:G4303,MATCH(C139,'Diseases'!D2:D4303,0))="","",INDEX('Diseases'!G2:G4303,MATCH(C139,'Diseases'!D2:D4303,0))),"")</f>
        <v>1874281</v>
      </c>
      <c r="F139" s="23" cm="1">
        <f t="array" ref="F139">_xlfn.IFERROR(IF(E139="","",D139/E139*100000),"")</f>
        <v>136.158879058156</v>
      </c>
    </row>
    <row r="140" ht="13.65" customHeight="1">
      <c r="A140" t="s" s="28">
        <v>41</v>
      </c>
      <c r="B140" t="s" s="21">
        <v>70</v>
      </c>
      <c r="C140" t="s" s="21">
        <v>38</v>
      </c>
      <c r="D140" s="22" cm="1">
        <f t="array" ref="D140">_xlfn.SUMIFS('Diseases'!F2:F4303,'Diseases'!B2:B4303,A140,'Diseases'!C2:C4303,B140,'Diseases'!D2:D4303,C140)</f>
        <v>2242</v>
      </c>
      <c r="E140" s="22" cm="1">
        <f t="array" ref="E140">_xlfn.IFERROR(IF(INDEX('Diseases'!G2:G4303,MATCH(C140,'Diseases'!D2:D4303,0))="","",INDEX('Diseases'!G2:G4303,MATCH(C140,'Diseases'!D2:D4303,0))),"")</f>
        <v>1874281</v>
      </c>
      <c r="F140" s="23" cm="1">
        <f t="array" ref="F140">_xlfn.IFERROR(IF(E140="","",D140/E140*100000),"")</f>
        <v>119.619203310496</v>
      </c>
    </row>
    <row r="141" ht="13.65" customHeight="1">
      <c r="A141" t="s" s="29">
        <v>39</v>
      </c>
      <c r="B141" t="s" s="21">
        <v>70</v>
      </c>
      <c r="C141" t="s" s="21">
        <v>38</v>
      </c>
      <c r="D141" s="22" cm="1">
        <f t="array" ref="D141">_xlfn.SUMIFS('Diseases'!F2:F4303,'Diseases'!B2:B4303,A141,'Diseases'!C2:C4303,B141,'Diseases'!D2:D4303,C141)</f>
        <v>1534</v>
      </c>
      <c r="E141" s="22" cm="1">
        <f t="array" ref="E141">_xlfn.IFERROR(IF(INDEX('Diseases'!G2:G4303,MATCH(C141,'Diseases'!D2:D4303,0))="","",INDEX('Diseases'!G2:G4303,MATCH(C141,'Diseases'!D2:D4303,0))),"")</f>
        <v>1874281</v>
      </c>
      <c r="F141" s="23" cm="1">
        <f t="array" ref="F141">_xlfn.IFERROR(IF(E141="","",D141/E141*100000),"")</f>
        <v>81.844718054550</v>
      </c>
    </row>
    <row r="142" ht="13.65" customHeight="1">
      <c r="A142" t="s" s="20">
        <v>30</v>
      </c>
      <c r="B142" t="s" s="21">
        <v>31</v>
      </c>
      <c r="C142" t="s" s="21">
        <v>42</v>
      </c>
      <c r="D142" s="22" cm="1">
        <f t="array" ref="D142">_xlfn.SUMIFS('Diseases'!F2:F4303,'Diseases'!B2:B4303,A142,'Diseases'!C2:C4303,B142,'Diseases'!D2:D4303,C142)</f>
        <v>7052</v>
      </c>
      <c r="E142" s="22" cm="1">
        <f t="array" ref="E142">_xlfn.IFERROR(IF(INDEX('Diseases'!G2:G4303,MATCH(C142,'Diseases'!D2:D4303,0))="","",INDEX('Diseases'!G2:G4303,MATCH(C142,'Diseases'!D2:D4303,0))),"")</f>
        <v>5458063</v>
      </c>
      <c r="F142" s="23" cm="1">
        <f t="array" ref="F142">_xlfn.IFERROR(IF(E142="","",D142/E142*100000),"")</f>
        <v>129.203345582490</v>
      </c>
    </row>
    <row r="143" ht="13.65" customHeight="1">
      <c r="A143" t="s" s="24">
        <v>34</v>
      </c>
      <c r="B143" t="s" s="21">
        <v>31</v>
      </c>
      <c r="C143" t="s" s="21">
        <v>42</v>
      </c>
      <c r="D143" s="22" cm="1">
        <f t="array" ref="D143">_xlfn.SUMIFS('Diseases'!F2:F4303,'Diseases'!B2:B4303,A143,'Diseases'!C2:C4303,B143,'Diseases'!D2:D4303,C143)</f>
        <v>3918</v>
      </c>
      <c r="E143" s="22" cm="1">
        <f t="array" ref="E143">_xlfn.IFERROR(IF(INDEX('Diseases'!G2:G4303,MATCH(C143,'Diseases'!D2:D4303,0))="","",INDEX('Diseases'!G2:G4303,MATCH(C143,'Diseases'!D2:D4303,0))),"")</f>
        <v>5458063</v>
      </c>
      <c r="F143" s="23" cm="1">
        <f t="array" ref="F143">_xlfn.IFERROR(IF(E143="","",D143/E143*100000),"")</f>
        <v>71.78370788318129</v>
      </c>
    </row>
    <row r="144" ht="13.65" customHeight="1">
      <c r="A144" t="s" s="25">
        <v>35</v>
      </c>
      <c r="B144" t="s" s="21">
        <v>31</v>
      </c>
      <c r="C144" t="s" s="21">
        <v>42</v>
      </c>
      <c r="D144" s="22" cm="1">
        <f t="array" ref="D144">_xlfn.SUMIFS('Diseases'!F2:F4303,'Diseases'!B2:B4303,A144,'Diseases'!C2:C4303,B144,'Diseases'!D2:D4303,C144)</f>
        <v>2484</v>
      </c>
      <c r="E144" s="22" cm="1">
        <f t="array" ref="E144">_xlfn.IFERROR(IF(INDEX('Diseases'!G2:G4303,MATCH(C144,'Diseases'!D2:D4303,0))="","",INDEX('Diseases'!G2:G4303,MATCH(C144,'Diseases'!D2:D4303,0))),"")</f>
        <v>5458063</v>
      </c>
      <c r="F144" s="23" cm="1">
        <f t="array" ref="F144">_xlfn.IFERROR(IF(E144="","",D144/E144*100000),"")</f>
        <v>45.5106509397198</v>
      </c>
    </row>
    <row r="145" ht="13.65" customHeight="1">
      <c r="A145" t="s" s="27">
        <v>37</v>
      </c>
      <c r="B145" t="s" s="21">
        <v>31</v>
      </c>
      <c r="C145" t="s" s="21">
        <v>42</v>
      </c>
      <c r="D145" s="22" cm="1">
        <f t="array" ref="D145">_xlfn.SUMIFS('Diseases'!F2:F4303,'Diseases'!B2:B4303,A145,'Diseases'!C2:C4303,B145,'Diseases'!D2:D4303,C145)</f>
        <v>1941</v>
      </c>
      <c r="E145" s="22" cm="1">
        <f t="array" ref="E145">_xlfn.IFERROR(IF(INDEX('Diseases'!G2:G4303,MATCH(C145,'Diseases'!D2:D4303,0))="","",INDEX('Diseases'!G2:G4303,MATCH(C145,'Diseases'!D2:D4303,0))),"")</f>
        <v>5458063</v>
      </c>
      <c r="F145" s="23" cm="1">
        <f t="array" ref="F145">_xlfn.IFERROR(IF(E145="","",D145/E145*100000),"")</f>
        <v>35.5620666159405</v>
      </c>
    </row>
    <row r="146" ht="13.65" customHeight="1">
      <c r="A146" t="s" s="30">
        <v>40</v>
      </c>
      <c r="B146" t="s" s="21">
        <v>31</v>
      </c>
      <c r="C146" t="s" s="21">
        <v>42</v>
      </c>
      <c r="D146" s="22" cm="1">
        <f t="array" ref="D146">_xlfn.SUMIFS('Diseases'!F2:F4303,'Diseases'!B2:B4303,A146,'Diseases'!C2:C4303,B146,'Diseases'!D2:D4303,C146)</f>
        <v>1742</v>
      </c>
      <c r="E146" s="22" cm="1">
        <f t="array" ref="E146">_xlfn.IFERROR(IF(INDEX('Diseases'!G2:G4303,MATCH(C146,'Diseases'!D2:D4303,0))="","",INDEX('Diseases'!G2:G4303,MATCH(C146,'Diseases'!D2:D4303,0))),"")</f>
        <v>5458063</v>
      </c>
      <c r="F146" s="23" cm="1">
        <f t="array" ref="F146">_xlfn.IFERROR(IF(E146="","",D146/E146*100000),"")</f>
        <v>31.9160845156972</v>
      </c>
    </row>
    <row r="147" ht="13.65" customHeight="1">
      <c r="A147" t="s" s="26">
        <v>36</v>
      </c>
      <c r="B147" t="s" s="21">
        <v>31</v>
      </c>
      <c r="C147" t="s" s="21">
        <v>42</v>
      </c>
      <c r="D147" s="22" cm="1">
        <f t="array" ref="D147">_xlfn.SUMIFS('Diseases'!F2:F4303,'Diseases'!B2:B4303,A147,'Diseases'!C2:C4303,B147,'Diseases'!D2:D4303,C147)</f>
        <v>638</v>
      </c>
      <c r="E147" s="22" cm="1">
        <f t="array" ref="E147">_xlfn.IFERROR(IF(INDEX('Diseases'!G2:G4303,MATCH(C147,'Diseases'!D2:D4303,0))="","",INDEX('Diseases'!G2:G4303,MATCH(C147,'Diseases'!D2:D4303,0))),"")</f>
        <v>5458063</v>
      </c>
      <c r="F147" s="23" cm="1">
        <f t="array" ref="F147">_xlfn.IFERROR(IF(E147="","",D147/E147*100000),"")</f>
        <v>11.6891285424884</v>
      </c>
    </row>
    <row r="148" ht="13.65" customHeight="1">
      <c r="A148" t="s" s="29">
        <v>39</v>
      </c>
      <c r="B148" t="s" s="21">
        <v>31</v>
      </c>
      <c r="C148" t="s" s="21">
        <v>42</v>
      </c>
      <c r="D148" s="22" cm="1">
        <f t="array" ref="D148">_xlfn.SUMIFS('Diseases'!F2:F4303,'Diseases'!B2:B4303,A148,'Diseases'!C2:C4303,B148,'Diseases'!D2:D4303,C148)</f>
        <v>539</v>
      </c>
      <c r="E148" s="22" cm="1">
        <f t="array" ref="E148">_xlfn.IFERROR(IF(INDEX('Diseases'!G2:G4303,MATCH(C148,'Diseases'!D2:D4303,0))="","",INDEX('Diseases'!G2:G4303,MATCH(C148,'Diseases'!D2:D4303,0))),"")</f>
        <v>5458063</v>
      </c>
      <c r="F148" s="23" cm="1">
        <f t="array" ref="F148">_xlfn.IFERROR(IF(E148="","",D148/E148*100000),"")</f>
        <v>9.87529825141263</v>
      </c>
    </row>
    <row r="149" ht="13.65" customHeight="1">
      <c r="A149" t="s" s="20">
        <v>30</v>
      </c>
      <c r="B149" t="s" s="21">
        <v>60</v>
      </c>
      <c r="C149" t="s" s="21">
        <v>42</v>
      </c>
      <c r="D149" s="22" cm="1">
        <f t="array" ref="D149">_xlfn.SUMIFS('Diseases'!F2:F4303,'Diseases'!B2:B4303,A149,'Diseases'!C2:C4303,B149,'Diseases'!D2:D4303,C149)</f>
        <v>12946</v>
      </c>
      <c r="E149" s="22" cm="1">
        <f t="array" ref="E149">_xlfn.IFERROR(IF(INDEX('Diseases'!G2:G4303,MATCH(C149,'Diseases'!D2:D4303,0))="","",INDEX('Diseases'!G2:G4303,MATCH(C149,'Diseases'!D2:D4303,0))),"")</f>
        <v>5458063</v>
      </c>
      <c r="F149" s="23" cm="1">
        <f t="array" ref="F149">_xlfn.IFERROR(IF(E149="","",D149/E149*100000),"")</f>
        <v>237.190373214820</v>
      </c>
    </row>
    <row r="150" ht="13.65" customHeight="1">
      <c r="A150" t="s" s="24">
        <v>34</v>
      </c>
      <c r="B150" t="s" s="21">
        <v>60</v>
      </c>
      <c r="C150" t="s" s="21">
        <v>42</v>
      </c>
      <c r="D150" s="22" cm="1">
        <f t="array" ref="D150">_xlfn.SUMIFS('Diseases'!F2:F4303,'Diseases'!B2:B4303,A150,'Diseases'!C2:C4303,B150,'Diseases'!D2:D4303,C150)</f>
        <v>6319</v>
      </c>
      <c r="E150" s="22" cm="1">
        <f t="array" ref="E150">_xlfn.IFERROR(IF(INDEX('Diseases'!G2:G4303,MATCH(C150,'Diseases'!D2:D4303,0))="","",INDEX('Diseases'!G2:G4303,MATCH(C150,'Diseases'!D2:D4303,0))),"")</f>
        <v>5458063</v>
      </c>
      <c r="F150" s="23" cm="1">
        <f t="array" ref="F150">_xlfn.IFERROR(IF(E150="","",D150/E150*100000),"")</f>
        <v>115.773672821292</v>
      </c>
    </row>
    <row r="151" ht="13.65" customHeight="1">
      <c r="A151" t="s" s="27">
        <v>37</v>
      </c>
      <c r="B151" t="s" s="21">
        <v>60</v>
      </c>
      <c r="C151" t="s" s="21">
        <v>42</v>
      </c>
      <c r="D151" s="22" cm="1">
        <f t="array" ref="D151">_xlfn.SUMIFS('Diseases'!F2:F4303,'Diseases'!B2:B4303,A151,'Diseases'!C2:C4303,B151,'Diseases'!D2:D4303,C151)</f>
        <v>4539</v>
      </c>
      <c r="E151" s="22" cm="1">
        <f t="array" ref="E151">_xlfn.IFERROR(IF(INDEX('Diseases'!G2:G4303,MATCH(C151,'Diseases'!D2:D4303,0))="","",INDEX('Diseases'!G2:G4303,MATCH(C151,'Diseases'!D2:D4303,0))),"")</f>
        <v>5458063</v>
      </c>
      <c r="F151" s="23" cm="1">
        <f t="array" ref="F151">_xlfn.IFERROR(IF(E151="","",D151/E151*100000),"")</f>
        <v>83.16137061811121</v>
      </c>
    </row>
    <row r="152" ht="13.65" customHeight="1">
      <c r="A152" t="s" s="25">
        <v>35</v>
      </c>
      <c r="B152" t="s" s="21">
        <v>60</v>
      </c>
      <c r="C152" t="s" s="21">
        <v>42</v>
      </c>
      <c r="D152" s="22" cm="1">
        <f t="array" ref="D152">_xlfn.SUMIFS('Diseases'!F2:F4303,'Diseases'!B2:B4303,A152,'Diseases'!C2:C4303,B152,'Diseases'!D2:D4303,C152)</f>
        <v>3632</v>
      </c>
      <c r="E152" s="22" cm="1">
        <f t="array" ref="E152">_xlfn.IFERROR(IF(INDEX('Diseases'!G2:G4303,MATCH(C152,'Diseases'!D2:D4303,0))="","",INDEX('Diseases'!G2:G4303,MATCH(C152,'Diseases'!D2:D4303,0))),"")</f>
        <v>5458063</v>
      </c>
      <c r="F152" s="23" cm="1">
        <f t="array" ref="F152">_xlfn.IFERROR(IF(E152="","",D152/E152*100000),"")</f>
        <v>66.5437537089623</v>
      </c>
    </row>
    <row r="153" ht="13.65" customHeight="1">
      <c r="A153" t="s" s="29">
        <v>39</v>
      </c>
      <c r="B153" t="s" s="21">
        <v>60</v>
      </c>
      <c r="C153" t="s" s="21">
        <v>42</v>
      </c>
      <c r="D153" s="22" cm="1">
        <f t="array" ref="D153">_xlfn.SUMIFS('Diseases'!F2:F4303,'Diseases'!B2:B4303,A153,'Diseases'!C2:C4303,B153,'Diseases'!D2:D4303,C153)</f>
        <v>1743</v>
      </c>
      <c r="E153" s="22" cm="1">
        <f t="array" ref="E153">_xlfn.IFERROR(IF(INDEX('Diseases'!G2:G4303,MATCH(C153,'Diseases'!D2:D4303,0))="","",INDEX('Diseases'!G2:G4303,MATCH(C153,'Diseases'!D2:D4303,0))),"")</f>
        <v>5458063</v>
      </c>
      <c r="F153" s="23" cm="1">
        <f t="array" ref="F153">_xlfn.IFERROR(IF(E153="","",D153/E153*100000),"")</f>
        <v>31.9344060337889</v>
      </c>
    </row>
    <row r="154" ht="13.65" customHeight="1">
      <c r="A154" t="s" s="30">
        <v>40</v>
      </c>
      <c r="B154" t="s" s="21">
        <v>60</v>
      </c>
      <c r="C154" t="s" s="21">
        <v>42</v>
      </c>
      <c r="D154" s="22" cm="1">
        <f t="array" ref="D154">_xlfn.SUMIFS('Diseases'!F2:F4303,'Diseases'!B2:B4303,A154,'Diseases'!C2:C4303,B154,'Diseases'!D2:D4303,C154)</f>
        <v>1707</v>
      </c>
      <c r="E154" s="22" cm="1">
        <f t="array" ref="E154">_xlfn.IFERROR(IF(INDEX('Diseases'!G2:G4303,MATCH(C154,'Diseases'!D2:D4303,0))="","",INDEX('Diseases'!G2:G4303,MATCH(C154,'Diseases'!D2:D4303,0))),"")</f>
        <v>5458063</v>
      </c>
      <c r="F154" s="23" cm="1">
        <f t="array" ref="F154">_xlfn.IFERROR(IF(E154="","",D154/E154*100000),"")</f>
        <v>31.2748313824886</v>
      </c>
    </row>
    <row r="155" ht="13.65" customHeight="1">
      <c r="A155" t="s" s="28">
        <v>41</v>
      </c>
      <c r="B155" t="s" s="21">
        <v>60</v>
      </c>
      <c r="C155" t="s" s="21">
        <v>42</v>
      </c>
      <c r="D155" s="22" cm="1">
        <f t="array" ref="D155">_xlfn.SUMIFS('Diseases'!F2:F4303,'Diseases'!B2:B4303,A155,'Diseases'!C2:C4303,B155,'Diseases'!D2:D4303,C155)</f>
        <v>1343</v>
      </c>
      <c r="E155" s="22" cm="1">
        <f t="array" ref="E155">_xlfn.IFERROR(IF(INDEX('Diseases'!G2:G4303,MATCH(C155,'Diseases'!D2:D4303,0))="","",INDEX('Diseases'!G2:G4303,MATCH(C155,'Diseases'!D2:D4303,0))),"")</f>
        <v>5458063</v>
      </c>
      <c r="F155" s="23" cm="1">
        <f t="array" ref="F155">_xlfn.IFERROR(IF(E155="","",D155/E155*100000),"")</f>
        <v>24.6057987971191</v>
      </c>
    </row>
    <row r="156" ht="13.65" customHeight="1">
      <c r="A156" t="s" s="20">
        <v>30</v>
      </c>
      <c r="B156" t="s" s="21">
        <v>61</v>
      </c>
      <c r="C156" t="s" s="21">
        <v>42</v>
      </c>
      <c r="D156" s="22" cm="1">
        <f t="array" ref="D156">_xlfn.SUMIFS('Diseases'!F2:F4303,'Diseases'!B2:B4303,A156,'Diseases'!C2:C4303,B156,'Diseases'!D2:D4303,C156)</f>
        <v>17064</v>
      </c>
      <c r="E156" s="22" cm="1">
        <f t="array" ref="E156">_xlfn.IFERROR(IF(INDEX('Diseases'!G2:G4303,MATCH(C156,'Diseases'!D2:D4303,0))="","",INDEX('Diseases'!G2:G4303,MATCH(C156,'Diseases'!D2:D4303,0))),"")</f>
        <v>5458063</v>
      </c>
      <c r="F156" s="23" cm="1">
        <f t="array" ref="F156">_xlfn.IFERROR(IF(E156="","",D156/E156*100000),"")</f>
        <v>312.638384716336</v>
      </c>
    </row>
    <row r="157" ht="13.65" customHeight="1">
      <c r="A157" t="s" s="24">
        <v>34</v>
      </c>
      <c r="B157" t="s" s="21">
        <v>61</v>
      </c>
      <c r="C157" t="s" s="21">
        <v>42</v>
      </c>
      <c r="D157" s="22" cm="1">
        <f t="array" ref="D157">_xlfn.SUMIFS('Diseases'!F2:F4303,'Diseases'!B2:B4303,A157,'Diseases'!C2:C4303,B157,'Diseases'!D2:D4303,C157)</f>
        <v>5937</v>
      </c>
      <c r="E157" s="22" cm="1">
        <f t="array" ref="E157">_xlfn.IFERROR(IF(INDEX('Diseases'!G2:G4303,MATCH(C157,'Diseases'!D2:D4303,0))="","",INDEX('Diseases'!G2:G4303,MATCH(C157,'Diseases'!D2:D4303,0))),"")</f>
        <v>5458063</v>
      </c>
      <c r="F157" s="23" cm="1">
        <f t="array" ref="F157">_xlfn.IFERROR(IF(E157="","",D157/E157*100000),"")</f>
        <v>108.774852910272</v>
      </c>
    </row>
    <row r="158" ht="13.65" customHeight="1">
      <c r="A158" t="s" s="29">
        <v>39</v>
      </c>
      <c r="B158" t="s" s="21">
        <v>61</v>
      </c>
      <c r="C158" t="s" s="21">
        <v>42</v>
      </c>
      <c r="D158" s="22" cm="1">
        <f t="array" ref="D158">_xlfn.SUMIFS('Diseases'!F2:F4303,'Diseases'!B2:B4303,A158,'Diseases'!C2:C4303,B158,'Diseases'!D2:D4303,C158)</f>
        <v>3094</v>
      </c>
      <c r="E158" s="22" cm="1">
        <f t="array" ref="E158">_xlfn.IFERROR(IF(INDEX('Diseases'!G2:G4303,MATCH(C158,'Diseases'!D2:D4303,0))="","",INDEX('Diseases'!G2:G4303,MATCH(C158,'Diseases'!D2:D4303,0))),"")</f>
        <v>5458063</v>
      </c>
      <c r="F158" s="23" cm="1">
        <f t="array" ref="F158">_xlfn.IFERROR(IF(E158="","",D158/E158*100000),"")</f>
        <v>56.6867769756414</v>
      </c>
    </row>
    <row r="159" ht="13.65" customHeight="1">
      <c r="A159" t="s" s="27">
        <v>37</v>
      </c>
      <c r="B159" t="s" s="21">
        <v>61</v>
      </c>
      <c r="C159" t="s" s="21">
        <v>42</v>
      </c>
      <c r="D159" s="22" cm="1">
        <f t="array" ref="D159">_xlfn.SUMIFS('Diseases'!F2:F4303,'Diseases'!B2:B4303,A159,'Diseases'!C2:C4303,B159,'Diseases'!D2:D4303,C159)</f>
        <v>2747</v>
      </c>
      <c r="E159" s="22" cm="1">
        <f t="array" ref="E159">_xlfn.IFERROR(IF(INDEX('Diseases'!G2:G4303,MATCH(C159,'Diseases'!D2:D4303,0))="","",INDEX('Diseases'!G2:G4303,MATCH(C159,'Diseases'!D2:D4303,0))),"")</f>
        <v>5458063</v>
      </c>
      <c r="F159" s="23" cm="1">
        <f t="array" ref="F159">_xlfn.IFERROR(IF(E159="","",D159/E159*100000),"")</f>
        <v>50.3292101978303</v>
      </c>
    </row>
    <row r="160" ht="13.65" customHeight="1">
      <c r="A160" t="s" s="25">
        <v>35</v>
      </c>
      <c r="B160" t="s" s="21">
        <v>61</v>
      </c>
      <c r="C160" t="s" s="21">
        <v>42</v>
      </c>
      <c r="D160" s="22" cm="1">
        <f t="array" ref="D160">_xlfn.SUMIFS('Diseases'!F2:F4303,'Diseases'!B2:B4303,A160,'Diseases'!C2:C4303,B160,'Diseases'!D2:D4303,C160)</f>
        <v>2617</v>
      </c>
      <c r="E160" s="22" cm="1">
        <f t="array" ref="E160">_xlfn.IFERROR(IF(INDEX('Diseases'!G2:G4303,MATCH(C160,'Diseases'!D2:D4303,0))="","",INDEX('Diseases'!G2:G4303,MATCH(C160,'Diseases'!D2:D4303,0))),"")</f>
        <v>5458063</v>
      </c>
      <c r="F160" s="23" cm="1">
        <f t="array" ref="F160">_xlfn.IFERROR(IF(E160="","",D160/E160*100000),"")</f>
        <v>47.9474128459126</v>
      </c>
    </row>
    <row r="161" ht="13.65" customHeight="1">
      <c r="A161" t="s" s="32">
        <v>48</v>
      </c>
      <c r="B161" t="s" s="21">
        <v>62</v>
      </c>
      <c r="C161" t="s" s="21">
        <v>42</v>
      </c>
      <c r="D161" s="22" cm="1">
        <f t="array" ref="D161">_xlfn.SUMIFS('Diseases'!F2:F4303,'Diseases'!B2:B4303,A161,'Diseases'!C2:C4303,B161,'Diseases'!D2:D4303,C161)</f>
        <v>0</v>
      </c>
      <c r="E161" s="22" cm="1">
        <f t="array" ref="E161">_xlfn.IFERROR(IF(INDEX('Diseases'!G2:G4303,MATCH(C161,'Diseases'!D2:D4303,0))="","",INDEX('Diseases'!G2:G4303,MATCH(C161,'Diseases'!D2:D4303,0))),"")</f>
        <v>5458063</v>
      </c>
      <c r="F161" s="23" cm="1">
        <f t="array" ref="F161">_xlfn.IFERROR(IF(E161="","",D161/E161*100000),"")</f>
        <v>0</v>
      </c>
    </row>
    <row r="162" ht="13.65" customHeight="1">
      <c r="A162" t="s" s="24">
        <v>34</v>
      </c>
      <c r="B162" t="s" s="21">
        <v>63</v>
      </c>
      <c r="C162" t="s" s="21">
        <v>42</v>
      </c>
      <c r="D162" s="22" cm="1">
        <f t="array" ref="D162">_xlfn.SUMIFS('Diseases'!F2:F4303,'Diseases'!B2:B4303,A162,'Diseases'!C2:C4303,B162,'Diseases'!D2:D4303,C162)</f>
        <v>6721</v>
      </c>
      <c r="E162" s="22" cm="1">
        <f t="array" ref="E162">_xlfn.IFERROR(IF(INDEX('Diseases'!G2:G4303,MATCH(C162,'Diseases'!D2:D4303,0))="","",INDEX('Diseases'!G2:G4303,MATCH(C162,'Diseases'!D2:D4303,0))),"")</f>
        <v>5458063</v>
      </c>
      <c r="F162" s="23" cm="1">
        <f t="array" ref="F162">_xlfn.IFERROR(IF(E162="","",D162/E162*100000),"")</f>
        <v>123.138923094145</v>
      </c>
    </row>
    <row r="163" ht="13.65" customHeight="1">
      <c r="A163" t="s" s="20">
        <v>30</v>
      </c>
      <c r="B163" t="s" s="21">
        <v>63</v>
      </c>
      <c r="C163" t="s" s="21">
        <v>42</v>
      </c>
      <c r="D163" s="22" cm="1">
        <f t="array" ref="D163">_xlfn.SUMIFS('Diseases'!F2:F4303,'Diseases'!B2:B4303,A163,'Diseases'!C2:C4303,B163,'Diseases'!D2:D4303,C163)</f>
        <v>6087</v>
      </c>
      <c r="E163" s="22" cm="1">
        <f t="array" ref="E163">_xlfn.IFERROR(IF(INDEX('Diseases'!G2:G4303,MATCH(C163,'Diseases'!D2:D4303,0))="","",INDEX('Diseases'!G2:G4303,MATCH(C163,'Diseases'!D2:D4303,0))),"")</f>
        <v>5458063</v>
      </c>
      <c r="F163" s="23" cm="1">
        <f t="array" ref="F163">_xlfn.IFERROR(IF(E163="","",D163/E163*100000),"")</f>
        <v>111.523080624024</v>
      </c>
    </row>
    <row r="164" ht="13.65" customHeight="1">
      <c r="A164" t="s" s="25">
        <v>35</v>
      </c>
      <c r="B164" t="s" s="21">
        <v>63</v>
      </c>
      <c r="C164" t="s" s="21">
        <v>42</v>
      </c>
      <c r="D164" s="22" cm="1">
        <f t="array" ref="D164">_xlfn.SUMIFS('Diseases'!F2:F4303,'Diseases'!B2:B4303,A164,'Diseases'!C2:C4303,B164,'Diseases'!D2:D4303,C164)</f>
        <v>5850</v>
      </c>
      <c r="E164" s="22" cm="1">
        <f t="array" ref="E164">_xlfn.IFERROR(IF(INDEX('Diseases'!G2:G4303,MATCH(C164,'Diseases'!D2:D4303,0))="","",INDEX('Diseases'!G2:G4303,MATCH(C164,'Diseases'!D2:D4303,0))),"")</f>
        <v>5458063</v>
      </c>
      <c r="F164" s="23" cm="1">
        <f t="array" ref="F164">_xlfn.IFERROR(IF(E164="","",D164/E164*100000),"")</f>
        <v>107.180880836297</v>
      </c>
    </row>
    <row r="165" ht="13.65" customHeight="1">
      <c r="A165" t="s" s="27">
        <v>37</v>
      </c>
      <c r="B165" t="s" s="21">
        <v>63</v>
      </c>
      <c r="C165" t="s" s="21">
        <v>42</v>
      </c>
      <c r="D165" s="22" cm="1">
        <f t="array" ref="D165">_xlfn.SUMIFS('Diseases'!F2:F4303,'Diseases'!B2:B4303,A165,'Diseases'!C2:C4303,B165,'Diseases'!D2:D4303,C165)</f>
        <v>5497</v>
      </c>
      <c r="E165" s="22" cm="1">
        <f t="array" ref="E165">_xlfn.IFERROR(IF(INDEX('Diseases'!G2:G4303,MATCH(C165,'Diseases'!D2:D4303,0))="","",INDEX('Diseases'!G2:G4303,MATCH(C165,'Diseases'!D2:D4303,0))),"")</f>
        <v>5458063</v>
      </c>
      <c r="F165" s="23" cm="1">
        <f t="array" ref="F165">_xlfn.IFERROR(IF(E165="","",D165/E165*100000),"")</f>
        <v>100.713384949936</v>
      </c>
    </row>
    <row r="166" ht="13.65" customHeight="1">
      <c r="A166" t="s" s="29">
        <v>39</v>
      </c>
      <c r="B166" t="s" s="21">
        <v>63</v>
      </c>
      <c r="C166" t="s" s="21">
        <v>42</v>
      </c>
      <c r="D166" s="22" cm="1">
        <f t="array" ref="D166">_xlfn.SUMIFS('Diseases'!F2:F4303,'Diseases'!B2:B4303,A166,'Diseases'!C2:C4303,B166,'Diseases'!D2:D4303,C166)</f>
        <v>1692</v>
      </c>
      <c r="E166" s="22" cm="1">
        <f t="array" ref="E166">_xlfn.IFERROR(IF(INDEX('Diseases'!G2:G4303,MATCH(C166,'Diseases'!D2:D4303,0))="","",INDEX('Diseases'!G2:G4303,MATCH(C166,'Diseases'!D2:D4303,0))),"")</f>
        <v>5458063</v>
      </c>
      <c r="F166" s="23" cm="1">
        <f t="array" ref="F166">_xlfn.IFERROR(IF(E166="","",D166/E166*100000),"")</f>
        <v>31.0000086111135</v>
      </c>
    </row>
    <row r="167" ht="13.65" customHeight="1">
      <c r="A167" t="s" s="28">
        <v>41</v>
      </c>
      <c r="B167" t="s" s="21">
        <v>63</v>
      </c>
      <c r="C167" t="s" s="21">
        <v>42</v>
      </c>
      <c r="D167" s="22" cm="1">
        <f t="array" ref="D167">_xlfn.SUMIFS('Diseases'!F2:F4303,'Diseases'!B2:B4303,A167,'Diseases'!C2:C4303,B167,'Diseases'!D2:D4303,C167)</f>
        <v>1080</v>
      </c>
      <c r="E167" s="22" cm="1">
        <f t="array" ref="E167">_xlfn.IFERROR(IF(INDEX('Diseases'!G2:G4303,MATCH(C167,'Diseases'!D2:D4303,0))="","",INDEX('Diseases'!G2:G4303,MATCH(C167,'Diseases'!D2:D4303,0))),"")</f>
        <v>5458063</v>
      </c>
      <c r="F167" s="23" cm="1">
        <f t="array" ref="F167">_xlfn.IFERROR(IF(E167="","",D167/E167*100000),"")</f>
        <v>19.7872395390086</v>
      </c>
    </row>
    <row r="168" ht="13.65" customHeight="1">
      <c r="A168" t="s" s="26">
        <v>36</v>
      </c>
      <c r="B168" t="s" s="21">
        <v>63</v>
      </c>
      <c r="C168" t="s" s="21">
        <v>42</v>
      </c>
      <c r="D168" s="22" cm="1">
        <f t="array" ref="D168">_xlfn.SUMIFS('Diseases'!F2:F4303,'Diseases'!B2:B4303,A168,'Diseases'!C2:C4303,B168,'Diseases'!D2:D4303,C168)</f>
        <v>942</v>
      </c>
      <c r="E168" s="22" cm="1">
        <f t="array" ref="E168">_xlfn.IFERROR(IF(INDEX('Diseases'!G2:G4303,MATCH(C168,'Diseases'!D2:D4303,0))="","",INDEX('Diseases'!G2:G4303,MATCH(C168,'Diseases'!D2:D4303,0))),"")</f>
        <v>5458063</v>
      </c>
      <c r="F168" s="23" cm="1">
        <f t="array" ref="F168">_xlfn.IFERROR(IF(E168="","",D168/E168*100000),"")</f>
        <v>17.2588700423575</v>
      </c>
    </row>
    <row r="169" ht="13.65" customHeight="1">
      <c r="A169" t="s" s="25">
        <v>35</v>
      </c>
      <c r="B169" t="s" s="21">
        <v>64</v>
      </c>
      <c r="C169" t="s" s="21">
        <v>42</v>
      </c>
      <c r="D169" s="22" cm="1">
        <f t="array" ref="D169">_xlfn.SUMIFS('Diseases'!F2:F4303,'Diseases'!B2:B4303,A169,'Diseases'!C2:C4303,B169,'Diseases'!D2:D4303,C169)</f>
        <v>8179</v>
      </c>
      <c r="E169" s="22" cm="1">
        <f t="array" ref="E169">_xlfn.IFERROR(IF(INDEX('Diseases'!G2:G4303,MATCH(C169,'Diseases'!D2:D4303,0))="","",INDEX('Diseases'!G2:G4303,MATCH(C169,'Diseases'!D2:D4303,0))),"")</f>
        <v>5458063</v>
      </c>
      <c r="F169" s="23" cm="1">
        <f t="array" ref="F169">_xlfn.IFERROR(IF(E169="","",D169/E169*100000),"")</f>
        <v>149.851696471807</v>
      </c>
    </row>
    <row r="170" ht="13.65" customHeight="1">
      <c r="A170" t="s" s="24">
        <v>34</v>
      </c>
      <c r="B170" t="s" s="21">
        <v>64</v>
      </c>
      <c r="C170" t="s" s="21">
        <v>42</v>
      </c>
      <c r="D170" s="22" cm="1">
        <f t="array" ref="D170">_xlfn.SUMIFS('Diseases'!F2:F4303,'Diseases'!B2:B4303,A170,'Diseases'!C2:C4303,B170,'Diseases'!D2:D4303,C170)</f>
        <v>7139</v>
      </c>
      <c r="E170" s="22" cm="1">
        <f t="array" ref="E170">_xlfn.IFERROR(IF(INDEX('Diseases'!G2:G4303,MATCH(C170,'Diseases'!D2:D4303,0))="","",INDEX('Diseases'!G2:G4303,MATCH(C170,'Diseases'!D2:D4303,0))),"")</f>
        <v>5458063</v>
      </c>
      <c r="F170" s="23" cm="1">
        <f t="array" ref="F170">_xlfn.IFERROR(IF(E170="","",D170/E170*100000),"")</f>
        <v>130.797317656465</v>
      </c>
    </row>
    <row r="171" ht="13.65" customHeight="1">
      <c r="A171" t="s" s="20">
        <v>30</v>
      </c>
      <c r="B171" t="s" s="21">
        <v>64</v>
      </c>
      <c r="C171" t="s" s="21">
        <v>42</v>
      </c>
      <c r="D171" s="22" cm="1">
        <f t="array" ref="D171">_xlfn.SUMIFS('Diseases'!F2:F4303,'Diseases'!B2:B4303,A171,'Diseases'!C2:C4303,B171,'Diseases'!D2:D4303,C171)</f>
        <v>6548</v>
      </c>
      <c r="E171" s="22" cm="1">
        <f t="array" ref="E171">_xlfn.IFERROR(IF(INDEX('Diseases'!G2:G4303,MATCH(C171,'Diseases'!D2:D4303,0))="","",INDEX('Diseases'!G2:G4303,MATCH(C171,'Diseases'!D2:D4303,0))),"")</f>
        <v>5458063</v>
      </c>
      <c r="F171" s="23" cm="1">
        <f t="array" ref="F171">_xlfn.IFERROR(IF(E171="","",D171/E171*100000),"")</f>
        <v>119.969300464286</v>
      </c>
    </row>
    <row r="172" ht="13.65" customHeight="1">
      <c r="A172" t="s" s="27">
        <v>37</v>
      </c>
      <c r="B172" t="s" s="21">
        <v>64</v>
      </c>
      <c r="C172" t="s" s="21">
        <v>42</v>
      </c>
      <c r="D172" s="22" cm="1">
        <f t="array" ref="D172">_xlfn.SUMIFS('Diseases'!F2:F4303,'Diseases'!B2:B4303,A172,'Diseases'!C2:C4303,B172,'Diseases'!D2:D4303,C172)</f>
        <v>6031</v>
      </c>
      <c r="E172" s="22" cm="1">
        <f t="array" ref="E172">_xlfn.IFERROR(IF(INDEX('Diseases'!G2:G4303,MATCH(C172,'Diseases'!D2:D4303,0))="","",INDEX('Diseases'!G2:G4303,MATCH(C172,'Diseases'!D2:D4303,0))),"")</f>
        <v>5458063</v>
      </c>
      <c r="F172" s="23" cm="1">
        <f t="array" ref="F172">_xlfn.IFERROR(IF(E172="","",D172/E172*100000),"")</f>
        <v>110.497075610890</v>
      </c>
    </row>
    <row r="173" ht="13.65" customHeight="1">
      <c r="A173" t="s" s="29">
        <v>39</v>
      </c>
      <c r="B173" t="s" s="21">
        <v>64</v>
      </c>
      <c r="C173" t="s" s="21">
        <v>42</v>
      </c>
      <c r="D173" s="22" cm="1">
        <f t="array" ref="D173">_xlfn.SUMIFS('Diseases'!F2:F4303,'Diseases'!B2:B4303,A173,'Diseases'!C2:C4303,B173,'Diseases'!D2:D4303,C173)</f>
        <v>1807</v>
      </c>
      <c r="E173" s="22" cm="1">
        <f t="array" ref="E173">_xlfn.IFERROR(IF(INDEX('Diseases'!G2:G4303,MATCH(C173,'Diseases'!D2:D4303,0))="","",INDEX('Diseases'!G2:G4303,MATCH(C173,'Diseases'!D2:D4303,0))),"")</f>
        <v>5458063</v>
      </c>
      <c r="F173" s="23" cm="1">
        <f t="array" ref="F173">_xlfn.IFERROR(IF(E173="","",D173/E173*100000),"")</f>
        <v>33.1069831916561</v>
      </c>
    </row>
    <row r="174" ht="13.65" customHeight="1">
      <c r="A174" t="s" s="28">
        <v>41</v>
      </c>
      <c r="B174" t="s" s="21">
        <v>64</v>
      </c>
      <c r="C174" t="s" s="21">
        <v>42</v>
      </c>
      <c r="D174" s="22" cm="1">
        <f t="array" ref="D174">_xlfn.SUMIFS('Diseases'!F2:F4303,'Diseases'!B2:B4303,A174,'Diseases'!C2:C4303,B174,'Diseases'!D2:D4303,C174)</f>
        <v>1123</v>
      </c>
      <c r="E174" s="22" cm="1">
        <f t="array" ref="E174">_xlfn.IFERROR(IF(INDEX('Diseases'!G2:G4303,MATCH(C174,'Diseases'!D2:D4303,0))="","",INDEX('Diseases'!G2:G4303,MATCH(C174,'Diseases'!D2:D4303,0))),"")</f>
        <v>5458063</v>
      </c>
      <c r="F174" s="23" cm="1">
        <f t="array" ref="F174">_xlfn.IFERROR(IF(E174="","",D174/E174*100000),"")</f>
        <v>20.5750648169506</v>
      </c>
    </row>
    <row r="175" ht="13.65" customHeight="1">
      <c r="A175" t="s" s="26">
        <v>36</v>
      </c>
      <c r="B175" t="s" s="21">
        <v>64</v>
      </c>
      <c r="C175" t="s" s="21">
        <v>42</v>
      </c>
      <c r="D175" s="22" cm="1">
        <f t="array" ref="D175">_xlfn.SUMIFS('Diseases'!F2:F4303,'Diseases'!B2:B4303,A175,'Diseases'!C2:C4303,B175,'Diseases'!D2:D4303,C175)</f>
        <v>1051</v>
      </c>
      <c r="E175" s="22" cm="1">
        <f t="array" ref="E175">_xlfn.IFERROR(IF(INDEX('Diseases'!G2:G4303,MATCH(C175,'Diseases'!D2:D4303,0))="","",INDEX('Diseases'!G2:G4303,MATCH(C175,'Diseases'!D2:D4303,0))),"")</f>
        <v>5458063</v>
      </c>
      <c r="F175" s="23" cm="1">
        <f t="array" ref="F175">_xlfn.IFERROR(IF(E175="","",D175/E175*100000),"")</f>
        <v>19.2559155143501</v>
      </c>
    </row>
    <row r="176" ht="13.65" customHeight="1">
      <c r="A176" t="s" s="20">
        <v>30</v>
      </c>
      <c r="B176" t="s" s="21">
        <v>65</v>
      </c>
      <c r="C176" t="s" s="21">
        <v>42</v>
      </c>
      <c r="D176" s="22" cm="1">
        <f t="array" ref="D176">_xlfn.SUMIFS('Diseases'!F2:F4303,'Diseases'!B2:B4303,A176,'Diseases'!C2:C4303,B176,'Diseases'!D2:D4303,C176)</f>
        <v>7748</v>
      </c>
      <c r="E176" s="22" cm="1">
        <f t="array" ref="E176">_xlfn.IFERROR(IF(INDEX('Diseases'!G2:G4303,MATCH(C176,'Diseases'!D2:D4303,0))="","",INDEX('Diseases'!G2:G4303,MATCH(C176,'Diseases'!D2:D4303,0))),"")</f>
        <v>5458063</v>
      </c>
      <c r="F176" s="23" cm="1">
        <f t="array" ref="F176">_xlfn.IFERROR(IF(E176="","",D176/E176*100000),"")</f>
        <v>141.955122174295</v>
      </c>
    </row>
    <row r="177" ht="13.65" customHeight="1">
      <c r="A177" t="s" s="25">
        <v>35</v>
      </c>
      <c r="B177" t="s" s="21">
        <v>65</v>
      </c>
      <c r="C177" t="s" s="21">
        <v>42</v>
      </c>
      <c r="D177" s="22" cm="1">
        <f t="array" ref="D177">_xlfn.SUMIFS('Diseases'!F2:F4303,'Diseases'!B2:B4303,A177,'Diseases'!C2:C4303,B177,'Diseases'!D2:D4303,C177)</f>
        <v>5429</v>
      </c>
      <c r="E177" s="22" cm="1">
        <f t="array" ref="E177">_xlfn.IFERROR(IF(INDEX('Diseases'!G2:G4303,MATCH(C177,'Diseases'!D2:D4303,0))="","",INDEX('Diseases'!G2:G4303,MATCH(C177,'Diseases'!D2:D4303,0))),"")</f>
        <v>5458063</v>
      </c>
      <c r="F177" s="23" cm="1">
        <f t="array" ref="F177">_xlfn.IFERROR(IF(E177="","",D177/E177*100000),"")</f>
        <v>99.46752171970169</v>
      </c>
    </row>
    <row r="178" ht="13.65" customHeight="1">
      <c r="A178" t="s" s="24">
        <v>34</v>
      </c>
      <c r="B178" t="s" s="21">
        <v>65</v>
      </c>
      <c r="C178" t="s" s="21">
        <v>42</v>
      </c>
      <c r="D178" s="22" cm="1">
        <f t="array" ref="D178">_xlfn.SUMIFS('Diseases'!F2:F4303,'Diseases'!B2:B4303,A178,'Diseases'!C2:C4303,B178,'Diseases'!D2:D4303,C178)</f>
        <v>3773</v>
      </c>
      <c r="E178" s="22" cm="1">
        <f t="array" ref="E178">_xlfn.IFERROR(IF(INDEX('Diseases'!G2:G4303,MATCH(C178,'Diseases'!D2:D4303,0))="","",INDEX('Diseases'!G2:G4303,MATCH(C178,'Diseases'!D2:D4303,0))),"")</f>
        <v>5458063</v>
      </c>
      <c r="F178" s="23" cm="1">
        <f t="array" ref="F178">_xlfn.IFERROR(IF(E178="","",D178/E178*100000),"")</f>
        <v>69.1270877598884</v>
      </c>
    </row>
    <row r="179" ht="13.65" customHeight="1">
      <c r="A179" t="s" s="26">
        <v>36</v>
      </c>
      <c r="B179" t="s" s="21">
        <v>65</v>
      </c>
      <c r="C179" t="s" s="21">
        <v>42</v>
      </c>
      <c r="D179" s="22" cm="1">
        <f t="array" ref="D179">_xlfn.SUMIFS('Diseases'!F2:F4303,'Diseases'!B2:B4303,A179,'Diseases'!C2:C4303,B179,'Diseases'!D2:D4303,C179)</f>
        <v>1788</v>
      </c>
      <c r="E179" s="22" cm="1">
        <f t="array" ref="E179">_xlfn.IFERROR(IF(INDEX('Diseases'!G2:G4303,MATCH(C179,'Diseases'!D2:D4303,0))="","",INDEX('Diseases'!G2:G4303,MATCH(C179,'Diseases'!D2:D4303,0))),"")</f>
        <v>5458063</v>
      </c>
      <c r="F179" s="23" cm="1">
        <f t="array" ref="F179">_xlfn.IFERROR(IF(E179="","",D179/E179*100000),"")</f>
        <v>32.7588743479143</v>
      </c>
    </row>
    <row r="180" ht="13.65" customHeight="1">
      <c r="A180" t="s" s="29">
        <v>39</v>
      </c>
      <c r="B180" t="s" s="21">
        <v>65</v>
      </c>
      <c r="C180" t="s" s="21">
        <v>42</v>
      </c>
      <c r="D180" s="22" cm="1">
        <f t="array" ref="D180">_xlfn.SUMIFS('Diseases'!F2:F4303,'Diseases'!B2:B4303,A180,'Diseases'!C2:C4303,B180,'Diseases'!D2:D4303,C180)</f>
        <v>1421</v>
      </c>
      <c r="E180" s="22" cm="1">
        <f t="array" ref="E180">_xlfn.IFERROR(IF(INDEX('Diseases'!G2:G4303,MATCH(C180,'Diseases'!D2:D4303,0))="","",INDEX('Diseases'!G2:G4303,MATCH(C180,'Diseases'!D2:D4303,0))),"")</f>
        <v>5458063</v>
      </c>
      <c r="F180" s="23" cm="1">
        <f t="array" ref="F180">_xlfn.IFERROR(IF(E180="","",D180/E180*100000),"")</f>
        <v>26.0348772082697</v>
      </c>
    </row>
    <row r="181" ht="13.65" customHeight="1">
      <c r="A181" t="s" s="27">
        <v>37</v>
      </c>
      <c r="B181" t="s" s="21">
        <v>65</v>
      </c>
      <c r="C181" t="s" s="21">
        <v>42</v>
      </c>
      <c r="D181" s="22" cm="1">
        <f t="array" ref="D181">_xlfn.SUMIFS('Diseases'!F2:F4303,'Diseases'!B2:B4303,A181,'Diseases'!C2:C4303,B181,'Diseases'!D2:D4303,C181)</f>
        <v>1228</v>
      </c>
      <c r="E181" s="22" cm="1">
        <f t="array" ref="E181">_xlfn.IFERROR(IF(INDEX('Diseases'!G2:G4303,MATCH(C181,'Diseases'!D2:D4303,0))="","",INDEX('Diseases'!G2:G4303,MATCH(C181,'Diseases'!D2:D4303,0))),"")</f>
        <v>5458063</v>
      </c>
      <c r="F181" s="23" cm="1">
        <f t="array" ref="F181">_xlfn.IFERROR(IF(E181="","",D181/E181*100000),"")</f>
        <v>22.4988242165765</v>
      </c>
    </row>
    <row r="182" ht="13.65" customHeight="1">
      <c r="A182" t="s" s="20">
        <v>30</v>
      </c>
      <c r="B182" t="s" s="21">
        <v>66</v>
      </c>
      <c r="C182" t="s" s="21">
        <v>42</v>
      </c>
      <c r="D182" s="22" cm="1">
        <f t="array" ref="D182">_xlfn.SUMIFS('Diseases'!F2:F4303,'Diseases'!B2:B4303,A182,'Diseases'!C2:C4303,B182,'Diseases'!D2:D4303,C182)</f>
        <v>27288</v>
      </c>
      <c r="E182" s="22" cm="1">
        <f t="array" ref="E182">_xlfn.IFERROR(IF(INDEX('Diseases'!G2:G4303,MATCH(C182,'Diseases'!D2:D4303,0))="","",INDEX('Diseases'!G2:G4303,MATCH(C182,'Diseases'!D2:D4303,0))),"")</f>
        <v>5458063</v>
      </c>
      <c r="F182" s="23" cm="1">
        <f t="array" ref="F182">_xlfn.IFERROR(IF(E182="","",D182/E182*100000),"")</f>
        <v>499.957585685618</v>
      </c>
    </row>
    <row r="183" ht="13.65" customHeight="1">
      <c r="A183" t="s" s="28">
        <v>41</v>
      </c>
      <c r="B183" t="s" s="21">
        <v>66</v>
      </c>
      <c r="C183" t="s" s="21">
        <v>42</v>
      </c>
      <c r="D183" s="22" cm="1">
        <f t="array" ref="D183">_xlfn.SUMIFS('Diseases'!F2:F4303,'Diseases'!B2:B4303,A183,'Diseases'!C2:C4303,B183,'Diseases'!D2:D4303,C183)</f>
        <v>10318</v>
      </c>
      <c r="E183" s="22" cm="1">
        <f t="array" ref="E183">_xlfn.IFERROR(IF(INDEX('Diseases'!G2:G4303,MATCH(C183,'Diseases'!D2:D4303,0))="","",INDEX('Diseases'!G2:G4303,MATCH(C183,'Diseases'!D2:D4303,0))),"")</f>
        <v>5458063</v>
      </c>
      <c r="F183" s="23" cm="1">
        <f t="array" ref="F183">_xlfn.IFERROR(IF(E183="","",D183/E183*100000),"")</f>
        <v>189.041423669899</v>
      </c>
    </row>
    <row r="184" ht="13.65" customHeight="1">
      <c r="A184" t="s" s="25">
        <v>35</v>
      </c>
      <c r="B184" t="s" s="21">
        <v>66</v>
      </c>
      <c r="C184" t="s" s="21">
        <v>42</v>
      </c>
      <c r="D184" s="22" cm="1">
        <f t="array" ref="D184">_xlfn.SUMIFS('Diseases'!F2:F4303,'Diseases'!B2:B4303,A184,'Diseases'!C2:C4303,B184,'Diseases'!D2:D4303,C184)</f>
        <v>10309</v>
      </c>
      <c r="E184" s="22" cm="1">
        <f t="array" ref="E184">_xlfn.IFERROR(IF(INDEX('Diseases'!G2:G4303,MATCH(C184,'Diseases'!D2:D4303,0))="","",INDEX('Diseases'!G2:G4303,MATCH(C184,'Diseases'!D2:D4303,0))),"")</f>
        <v>5458063</v>
      </c>
      <c r="F184" s="23" cm="1">
        <f t="array" ref="F184">_xlfn.IFERROR(IF(E184="","",D184/E184*100000),"")</f>
        <v>188.876530007074</v>
      </c>
    </row>
    <row r="185" ht="13.65" customHeight="1">
      <c r="A185" t="s" s="24">
        <v>34</v>
      </c>
      <c r="B185" t="s" s="21">
        <v>66</v>
      </c>
      <c r="C185" t="s" s="21">
        <v>42</v>
      </c>
      <c r="D185" s="22" cm="1">
        <f t="array" ref="D185">_xlfn.SUMIFS('Diseases'!F2:F4303,'Diseases'!B2:B4303,A185,'Diseases'!C2:C4303,B185,'Diseases'!D2:D4303,C185)</f>
        <v>8627</v>
      </c>
      <c r="E185" s="22" cm="1">
        <f t="array" ref="E185">_xlfn.IFERROR(IF(INDEX('Diseases'!G2:G4303,MATCH(C185,'Diseases'!D2:D4303,0))="","",INDEX('Diseases'!G2:G4303,MATCH(C185,'Diseases'!D2:D4303,0))),"")</f>
        <v>5458063</v>
      </c>
      <c r="F185" s="23" cm="1">
        <f t="array" ref="F185">_xlfn.IFERROR(IF(E185="","",D185/E185*100000),"")</f>
        <v>158.059736576877</v>
      </c>
    </row>
    <row r="186" ht="13.65" customHeight="1">
      <c r="A186" t="s" s="27">
        <v>37</v>
      </c>
      <c r="B186" t="s" s="21">
        <v>66</v>
      </c>
      <c r="C186" t="s" s="21">
        <v>42</v>
      </c>
      <c r="D186" s="22" cm="1">
        <f t="array" ref="D186">_xlfn.SUMIFS('Diseases'!F2:F4303,'Diseases'!B2:B4303,A186,'Diseases'!C2:C4303,B186,'Diseases'!D2:D4303,C186)</f>
        <v>3597</v>
      </c>
      <c r="E186" s="22" cm="1">
        <f t="array" ref="E186">_xlfn.IFERROR(IF(INDEX('Diseases'!G2:G4303,MATCH(C186,'Diseases'!D2:D4303,0))="","",INDEX('Diseases'!G2:G4303,MATCH(C186,'Diseases'!D2:D4303,0))),"")</f>
        <v>5458063</v>
      </c>
      <c r="F186" s="23" cm="1">
        <f t="array" ref="F186">_xlfn.IFERROR(IF(E186="","",D186/E186*100000),"")</f>
        <v>65.90250057575371</v>
      </c>
    </row>
    <row r="187" ht="13.65" customHeight="1">
      <c r="A187" t="s" s="26">
        <v>36</v>
      </c>
      <c r="B187" t="s" s="21">
        <v>66</v>
      </c>
      <c r="C187" t="s" s="21">
        <v>42</v>
      </c>
      <c r="D187" s="22" cm="1">
        <f t="array" ref="D187">_xlfn.SUMIFS('Diseases'!F2:F4303,'Diseases'!B2:B4303,A187,'Diseases'!C2:C4303,B187,'Diseases'!D2:D4303,C187)</f>
        <v>3196</v>
      </c>
      <c r="E187" s="22" cm="1">
        <f t="array" ref="E187">_xlfn.IFERROR(IF(INDEX('Diseases'!G2:G4303,MATCH(C187,'Diseases'!D2:D4303,0))="","",INDEX('Diseases'!G2:G4303,MATCH(C187,'Diseases'!D2:D4303,0))),"")</f>
        <v>5458063</v>
      </c>
      <c r="F187" s="23" cm="1">
        <f t="array" ref="F187">_xlfn.IFERROR(IF(E187="","",D187/E187*100000),"")</f>
        <v>58.5555718209922</v>
      </c>
    </row>
    <row r="188" ht="13.65" customHeight="1">
      <c r="A188" t="s" s="20">
        <v>30</v>
      </c>
      <c r="B188" t="s" s="21">
        <v>67</v>
      </c>
      <c r="C188" t="s" s="21">
        <v>42</v>
      </c>
      <c r="D188" s="22" cm="1">
        <f t="array" ref="D188">_xlfn.SUMIFS('Diseases'!F2:F4303,'Diseases'!B2:B4303,A188,'Diseases'!C2:C4303,B188,'Diseases'!D2:D4303,C188)</f>
        <v>48958</v>
      </c>
      <c r="E188" s="22" cm="1">
        <f t="array" ref="E188">_xlfn.IFERROR(IF(INDEX('Diseases'!G2:G4303,MATCH(C188,'Diseases'!D2:D4303,0))="","",INDEX('Diseases'!G2:G4303,MATCH(C188,'Diseases'!D2:D4303,0))),"")</f>
        <v>5458063</v>
      </c>
      <c r="F188" s="23" cm="1">
        <f t="array" ref="F188">_xlfn.IFERROR(IF(E188="","",D188/E188*100000),"")</f>
        <v>896.984882732207</v>
      </c>
    </row>
    <row r="189" ht="13.65" customHeight="1">
      <c r="A189" t="s" s="28">
        <v>41</v>
      </c>
      <c r="B189" t="s" s="21">
        <v>67</v>
      </c>
      <c r="C189" t="s" s="21">
        <v>42</v>
      </c>
      <c r="D189" s="22" cm="1">
        <f t="array" ref="D189">_xlfn.SUMIFS('Diseases'!F2:F4303,'Diseases'!B2:B4303,A189,'Diseases'!C2:C4303,B189,'Diseases'!D2:D4303,C189)</f>
        <v>10519</v>
      </c>
      <c r="E189" s="22" cm="1">
        <f t="array" ref="E189">_xlfn.IFERROR(IF(INDEX('Diseases'!G2:G4303,MATCH(C189,'Diseases'!D2:D4303,0))="","",INDEX('Diseases'!G2:G4303,MATCH(C189,'Diseases'!D2:D4303,0))),"")</f>
        <v>5458063</v>
      </c>
      <c r="F189" s="23" cm="1">
        <f t="array" ref="F189">_xlfn.IFERROR(IF(E189="","",D189/E189*100000),"")</f>
        <v>192.724048806326</v>
      </c>
    </row>
    <row r="190" ht="13.65" customHeight="1">
      <c r="A190" t="s" s="25">
        <v>35</v>
      </c>
      <c r="B190" t="s" s="21">
        <v>67</v>
      </c>
      <c r="C190" t="s" s="21">
        <v>42</v>
      </c>
      <c r="D190" s="22" cm="1">
        <f t="array" ref="D190">_xlfn.SUMIFS('Diseases'!F2:F4303,'Diseases'!B2:B4303,A190,'Diseases'!C2:C4303,B190,'Diseases'!D2:D4303,C190)</f>
        <v>9131</v>
      </c>
      <c r="E190" s="22" cm="1">
        <f t="array" ref="E190">_xlfn.IFERROR(IF(INDEX('Diseases'!G2:G4303,MATCH(C190,'Diseases'!D2:D4303,0))="","",INDEX('Diseases'!G2:G4303,MATCH(C190,'Diseases'!D2:D4303,0))),"")</f>
        <v>5458063</v>
      </c>
      <c r="F190" s="23" cm="1">
        <f t="array" ref="F190">_xlfn.IFERROR(IF(E190="","",D190/E190*100000),"")</f>
        <v>167.293781695081</v>
      </c>
    </row>
    <row r="191" ht="13.65" customHeight="1">
      <c r="A191" t="s" s="24">
        <v>34</v>
      </c>
      <c r="B191" t="s" s="21">
        <v>67</v>
      </c>
      <c r="C191" t="s" s="21">
        <v>42</v>
      </c>
      <c r="D191" s="22" cm="1">
        <f t="array" ref="D191">_xlfn.SUMIFS('Diseases'!F2:F4303,'Diseases'!B2:B4303,A191,'Diseases'!C2:C4303,B191,'Diseases'!D2:D4303,C191)</f>
        <v>8226</v>
      </c>
      <c r="E191" s="22" cm="1">
        <f t="array" ref="E191">_xlfn.IFERROR(IF(INDEX('Diseases'!G2:G4303,MATCH(C191,'Diseases'!D2:D4303,0))="","",INDEX('Diseases'!G2:G4303,MATCH(C191,'Diseases'!D2:D4303,0))),"")</f>
        <v>5458063</v>
      </c>
      <c r="F191" s="23" cm="1">
        <f t="array" ref="F191">_xlfn.IFERROR(IF(E191="","",D191/E191*100000),"")</f>
        <v>150.712807822116</v>
      </c>
    </row>
    <row r="192" ht="13.65" customHeight="1">
      <c r="A192" t="s" s="27">
        <v>37</v>
      </c>
      <c r="B192" t="s" s="21">
        <v>67</v>
      </c>
      <c r="C192" t="s" s="21">
        <v>42</v>
      </c>
      <c r="D192" s="22" cm="1">
        <f t="array" ref="D192">_xlfn.SUMIFS('Diseases'!F2:F4303,'Diseases'!B2:B4303,A192,'Diseases'!C2:C4303,B192,'Diseases'!D2:D4303,C192)</f>
        <v>3601</v>
      </c>
      <c r="E192" s="22" cm="1">
        <f t="array" ref="E192">_xlfn.IFERROR(IF(INDEX('Diseases'!G2:G4303,MATCH(C192,'Diseases'!D2:D4303,0))="","",INDEX('Diseases'!G2:G4303,MATCH(C192,'Diseases'!D2:D4303,0))),"")</f>
        <v>5458063</v>
      </c>
      <c r="F192" s="23" cm="1">
        <f t="array" ref="F192">_xlfn.IFERROR(IF(E192="","",D192/E192*100000),"")</f>
        <v>65.9757866481204</v>
      </c>
    </row>
    <row r="193" ht="13.65" customHeight="1">
      <c r="A193" t="s" s="20">
        <v>30</v>
      </c>
      <c r="B193" t="s" s="21">
        <v>68</v>
      </c>
      <c r="C193" t="s" s="21">
        <v>42</v>
      </c>
      <c r="D193" s="22" cm="1">
        <f t="array" ref="D193">_xlfn.SUMIFS('Diseases'!F2:F4303,'Diseases'!B2:B4303,A193,'Diseases'!C2:C4303,B193,'Diseases'!D2:D4303,C193)</f>
        <v>47590</v>
      </c>
      <c r="E193" s="22" cm="1">
        <f t="array" ref="E193">_xlfn.IFERROR(IF(INDEX('Diseases'!G2:G4303,MATCH(C193,'Diseases'!D2:D4303,0))="","",INDEX('Diseases'!G2:G4303,MATCH(C193,'Diseases'!D2:D4303,0))),"")</f>
        <v>5458063</v>
      </c>
      <c r="F193" s="23" cm="1">
        <f t="array" ref="F193">_xlfn.IFERROR(IF(E193="","",D193/E193*100000),"")</f>
        <v>871.921045982796</v>
      </c>
    </row>
    <row r="194" ht="13.65" customHeight="1">
      <c r="A194" t="s" s="28">
        <v>41</v>
      </c>
      <c r="B194" t="s" s="21">
        <v>68</v>
      </c>
      <c r="C194" t="s" s="21">
        <v>42</v>
      </c>
      <c r="D194" s="22" cm="1">
        <f t="array" ref="D194">_xlfn.SUMIFS('Diseases'!F2:F4303,'Diseases'!B2:B4303,A194,'Diseases'!C2:C4303,B194,'Diseases'!D2:D4303,C194)</f>
        <v>13869</v>
      </c>
      <c r="E194" s="22" cm="1">
        <f t="array" ref="E194">_xlfn.IFERROR(IF(INDEX('Diseases'!G2:G4303,MATCH(C194,'Diseases'!D2:D4303,0))="","",INDEX('Diseases'!G2:G4303,MATCH(C194,'Diseases'!D2:D4303,0))),"")</f>
        <v>5458063</v>
      </c>
      <c r="F194" s="23" cm="1">
        <f t="array" ref="F194">_xlfn.IFERROR(IF(E194="","",D194/E194*100000),"")</f>
        <v>254.101134413436</v>
      </c>
    </row>
    <row r="195" ht="13.65" customHeight="1">
      <c r="A195" t="s" s="27">
        <v>37</v>
      </c>
      <c r="B195" t="s" s="21">
        <v>68</v>
      </c>
      <c r="C195" t="s" s="21">
        <v>42</v>
      </c>
      <c r="D195" s="22" cm="1">
        <f t="array" ref="D195">_xlfn.SUMIFS('Diseases'!F2:F4303,'Diseases'!B2:B4303,A195,'Diseases'!C2:C4303,B195,'Diseases'!D2:D4303,C195)</f>
        <v>7765</v>
      </c>
      <c r="E195" s="22" cm="1">
        <f t="array" ref="E195">_xlfn.IFERROR(IF(INDEX('Diseases'!G2:G4303,MATCH(C195,'Diseases'!D2:D4303,0))="","",INDEX('Diseases'!G2:G4303,MATCH(C195,'Diseases'!D2:D4303,0))),"")</f>
        <v>5458063</v>
      </c>
      <c r="F195" s="23" cm="1">
        <f t="array" ref="F195">_xlfn.IFERROR(IF(E195="","",D195/E195*100000),"")</f>
        <v>142.266587981854</v>
      </c>
    </row>
    <row r="196" ht="13.65" customHeight="1">
      <c r="A196" t="s" s="24">
        <v>34</v>
      </c>
      <c r="B196" t="s" s="21">
        <v>68</v>
      </c>
      <c r="C196" t="s" s="21">
        <v>42</v>
      </c>
      <c r="D196" s="22" cm="1">
        <f t="array" ref="D196">_xlfn.SUMIFS('Diseases'!F2:F4303,'Diseases'!B2:B4303,A196,'Diseases'!C2:C4303,B196,'Diseases'!D2:D4303,C196)</f>
        <v>7472</v>
      </c>
      <c r="E196" s="22" cm="1">
        <f t="array" ref="E196">_xlfn.IFERROR(IF(INDEX('Diseases'!G2:G4303,MATCH(C196,'Diseases'!D2:D4303,0))="","",INDEX('Diseases'!G2:G4303,MATCH(C196,'Diseases'!D2:D4303,0))),"")</f>
        <v>5458063</v>
      </c>
      <c r="F196" s="23" cm="1">
        <f t="array" ref="F196">_xlfn.IFERROR(IF(E196="","",D196/E196*100000),"")</f>
        <v>136.898383180993</v>
      </c>
    </row>
    <row r="197" ht="13.65" customHeight="1">
      <c r="A197" t="s" s="25">
        <v>35</v>
      </c>
      <c r="B197" t="s" s="21">
        <v>68</v>
      </c>
      <c r="C197" t="s" s="21">
        <v>42</v>
      </c>
      <c r="D197" s="22" cm="1">
        <f t="array" ref="D197">_xlfn.SUMIFS('Diseases'!F2:F4303,'Diseases'!B2:B4303,A197,'Diseases'!C2:C4303,B197,'Diseases'!D2:D4303,C197)</f>
        <v>6617</v>
      </c>
      <c r="E197" s="22" cm="1">
        <f t="array" ref="E197">_xlfn.IFERROR(IF(INDEX('Diseases'!G2:G4303,MATCH(C197,'Diseases'!D2:D4303,0))="","",INDEX('Diseases'!G2:G4303,MATCH(C197,'Diseases'!D2:D4303,0))),"")</f>
        <v>5458063</v>
      </c>
      <c r="F197" s="23" cm="1">
        <f t="array" ref="F197">_xlfn.IFERROR(IF(E197="","",D197/E197*100000),"")</f>
        <v>121.233485212611</v>
      </c>
    </row>
    <row r="198" ht="13.65" customHeight="1">
      <c r="A198" t="s" s="20">
        <v>30</v>
      </c>
      <c r="B198" t="s" s="21">
        <v>69</v>
      </c>
      <c r="C198" t="s" s="21">
        <v>42</v>
      </c>
      <c r="D198" s="22" cm="1">
        <f t="array" ref="D198">_xlfn.SUMIFS('Diseases'!F2:F4303,'Diseases'!B2:B4303,A198,'Diseases'!C2:C4303,B198,'Diseases'!D2:D4303,C198)</f>
        <v>20580</v>
      </c>
      <c r="E198" s="22" cm="1">
        <f t="array" ref="E198">_xlfn.IFERROR(IF(INDEX('Diseases'!G2:G4303,MATCH(C198,'Diseases'!D2:D4303,0))="","",INDEX('Diseases'!G2:G4303,MATCH(C198,'Diseases'!D2:D4303,0))),"")</f>
        <v>5458063</v>
      </c>
      <c r="F198" s="23" cm="1">
        <f t="array" ref="F198">_xlfn.IFERROR(IF(E198="","",D198/E198*100000),"")</f>
        <v>377.056842326664</v>
      </c>
    </row>
    <row r="199" ht="13.65" customHeight="1">
      <c r="A199" t="s" s="24">
        <v>34</v>
      </c>
      <c r="B199" t="s" s="21">
        <v>69</v>
      </c>
      <c r="C199" t="s" s="21">
        <v>42</v>
      </c>
      <c r="D199" s="22" cm="1">
        <f t="array" ref="D199">_xlfn.SUMIFS('Diseases'!F2:F4303,'Diseases'!B2:B4303,A199,'Diseases'!C2:C4303,B199,'Diseases'!D2:D4303,C199)</f>
        <v>11064</v>
      </c>
      <c r="E199" s="22" cm="1">
        <f t="array" ref="E199">_xlfn.IFERROR(IF(INDEX('Diseases'!G2:G4303,MATCH(C199,'Diseases'!D2:D4303,0))="","",INDEX('Diseases'!G2:G4303,MATCH(C199,'Diseases'!D2:D4303,0))),"")</f>
        <v>5458063</v>
      </c>
      <c r="F199" s="23" cm="1">
        <f t="array" ref="F199">_xlfn.IFERROR(IF(E199="","",D199/E199*100000),"")</f>
        <v>202.709276166288</v>
      </c>
    </row>
    <row r="200" ht="13.65" customHeight="1">
      <c r="A200" t="s" s="25">
        <v>35</v>
      </c>
      <c r="B200" t="s" s="21">
        <v>69</v>
      </c>
      <c r="C200" t="s" s="21">
        <v>42</v>
      </c>
      <c r="D200" s="22" cm="1">
        <f t="array" ref="D200">_xlfn.SUMIFS('Diseases'!F2:F4303,'Diseases'!B2:B4303,A200,'Diseases'!C2:C4303,B200,'Diseases'!D2:D4303,C200)</f>
        <v>8134</v>
      </c>
      <c r="E200" s="22" cm="1">
        <f t="array" ref="E200">_xlfn.IFERROR(IF(INDEX('Diseases'!G2:G4303,MATCH(C200,'Diseases'!D2:D4303,0))="","",INDEX('Diseases'!G2:G4303,MATCH(C200,'Diseases'!D2:D4303,0))),"")</f>
        <v>5458063</v>
      </c>
      <c r="F200" s="23" cm="1">
        <f t="array" ref="F200">_xlfn.IFERROR(IF(E200="","",D200/E200*100000),"")</f>
        <v>149.027228157682</v>
      </c>
    </row>
    <row r="201" ht="13.65" customHeight="1">
      <c r="A201" t="s" s="27">
        <v>37</v>
      </c>
      <c r="B201" t="s" s="21">
        <v>69</v>
      </c>
      <c r="C201" t="s" s="21">
        <v>42</v>
      </c>
      <c r="D201" s="22" cm="1">
        <f t="array" ref="D201">_xlfn.SUMIFS('Diseases'!F2:F4303,'Diseases'!B2:B4303,A201,'Diseases'!C2:C4303,B201,'Diseases'!D2:D4303,C201)</f>
        <v>3251</v>
      </c>
      <c r="E201" s="22" cm="1">
        <f t="array" ref="E201">_xlfn.IFERROR(IF(INDEX('Diseases'!G2:G4303,MATCH(C201,'Diseases'!D2:D4303,0))="","",INDEX('Diseases'!G2:G4303,MATCH(C201,'Diseases'!D2:D4303,0))),"")</f>
        <v>5458063</v>
      </c>
      <c r="F201" s="23" cm="1">
        <f t="array" ref="F201">_xlfn.IFERROR(IF(E201="","",D201/E201*100000),"")</f>
        <v>59.5632553160343</v>
      </c>
    </row>
    <row r="202" ht="13.65" customHeight="1">
      <c r="A202" t="s" s="29">
        <v>39</v>
      </c>
      <c r="B202" t="s" s="21">
        <v>69</v>
      </c>
      <c r="C202" t="s" s="21">
        <v>42</v>
      </c>
      <c r="D202" s="22" cm="1">
        <f t="array" ref="D202">_xlfn.SUMIFS('Diseases'!F2:F4303,'Diseases'!B2:B4303,A202,'Diseases'!C2:C4303,B202,'Diseases'!D2:D4303,C202)</f>
        <v>2167</v>
      </c>
      <c r="E202" s="22" cm="1">
        <f t="array" ref="E202">_xlfn.IFERROR(IF(INDEX('Diseases'!G2:G4303,MATCH(C202,'Diseases'!D2:D4303,0))="","",INDEX('Diseases'!G2:G4303,MATCH(C202,'Diseases'!D2:D4303,0))),"")</f>
        <v>5458063</v>
      </c>
      <c r="F202" s="23" cm="1">
        <f t="array" ref="F202">_xlfn.IFERROR(IF(E202="","",D202/E202*100000),"")</f>
        <v>39.702729704659</v>
      </c>
    </row>
    <row r="203" ht="13.65" customHeight="1">
      <c r="A203" t="s" s="28">
        <v>41</v>
      </c>
      <c r="B203" t="s" s="21">
        <v>69</v>
      </c>
      <c r="C203" t="s" s="21">
        <v>42</v>
      </c>
      <c r="D203" s="22" cm="1">
        <f t="array" ref="D203">_xlfn.SUMIFS('Diseases'!F2:F4303,'Diseases'!B2:B4303,A203,'Diseases'!C2:C4303,B203,'Diseases'!D2:D4303,C203)</f>
        <v>1993</v>
      </c>
      <c r="E203" s="22" cm="1">
        <f t="array" ref="E203">_xlfn.IFERROR(IF(INDEX('Diseases'!G2:G4303,MATCH(C203,'Diseases'!D2:D4303,0))="","",INDEX('Diseases'!G2:G4303,MATCH(C203,'Diseases'!D2:D4303,0))),"")</f>
        <v>5458063</v>
      </c>
      <c r="F203" s="23" cm="1">
        <f t="array" ref="F203">_xlfn.IFERROR(IF(E203="","",D203/E203*100000),"")</f>
        <v>36.5147855567076</v>
      </c>
    </row>
    <row r="204" ht="13.65" customHeight="1">
      <c r="A204" t="s" s="26">
        <v>36</v>
      </c>
      <c r="B204" t="s" s="21">
        <v>69</v>
      </c>
      <c r="C204" t="s" s="21">
        <v>42</v>
      </c>
      <c r="D204" s="22" cm="1">
        <f t="array" ref="D204">_xlfn.SUMIFS('Diseases'!F2:F4303,'Diseases'!B2:B4303,A204,'Diseases'!C2:C4303,B204,'Diseases'!D2:D4303,C204)</f>
        <v>1894</v>
      </c>
      <c r="E204" s="22" cm="1">
        <f t="array" ref="E204">_xlfn.IFERROR(IF(INDEX('Diseases'!G2:G4303,MATCH(C204,'Diseases'!D2:D4303,0))="","",INDEX('Diseases'!G2:G4303,MATCH(C204,'Diseases'!D2:D4303,0))),"")</f>
        <v>5458063</v>
      </c>
      <c r="F204" s="23" cm="1">
        <f t="array" ref="F204">_xlfn.IFERROR(IF(E204="","",D204/E204*100000),"")</f>
        <v>34.7009552656318</v>
      </c>
    </row>
    <row r="205" ht="13.65" customHeight="1">
      <c r="A205" t="s" s="20">
        <v>30</v>
      </c>
      <c r="B205" t="s" s="21">
        <v>70</v>
      </c>
      <c r="C205" t="s" s="21">
        <v>42</v>
      </c>
      <c r="D205" s="22" cm="1">
        <f t="array" ref="D205">_xlfn.SUMIFS('Diseases'!F2:F4303,'Diseases'!B2:B4303,A205,'Diseases'!C2:C4303,B205,'Diseases'!D2:D4303,C205)</f>
        <v>30665</v>
      </c>
      <c r="E205" s="22" cm="1">
        <f t="array" ref="E205">_xlfn.IFERROR(IF(INDEX('Diseases'!G2:G4303,MATCH(C205,'Diseases'!D2:D4303,0))="","",INDEX('Diseases'!G2:G4303,MATCH(C205,'Diseases'!D2:D4303,0))),"")</f>
        <v>5458063</v>
      </c>
      <c r="F205" s="23" cm="1">
        <f t="array" ref="F205">_xlfn.IFERROR(IF(E205="","",D205/E205*100000),"")</f>
        <v>561.829352281203</v>
      </c>
    </row>
    <row r="206" ht="13.65" customHeight="1">
      <c r="A206" t="s" s="28">
        <v>41</v>
      </c>
      <c r="B206" t="s" s="21">
        <v>70</v>
      </c>
      <c r="C206" t="s" s="21">
        <v>42</v>
      </c>
      <c r="D206" s="22" cm="1">
        <f t="array" ref="D206">_xlfn.SUMIFS('Diseases'!F2:F4303,'Diseases'!B2:B4303,A206,'Diseases'!C2:C4303,B206,'Diseases'!D2:D4303,C206)</f>
        <v>9749</v>
      </c>
      <c r="E206" s="22" cm="1">
        <f t="array" ref="E206">_xlfn.IFERROR(IF(INDEX('Diseases'!G2:G4303,MATCH(C206,'Diseases'!D2:D4303,0))="","",INDEX('Diseases'!G2:G4303,MATCH(C206,'Diseases'!D2:D4303,0))),"")</f>
        <v>5458063</v>
      </c>
      <c r="F206" s="23" cm="1">
        <f t="array" ref="F206">_xlfn.IFERROR(IF(E206="","",D206/E206*100000),"")</f>
        <v>178.616479875736</v>
      </c>
    </row>
    <row r="207" ht="13.65" customHeight="1">
      <c r="A207" t="s" s="27">
        <v>37</v>
      </c>
      <c r="B207" t="s" s="21">
        <v>70</v>
      </c>
      <c r="C207" t="s" s="21">
        <v>42</v>
      </c>
      <c r="D207" s="22" cm="1">
        <f t="array" ref="D207">_xlfn.SUMIFS('Diseases'!F2:F4303,'Diseases'!B2:B4303,A207,'Diseases'!C2:C4303,B207,'Diseases'!D2:D4303,C207)</f>
        <v>9594</v>
      </c>
      <c r="E207" s="22" cm="1">
        <f t="array" ref="E207">_xlfn.IFERROR(IF(INDEX('Diseases'!G2:G4303,MATCH(C207,'Diseases'!D2:D4303,0))="","",INDEX('Diseases'!G2:G4303,MATCH(C207,'Diseases'!D2:D4303,0))),"")</f>
        <v>5458063</v>
      </c>
      <c r="F207" s="23" cm="1">
        <f t="array" ref="F207">_xlfn.IFERROR(IF(E207="","",D207/E207*100000),"")</f>
        <v>175.776644571527</v>
      </c>
    </row>
    <row r="208" ht="13.65" customHeight="1">
      <c r="A208" t="s" s="25">
        <v>35</v>
      </c>
      <c r="B208" t="s" s="21">
        <v>70</v>
      </c>
      <c r="C208" t="s" s="21">
        <v>42</v>
      </c>
      <c r="D208" s="22" cm="1">
        <f t="array" ref="D208">_xlfn.SUMIFS('Diseases'!F2:F4303,'Diseases'!B2:B4303,A208,'Diseases'!C2:C4303,B208,'Diseases'!D2:D4303,C208)</f>
        <v>6714</v>
      </c>
      <c r="E208" s="22" cm="1">
        <f t="array" ref="E208">_xlfn.IFERROR(IF(INDEX('Diseases'!G2:G4303,MATCH(C208,'Diseases'!D2:D4303,0))="","",INDEX('Diseases'!G2:G4303,MATCH(C208,'Diseases'!D2:D4303,0))),"")</f>
        <v>5458063</v>
      </c>
      <c r="F208" s="23" cm="1">
        <f t="array" ref="F208">_xlfn.IFERROR(IF(E208="","",D208/E208*100000),"")</f>
        <v>123.010672467504</v>
      </c>
    </row>
    <row r="209" ht="13.65" customHeight="1">
      <c r="A209" t="s" s="24">
        <v>34</v>
      </c>
      <c r="B209" t="s" s="21">
        <v>70</v>
      </c>
      <c r="C209" t="s" s="21">
        <v>42</v>
      </c>
      <c r="D209" s="22" cm="1">
        <f t="array" ref="D209">_xlfn.SUMIFS('Diseases'!F2:F4303,'Diseases'!B2:B4303,A209,'Diseases'!C2:C4303,B209,'Diseases'!D2:D4303,C209)</f>
        <v>5125</v>
      </c>
      <c r="E209" s="22" cm="1">
        <f t="array" ref="E209">_xlfn.IFERROR(IF(INDEX('Diseases'!G2:G4303,MATCH(C209,'Diseases'!D2:D4303,0))="","",INDEX('Diseases'!G2:G4303,MATCH(C209,'Diseases'!D2:D4303,0))),"")</f>
        <v>5458063</v>
      </c>
      <c r="F209" s="23" cm="1">
        <f t="array" ref="F209">_xlfn.IFERROR(IF(E209="","",D209/E209*100000),"")</f>
        <v>93.8977802198326</v>
      </c>
    </row>
    <row r="210" ht="13.65" customHeight="1">
      <c r="A210" t="s" s="20">
        <v>30</v>
      </c>
      <c r="B210" t="s" s="21">
        <v>31</v>
      </c>
      <c r="C210" t="s" s="21">
        <v>43</v>
      </c>
      <c r="D210" s="22" cm="1">
        <f t="array" ref="D210">_xlfn.SUMIFS('Diseases'!F2:F4303,'Diseases'!B2:B4303,A210,'Diseases'!C2:C4303,B210,'Diseases'!D2:D4303,C210)</f>
        <v>27827</v>
      </c>
      <c r="E210" s="22" cm="1">
        <f t="array" ref="E210">_xlfn.IFERROR(IF(INDEX('Diseases'!G2:G4303,MATCH(C210,'Diseases'!D2:D4303,0))="","",INDEX('Diseases'!G2:G4303,MATCH(C210,'Diseases'!D2:D4303,0))),"")</f>
        <v>3817144</v>
      </c>
      <c r="F210" s="23" cm="1">
        <f t="array" ref="F210">_xlfn.IFERROR(IF(E210="","",D210/E210*100000),"")</f>
        <v>729.000530239362</v>
      </c>
    </row>
    <row r="211" ht="13.65" customHeight="1">
      <c r="A211" t="s" s="24">
        <v>34</v>
      </c>
      <c r="B211" t="s" s="21">
        <v>31</v>
      </c>
      <c r="C211" t="s" s="21">
        <v>43</v>
      </c>
      <c r="D211" s="22" cm="1">
        <f t="array" ref="D211">_xlfn.SUMIFS('Diseases'!F2:F4303,'Diseases'!B2:B4303,A211,'Diseases'!C2:C4303,B211,'Diseases'!D2:D4303,C211)</f>
        <v>10460</v>
      </c>
      <c r="E211" s="22" cm="1">
        <f t="array" ref="E211">_xlfn.IFERROR(IF(INDEX('Diseases'!G2:G4303,MATCH(C211,'Diseases'!D2:D4303,0))="","",INDEX('Diseases'!G2:G4303,MATCH(C211,'Diseases'!D2:D4303,0))),"")</f>
        <v>3817144</v>
      </c>
      <c r="F211" s="23" cm="1">
        <f t="array" ref="F211">_xlfn.IFERROR(IF(E211="","",D211/E211*100000),"")</f>
        <v>274.026864063813</v>
      </c>
    </row>
    <row r="212" ht="13.65" customHeight="1">
      <c r="A212" t="s" s="29">
        <v>39</v>
      </c>
      <c r="B212" t="s" s="21">
        <v>31</v>
      </c>
      <c r="C212" t="s" s="21">
        <v>43</v>
      </c>
      <c r="D212" s="22" cm="1">
        <f t="array" ref="D212">_xlfn.SUMIFS('Diseases'!F2:F4303,'Diseases'!B2:B4303,A212,'Diseases'!C2:C4303,B212,'Diseases'!D2:D4303,C212)</f>
        <v>3032</v>
      </c>
      <c r="E212" s="22" cm="1">
        <f t="array" ref="E212">_xlfn.IFERROR(IF(INDEX('Diseases'!G2:G4303,MATCH(C212,'Diseases'!D2:D4303,0))="","",INDEX('Diseases'!G2:G4303,MATCH(C212,'Diseases'!D2:D4303,0))),"")</f>
        <v>3817144</v>
      </c>
      <c r="F212" s="23" cm="1">
        <f t="array" ref="F212">_xlfn.IFERROR(IF(E212="","",D212/E212*100000),"")</f>
        <v>79.4311139427803</v>
      </c>
    </row>
    <row r="213" ht="13.65" customHeight="1">
      <c r="A213" t="s" s="26">
        <v>36</v>
      </c>
      <c r="B213" t="s" s="21">
        <v>31</v>
      </c>
      <c r="C213" t="s" s="21">
        <v>43</v>
      </c>
      <c r="D213" s="22" cm="1">
        <f t="array" ref="D213">_xlfn.SUMIFS('Diseases'!F2:F4303,'Diseases'!B2:B4303,A213,'Diseases'!C2:C4303,B213,'Diseases'!D2:D4303,C213)</f>
        <v>1797</v>
      </c>
      <c r="E213" s="22" cm="1">
        <f t="array" ref="E213">_xlfn.IFERROR(IF(INDEX('Diseases'!G2:G4303,MATCH(C213,'Diseases'!D2:D4303,0))="","",INDEX('Diseases'!G2:G4303,MATCH(C213,'Diseases'!D2:D4303,0))),"")</f>
        <v>3817144</v>
      </c>
      <c r="F213" s="23" cm="1">
        <f t="array" ref="F213">_xlfn.IFERROR(IF(E213="","",D213/E213*100000),"")</f>
        <v>47.0770817134486</v>
      </c>
    </row>
    <row r="214" ht="13.65" customHeight="1">
      <c r="A214" t="s" s="27">
        <v>37</v>
      </c>
      <c r="B214" t="s" s="21">
        <v>31</v>
      </c>
      <c r="C214" t="s" s="21">
        <v>43</v>
      </c>
      <c r="D214" s="22" cm="1">
        <f t="array" ref="D214">_xlfn.SUMIFS('Diseases'!F2:F4303,'Diseases'!B2:B4303,A214,'Diseases'!C2:C4303,B214,'Diseases'!D2:D4303,C214)</f>
        <v>1783</v>
      </c>
      <c r="E214" s="22" cm="1">
        <f t="array" ref="E214">_xlfn.IFERROR(IF(INDEX('Diseases'!G2:G4303,MATCH(C214,'Diseases'!D2:D4303,0))="","",INDEX('Diseases'!G2:G4303,MATCH(C214,'Diseases'!D2:D4303,0))),"")</f>
        <v>3817144</v>
      </c>
      <c r="F214" s="23" cm="1">
        <f t="array" ref="F214">_xlfn.IFERROR(IF(E214="","",D214/E214*100000),"")</f>
        <v>46.710315356193</v>
      </c>
    </row>
    <row r="215" ht="13.65" customHeight="1">
      <c r="A215" t="s" s="20">
        <v>30</v>
      </c>
      <c r="B215" t="s" s="21">
        <v>60</v>
      </c>
      <c r="C215" t="s" s="21">
        <v>43</v>
      </c>
      <c r="D215" s="22" cm="1">
        <f t="array" ref="D215">_xlfn.SUMIFS('Diseases'!F2:F4303,'Diseases'!B2:B4303,A215,'Diseases'!C2:C4303,B215,'Diseases'!D2:D4303,C215)</f>
        <v>16700</v>
      </c>
      <c r="E215" s="22" cm="1">
        <f t="array" ref="E215">_xlfn.IFERROR(IF(INDEX('Diseases'!G2:G4303,MATCH(C215,'Diseases'!D2:D4303,0))="","",INDEX('Diseases'!G2:G4303,MATCH(C215,'Diseases'!D2:D4303,0))),"")</f>
        <v>3817144</v>
      </c>
      <c r="F215" s="23" cm="1">
        <f t="array" ref="F215">_xlfn.IFERROR(IF(E215="","",D215/E215*100000),"")</f>
        <v>437.499869012015</v>
      </c>
    </row>
    <row r="216" ht="13.65" customHeight="1">
      <c r="A216" t="s" s="24">
        <v>34</v>
      </c>
      <c r="B216" t="s" s="21">
        <v>60</v>
      </c>
      <c r="C216" t="s" s="21">
        <v>43</v>
      </c>
      <c r="D216" s="22" cm="1">
        <f t="array" ref="D216">_xlfn.SUMIFS('Diseases'!F2:F4303,'Diseases'!B2:B4303,A216,'Diseases'!C2:C4303,B216,'Diseases'!D2:D4303,C216)</f>
        <v>11081</v>
      </c>
      <c r="E216" s="22" cm="1">
        <f t="array" ref="E216">_xlfn.IFERROR(IF(INDEX('Diseases'!G2:G4303,MATCH(C216,'Diseases'!D2:D4303,0))="","",INDEX('Diseases'!G2:G4303,MATCH(C216,'Diseases'!D2:D4303,0))),"")</f>
        <v>3817144</v>
      </c>
      <c r="F216" s="23" cm="1">
        <f t="array" ref="F216">_xlfn.IFERROR(IF(E216="","",D216/E216*100000),"")</f>
        <v>290.295571767793</v>
      </c>
    </row>
    <row r="217" ht="13.65" customHeight="1">
      <c r="A217" t="s" s="31">
        <v>45</v>
      </c>
      <c r="B217" t="s" s="21">
        <v>60</v>
      </c>
      <c r="C217" t="s" s="21">
        <v>43</v>
      </c>
      <c r="D217" s="22" cm="1">
        <f t="array" ref="D217">_xlfn.SUMIFS('Diseases'!F2:F4303,'Diseases'!B2:B4303,A217,'Diseases'!C2:C4303,B217,'Diseases'!D2:D4303,C217)</f>
        <v>1859</v>
      </c>
      <c r="E217" s="22" cm="1">
        <f t="array" ref="E217">_xlfn.IFERROR(IF(INDEX('Diseases'!G2:G4303,MATCH(C217,'Diseases'!D2:D4303,0))="","",INDEX('Diseases'!G2:G4303,MATCH(C217,'Diseases'!D2:D4303,0))),"")</f>
        <v>3817144</v>
      </c>
      <c r="F217" s="23" cm="1">
        <f t="array" ref="F217">_xlfn.IFERROR(IF(E217="","",D217/E217*100000),"")</f>
        <v>48.7013327241519</v>
      </c>
    </row>
    <row r="218" ht="13.65" customHeight="1">
      <c r="A218" t="s" s="30">
        <v>40</v>
      </c>
      <c r="B218" t="s" s="21">
        <v>60</v>
      </c>
      <c r="C218" t="s" s="21">
        <v>43</v>
      </c>
      <c r="D218" s="22" cm="1">
        <f t="array" ref="D218">_xlfn.SUMIFS('Diseases'!F2:F4303,'Diseases'!B2:B4303,A218,'Diseases'!C2:C4303,B218,'Diseases'!D2:D4303,C218)</f>
        <v>1569</v>
      </c>
      <c r="E218" s="22" cm="1">
        <f t="array" ref="E218">_xlfn.IFERROR(IF(INDEX('Diseases'!G2:G4303,MATCH(C218,'Diseases'!D2:D4303,0))="","",INDEX('Diseases'!G2:G4303,MATCH(C218,'Diseases'!D2:D4303,0))),"")</f>
        <v>3817144</v>
      </c>
      <c r="F218" s="23" cm="1">
        <f t="array" ref="F218">_xlfn.IFERROR(IF(E218="","",D218/E218*100000),"")</f>
        <v>41.104029609572</v>
      </c>
    </row>
    <row r="219" ht="13.65" customHeight="1">
      <c r="A219" t="s" s="27">
        <v>37</v>
      </c>
      <c r="B219" t="s" s="21">
        <v>60</v>
      </c>
      <c r="C219" t="s" s="21">
        <v>43</v>
      </c>
      <c r="D219" s="22" cm="1">
        <f t="array" ref="D219">_xlfn.SUMIFS('Diseases'!F2:F4303,'Diseases'!B2:B4303,A219,'Diseases'!C2:C4303,B219,'Diseases'!D2:D4303,C219)</f>
        <v>1451</v>
      </c>
      <c r="E219" s="22" cm="1">
        <f t="array" ref="E219">_xlfn.IFERROR(IF(INDEX('Diseases'!G2:G4303,MATCH(C219,'Diseases'!D2:D4303,0))="","",INDEX('Diseases'!G2:G4303,MATCH(C219,'Diseases'!D2:D4303,0))),"")</f>
        <v>3817144</v>
      </c>
      <c r="F219" s="23" cm="1">
        <f t="array" ref="F219">_xlfn.IFERROR(IF(E219="","",D219/E219*100000),"")</f>
        <v>38.0127131698464</v>
      </c>
    </row>
    <row r="220" ht="13.65" customHeight="1">
      <c r="A220" t="s" s="29">
        <v>39</v>
      </c>
      <c r="B220" t="s" s="21">
        <v>60</v>
      </c>
      <c r="C220" t="s" s="21">
        <v>43</v>
      </c>
      <c r="D220" s="22" cm="1">
        <f t="array" ref="D220">_xlfn.SUMIFS('Diseases'!F2:F4303,'Diseases'!B2:B4303,A220,'Diseases'!C2:C4303,B220,'Diseases'!D2:D4303,C220)</f>
        <v>1053</v>
      </c>
      <c r="E220" s="22" cm="1">
        <f t="array" ref="E220">_xlfn.IFERROR(IF(INDEX('Diseases'!G2:G4303,MATCH(C220,'Diseases'!D2:D4303,0))="","",INDEX('Diseases'!G2:G4303,MATCH(C220,'Diseases'!D2:D4303,0))),"")</f>
        <v>3817144</v>
      </c>
      <c r="F220" s="23" cm="1">
        <f t="array" ref="F220">_xlfn.IFERROR(IF(E220="","",D220/E220*100000),"")</f>
        <v>27.5860695850091</v>
      </c>
    </row>
    <row r="221" ht="13.65" customHeight="1">
      <c r="A221" t="s" s="20">
        <v>30</v>
      </c>
      <c r="B221" t="s" s="21">
        <v>61</v>
      </c>
      <c r="C221" t="s" s="21">
        <v>43</v>
      </c>
      <c r="D221" s="22" cm="1">
        <f t="array" ref="D221">_xlfn.SUMIFS('Diseases'!F2:F4303,'Diseases'!B2:B4303,A221,'Diseases'!C2:C4303,B221,'Diseases'!D2:D4303,C221)</f>
        <v>9154</v>
      </c>
      <c r="E221" s="22" cm="1">
        <f t="array" ref="E221">_xlfn.IFERROR(IF(INDEX('Diseases'!G2:G4303,MATCH(C221,'Diseases'!D2:D4303,0))="","",INDEX('Diseases'!G2:G4303,MATCH(C221,'Diseases'!D2:D4303,0))),"")</f>
        <v>3817144</v>
      </c>
      <c r="F221" s="23" cm="1">
        <f t="array" ref="F221">_xlfn.IFERROR(IF(E221="","",D221/E221*100000),"")</f>
        <v>239.812802451257</v>
      </c>
    </row>
    <row r="222" ht="13.65" customHeight="1">
      <c r="A222" t="s" s="24">
        <v>34</v>
      </c>
      <c r="B222" t="s" s="21">
        <v>61</v>
      </c>
      <c r="C222" t="s" s="21">
        <v>43</v>
      </c>
      <c r="D222" s="22" cm="1">
        <f t="array" ref="D222">_xlfn.SUMIFS('Diseases'!F2:F4303,'Diseases'!B2:B4303,A222,'Diseases'!C2:C4303,B222,'Diseases'!D2:D4303,C222)</f>
        <v>6544</v>
      </c>
      <c r="E222" s="22" cm="1">
        <f t="array" ref="E222">_xlfn.IFERROR(IF(INDEX('Diseases'!G2:G4303,MATCH(C222,'Diseases'!D2:D4303,0))="","",INDEX('Diseases'!G2:G4303,MATCH(C222,'Diseases'!D2:D4303,0))),"")</f>
        <v>3817144</v>
      </c>
      <c r="F222" s="23" cm="1">
        <f t="array" ref="F222">_xlfn.IFERROR(IF(E222="","",D222/E222*100000),"")</f>
        <v>171.437074420038</v>
      </c>
    </row>
    <row r="223" ht="13.65" customHeight="1">
      <c r="A223" t="s" s="25">
        <v>35</v>
      </c>
      <c r="B223" t="s" s="21">
        <v>61</v>
      </c>
      <c r="C223" t="s" s="21">
        <v>43</v>
      </c>
      <c r="D223" s="22" cm="1">
        <f t="array" ref="D223">_xlfn.SUMIFS('Diseases'!F2:F4303,'Diseases'!B2:B4303,A223,'Diseases'!C2:C4303,B223,'Diseases'!D2:D4303,C223)</f>
        <v>3147</v>
      </c>
      <c r="E223" s="22" cm="1">
        <f t="array" ref="E223">_xlfn.IFERROR(IF(INDEX('Diseases'!G2:G4303,MATCH(C223,'Diseases'!D2:D4303,0))="","",INDEX('Diseases'!G2:G4303,MATCH(C223,'Diseases'!D2:D4303,0))),"")</f>
        <v>3817144</v>
      </c>
      <c r="F223" s="23" cm="1">
        <f t="array" ref="F223">_xlfn.IFERROR(IF(E223="","",D223/E223*100000),"")</f>
        <v>82.4438375916654</v>
      </c>
    </row>
    <row r="224" ht="13.65" customHeight="1">
      <c r="A224" t="s" s="27">
        <v>37</v>
      </c>
      <c r="B224" t="s" s="21">
        <v>61</v>
      </c>
      <c r="C224" t="s" s="21">
        <v>43</v>
      </c>
      <c r="D224" s="22" cm="1">
        <f t="array" ref="D224">_xlfn.SUMIFS('Diseases'!F2:F4303,'Diseases'!B2:B4303,A224,'Diseases'!C2:C4303,B224,'Diseases'!D2:D4303,C224)</f>
        <v>3096</v>
      </c>
      <c r="E224" s="22" cm="1">
        <f t="array" ref="E224">_xlfn.IFERROR(IF(INDEX('Diseases'!G2:G4303,MATCH(C224,'Diseases'!D2:D4303,0))="","",INDEX('Diseases'!G2:G4303,MATCH(C224,'Diseases'!D2:D4303,0))),"")</f>
        <v>3817144</v>
      </c>
      <c r="F224" s="23" cm="1">
        <f t="array" ref="F224">_xlfn.IFERROR(IF(E224="","",D224/E224*100000),"")</f>
        <v>81.10776014737721</v>
      </c>
    </row>
    <row r="225" ht="13.65" customHeight="1">
      <c r="A225" t="s" s="29">
        <v>39</v>
      </c>
      <c r="B225" t="s" s="21">
        <v>61</v>
      </c>
      <c r="C225" t="s" s="21">
        <v>43</v>
      </c>
      <c r="D225" s="22" cm="1">
        <f t="array" ref="D225">_xlfn.SUMIFS('Diseases'!F2:F4303,'Diseases'!B2:B4303,A225,'Diseases'!C2:C4303,B225,'Diseases'!D2:D4303,C225)</f>
        <v>1487</v>
      </c>
      <c r="E225" s="22" cm="1">
        <f t="array" ref="E225">_xlfn.IFERROR(IF(INDEX('Diseases'!G2:G4303,MATCH(C225,'Diseases'!D2:D4303,0))="","",INDEX('Diseases'!G2:G4303,MATCH(C225,'Diseases'!D2:D4303,0))),"")</f>
        <v>3817144</v>
      </c>
      <c r="F225" s="23" cm="1">
        <f t="array" ref="F225">_xlfn.IFERROR(IF(E225="","",D225/E225*100000),"")</f>
        <v>38.9558266599321</v>
      </c>
    </row>
    <row r="226" ht="13.65" customHeight="1">
      <c r="A226" t="s" s="30">
        <v>40</v>
      </c>
      <c r="B226" t="s" s="21">
        <v>61</v>
      </c>
      <c r="C226" t="s" s="21">
        <v>43</v>
      </c>
      <c r="D226" s="22" cm="1">
        <f t="array" ref="D226">_xlfn.SUMIFS('Diseases'!F2:F4303,'Diseases'!B2:B4303,A226,'Diseases'!C2:C4303,B226,'Diseases'!D2:D4303,C226)</f>
        <v>912</v>
      </c>
      <c r="E226" s="22" cm="1">
        <f t="array" ref="E226">_xlfn.IFERROR(IF(INDEX('Diseases'!G2:G4303,MATCH(C226,'Diseases'!D2:D4303,0))="","",INDEX('Diseases'!G2:G4303,MATCH(C226,'Diseases'!D2:D4303,0))),"")</f>
        <v>3817144</v>
      </c>
      <c r="F226" s="23" cm="1">
        <f t="array" ref="F226">_xlfn.IFERROR(IF(E226="","",D226/E226*100000),"")</f>
        <v>23.8922084155065</v>
      </c>
    </row>
    <row r="227" ht="13.65" customHeight="1">
      <c r="A227" t="s" s="28">
        <v>41</v>
      </c>
      <c r="B227" t="s" s="21">
        <v>61</v>
      </c>
      <c r="C227" t="s" s="21">
        <v>43</v>
      </c>
      <c r="D227" s="22" cm="1">
        <f t="array" ref="D227">_xlfn.SUMIFS('Diseases'!F2:F4303,'Diseases'!B2:B4303,A227,'Diseases'!C2:C4303,B227,'Diseases'!D2:D4303,C227)</f>
        <v>875</v>
      </c>
      <c r="E227" s="22" cm="1">
        <f t="array" ref="E227">_xlfn.IFERROR(IF(INDEX('Diseases'!G2:G4303,MATCH(C227,'Diseases'!D2:D4303,0))="","",INDEX('Diseases'!G2:G4303,MATCH(C227,'Diseases'!D2:D4303,0))),"")</f>
        <v>3817144</v>
      </c>
      <c r="F227" s="23" cm="1">
        <f t="array" ref="F227">_xlfn.IFERROR(IF(E227="","",D227/E227*100000),"")</f>
        <v>22.9228973284739</v>
      </c>
    </row>
    <row r="228" ht="13.65" customHeight="1">
      <c r="A228" t="s" s="20">
        <v>30</v>
      </c>
      <c r="B228" t="s" s="21">
        <v>62</v>
      </c>
      <c r="C228" t="s" s="21">
        <v>43</v>
      </c>
      <c r="D228" s="22" cm="1">
        <f t="array" ref="D228">_xlfn.SUMIFS('Diseases'!F2:F4303,'Diseases'!B2:B4303,A228,'Diseases'!C2:C4303,B228,'Diseases'!D2:D4303,C228)</f>
        <v>186960</v>
      </c>
      <c r="E228" s="22" cm="1">
        <f t="array" ref="E228">_xlfn.IFERROR(IF(INDEX('Diseases'!G2:G4303,MATCH(C228,'Diseases'!D2:D4303,0))="","",INDEX('Diseases'!G2:G4303,MATCH(C228,'Diseases'!D2:D4303,0))),"")</f>
        <v>3817144</v>
      </c>
      <c r="F228" s="23" cm="1">
        <f t="array" ref="F228">_xlfn.IFERROR(IF(E228="","",D228/E228*100000),"")</f>
        <v>4897.902725178820</v>
      </c>
    </row>
    <row r="229" ht="13.65" customHeight="1">
      <c r="A229" t="s" s="24">
        <v>34</v>
      </c>
      <c r="B229" t="s" s="21">
        <v>62</v>
      </c>
      <c r="C229" t="s" s="21">
        <v>43</v>
      </c>
      <c r="D229" s="22" cm="1">
        <f t="array" ref="D229">_xlfn.SUMIFS('Diseases'!F2:F4303,'Diseases'!B2:B4303,A229,'Diseases'!C2:C4303,B229,'Diseases'!D2:D4303,C229)</f>
        <v>50235</v>
      </c>
      <c r="E229" s="22" cm="1">
        <f t="array" ref="E229">_xlfn.IFERROR(IF(INDEX('Diseases'!G2:G4303,MATCH(C229,'Diseases'!D2:D4303,0))="","",INDEX('Diseases'!G2:G4303,MATCH(C229,'Diseases'!D2:D4303,0))),"")</f>
        <v>3817144</v>
      </c>
      <c r="F229" s="23" cm="1">
        <f t="array" ref="F229">_xlfn.IFERROR(IF(E229="","",D229/E229*100000),"")</f>
        <v>1316.036282623870</v>
      </c>
    </row>
    <row r="230" ht="13.65" customHeight="1">
      <c r="A230" t="s" s="25">
        <v>35</v>
      </c>
      <c r="B230" t="s" s="21">
        <v>62</v>
      </c>
      <c r="C230" t="s" s="21">
        <v>43</v>
      </c>
      <c r="D230" s="22" cm="1">
        <f t="array" ref="D230">_xlfn.SUMIFS('Diseases'!F2:F4303,'Diseases'!B2:B4303,A230,'Diseases'!C2:C4303,B230,'Diseases'!D2:D4303,C230)</f>
        <v>13635</v>
      </c>
      <c r="E230" s="22" cm="1">
        <f t="array" ref="E230">_xlfn.IFERROR(IF(INDEX('Diseases'!G2:G4303,MATCH(C230,'Diseases'!D2:D4303,0))="","",INDEX('Diseases'!G2:G4303,MATCH(C230,'Diseases'!D2:D4303,0))),"")</f>
        <v>3817144</v>
      </c>
      <c r="F230" s="23" cm="1">
        <f t="array" ref="F230">_xlfn.IFERROR(IF(E230="","",D230/E230*100000),"")</f>
        <v>357.204234369990</v>
      </c>
    </row>
    <row r="231" ht="13.65" customHeight="1">
      <c r="A231" t="s" s="26">
        <v>36</v>
      </c>
      <c r="B231" t="s" s="21">
        <v>62</v>
      </c>
      <c r="C231" t="s" s="21">
        <v>43</v>
      </c>
      <c r="D231" s="22" cm="1">
        <f t="array" ref="D231">_xlfn.SUMIFS('Diseases'!F2:F4303,'Diseases'!B2:B4303,A231,'Diseases'!C2:C4303,B231,'Diseases'!D2:D4303,C231)</f>
        <v>13545</v>
      </c>
      <c r="E231" s="22" cm="1">
        <f t="array" ref="E231">_xlfn.IFERROR(IF(INDEX('Diseases'!G2:G4303,MATCH(C231,'Diseases'!D2:D4303,0))="","",INDEX('Diseases'!G2:G4303,MATCH(C231,'Diseases'!D2:D4303,0))),"")</f>
        <v>3817144</v>
      </c>
      <c r="F231" s="23" cm="1">
        <f t="array" ref="F231">_xlfn.IFERROR(IF(E231="","",D231/E231*100000),"")</f>
        <v>354.846450644775</v>
      </c>
    </row>
    <row r="232" ht="13.65" customHeight="1">
      <c r="A232" t="s" s="29">
        <v>39</v>
      </c>
      <c r="B232" t="s" s="21">
        <v>62</v>
      </c>
      <c r="C232" t="s" s="21">
        <v>43</v>
      </c>
      <c r="D232" s="22" cm="1">
        <f t="array" ref="D232">_xlfn.SUMIFS('Diseases'!F2:F4303,'Diseases'!B2:B4303,A232,'Diseases'!C2:C4303,B232,'Diseases'!D2:D4303,C232)</f>
        <v>12990</v>
      </c>
      <c r="E232" s="22" cm="1">
        <f t="array" ref="E232">_xlfn.IFERROR(IF(INDEX('Diseases'!G2:G4303,MATCH(C232,'Diseases'!D2:D4303,0))="","",INDEX('Diseases'!G2:G4303,MATCH(C232,'Diseases'!D2:D4303,0))),"")</f>
        <v>3817144</v>
      </c>
      <c r="F232" s="23" cm="1">
        <f t="array" ref="F232">_xlfn.IFERROR(IF(E232="","",D232/E232*100000),"")</f>
        <v>340.306784339286</v>
      </c>
    </row>
    <row r="233" ht="13.65" customHeight="1">
      <c r="A233" t="s" s="27">
        <v>37</v>
      </c>
      <c r="B233" t="s" s="21">
        <v>62</v>
      </c>
      <c r="C233" t="s" s="21">
        <v>43</v>
      </c>
      <c r="D233" s="22" cm="1">
        <f t="array" ref="D233">_xlfn.SUMIFS('Diseases'!F2:F4303,'Diseases'!B2:B4303,A233,'Diseases'!C2:C4303,B233,'Diseases'!D2:D4303,C233)</f>
        <v>11985</v>
      </c>
      <c r="E233" s="22" cm="1">
        <f t="array" ref="E233">_xlfn.IFERROR(IF(INDEX('Diseases'!G2:G4303,MATCH(C233,'Diseases'!D2:D4303,0))="","",INDEX('Diseases'!G2:G4303,MATCH(C233,'Diseases'!D2:D4303,0))),"")</f>
        <v>3817144</v>
      </c>
      <c r="F233" s="23" cm="1">
        <f t="array" ref="F233">_xlfn.IFERROR(IF(E233="","",D233/E233*100000),"")</f>
        <v>313.978199407725</v>
      </c>
    </row>
    <row r="234" ht="13.65" customHeight="1">
      <c r="A234" t="s" s="20">
        <v>30</v>
      </c>
      <c r="B234" t="s" s="21">
        <v>63</v>
      </c>
      <c r="C234" t="s" s="21">
        <v>43</v>
      </c>
      <c r="D234" s="22" cm="1">
        <f t="array" ref="D234">_xlfn.SUMIFS('Diseases'!F2:F4303,'Diseases'!B2:B4303,A234,'Diseases'!C2:C4303,B234,'Diseases'!D2:D4303,C234)</f>
        <v>8661</v>
      </c>
      <c r="E234" s="22" cm="1">
        <f t="array" ref="E234">_xlfn.IFERROR(IF(INDEX('Diseases'!G2:G4303,MATCH(C234,'Diseases'!D2:D4303,0))="","",INDEX('Diseases'!G2:G4303,MATCH(C234,'Diseases'!D2:D4303,0))),"")</f>
        <v>3817144</v>
      </c>
      <c r="F234" s="23" cm="1">
        <f t="array" ref="F234">_xlfn.IFERROR(IF(E234="","",D234/E234*100000),"")</f>
        <v>226.897387156471</v>
      </c>
    </row>
    <row r="235" ht="13.65" customHeight="1">
      <c r="A235" t="s" s="24">
        <v>34</v>
      </c>
      <c r="B235" t="s" s="21">
        <v>63</v>
      </c>
      <c r="C235" t="s" s="21">
        <v>43</v>
      </c>
      <c r="D235" s="22" cm="1">
        <f t="array" ref="D235">_xlfn.SUMIFS('Diseases'!F2:F4303,'Diseases'!B2:B4303,A235,'Diseases'!C2:C4303,B235,'Diseases'!D2:D4303,C235)</f>
        <v>2814</v>
      </c>
      <c r="E235" s="22" cm="1">
        <f t="array" ref="E235">_xlfn.IFERROR(IF(INDEX('Diseases'!G2:G4303,MATCH(C235,'Diseases'!D2:D4303,0))="","",INDEX('Diseases'!G2:G4303,MATCH(C235,'Diseases'!D2:D4303,0))),"")</f>
        <v>3817144</v>
      </c>
      <c r="F235" s="23" cm="1">
        <f t="array" ref="F235">_xlfn.IFERROR(IF(E235="","",D235/E235*100000),"")</f>
        <v>73.7200378083719</v>
      </c>
    </row>
    <row r="236" ht="13.65" customHeight="1">
      <c r="A236" t="s" s="25">
        <v>35</v>
      </c>
      <c r="B236" t="s" s="21">
        <v>63</v>
      </c>
      <c r="C236" t="s" s="21">
        <v>43</v>
      </c>
      <c r="D236" s="22" cm="1">
        <f t="array" ref="D236">_xlfn.SUMIFS('Diseases'!F2:F4303,'Diseases'!B2:B4303,A236,'Diseases'!C2:C4303,B236,'Diseases'!D2:D4303,C236)</f>
        <v>1846</v>
      </c>
      <c r="E236" s="22" cm="1">
        <f t="array" ref="E236">_xlfn.IFERROR(IF(INDEX('Diseases'!G2:G4303,MATCH(C236,'Diseases'!D2:D4303,0))="","",INDEX('Diseases'!G2:G4303,MATCH(C236,'Diseases'!D2:D4303,0))),"")</f>
        <v>3817144</v>
      </c>
      <c r="F236" s="23" cm="1">
        <f t="array" ref="F236">_xlfn.IFERROR(IF(E236="","",D236/E236*100000),"")</f>
        <v>48.3607639638431</v>
      </c>
    </row>
    <row r="237" ht="13.65" customHeight="1">
      <c r="A237" t="s" s="29">
        <v>39</v>
      </c>
      <c r="B237" t="s" s="21">
        <v>63</v>
      </c>
      <c r="C237" t="s" s="21">
        <v>43</v>
      </c>
      <c r="D237" s="22" cm="1">
        <f t="array" ref="D237">_xlfn.SUMIFS('Diseases'!F2:F4303,'Diseases'!B2:B4303,A237,'Diseases'!C2:C4303,B237,'Diseases'!D2:D4303,C237)</f>
        <v>880</v>
      </c>
      <c r="E237" s="22" cm="1">
        <f t="array" ref="E237">_xlfn.IFERROR(IF(INDEX('Diseases'!G2:G4303,MATCH(C237,'Diseases'!D2:D4303,0))="","",INDEX('Diseases'!G2:G4303,MATCH(C237,'Diseases'!D2:D4303,0))),"")</f>
        <v>3817144</v>
      </c>
      <c r="F237" s="23" cm="1">
        <f t="array" ref="F237">_xlfn.IFERROR(IF(E237="","",D237/E237*100000),"")</f>
        <v>23.053885313208</v>
      </c>
    </row>
    <row r="238" ht="13.65" customHeight="1">
      <c r="A238" t="s" s="27">
        <v>37</v>
      </c>
      <c r="B238" t="s" s="21">
        <v>63</v>
      </c>
      <c r="C238" t="s" s="21">
        <v>43</v>
      </c>
      <c r="D238" s="22" cm="1">
        <f t="array" ref="D238">_xlfn.SUMIFS('Diseases'!F2:F4303,'Diseases'!B2:B4303,A238,'Diseases'!C2:C4303,B238,'Diseases'!D2:D4303,C238)</f>
        <v>722</v>
      </c>
      <c r="E238" s="22" cm="1">
        <f t="array" ref="E238">_xlfn.IFERROR(IF(INDEX('Diseases'!G2:G4303,MATCH(C238,'Diseases'!D2:D4303,0))="","",INDEX('Diseases'!G2:G4303,MATCH(C238,'Diseases'!D2:D4303,0))),"")</f>
        <v>3817144</v>
      </c>
      <c r="F238" s="23" cm="1">
        <f t="array" ref="F238">_xlfn.IFERROR(IF(E238="","",D238/E238*100000),"")</f>
        <v>18.9146649956093</v>
      </c>
    </row>
    <row r="239" ht="13.65" customHeight="1">
      <c r="A239" t="s" s="26">
        <v>36</v>
      </c>
      <c r="B239" t="s" s="21">
        <v>63</v>
      </c>
      <c r="C239" t="s" s="21">
        <v>43</v>
      </c>
      <c r="D239" s="22" cm="1">
        <f t="array" ref="D239">_xlfn.SUMIFS('Diseases'!F2:F4303,'Diseases'!B2:B4303,A239,'Diseases'!C2:C4303,B239,'Diseases'!D2:D4303,C239)</f>
        <v>711</v>
      </c>
      <c r="E239" s="22" cm="1">
        <f t="array" ref="E239">_xlfn.IFERROR(IF(INDEX('Diseases'!G2:G4303,MATCH(C239,'Diseases'!D2:D4303,0))="","",INDEX('Diseases'!G2:G4303,MATCH(C239,'Diseases'!D2:D4303,0))),"")</f>
        <v>3817144</v>
      </c>
      <c r="F239" s="23" cm="1">
        <f t="array" ref="F239">_xlfn.IFERROR(IF(E239="","",D239/E239*100000),"")</f>
        <v>18.6264914291942</v>
      </c>
    </row>
    <row r="240" ht="13.65" customHeight="1">
      <c r="A240" t="s" s="20">
        <v>30</v>
      </c>
      <c r="B240" t="s" s="21">
        <v>64</v>
      </c>
      <c r="C240" t="s" s="21">
        <v>43</v>
      </c>
      <c r="D240" s="22" cm="1">
        <f t="array" ref="D240">_xlfn.SUMIFS('Diseases'!F2:F4303,'Diseases'!B2:B4303,A240,'Diseases'!C2:C4303,B240,'Diseases'!D2:D4303,C240)</f>
        <v>10160</v>
      </c>
      <c r="E240" s="22" cm="1">
        <f t="array" ref="E240">_xlfn.IFERROR(IF(INDEX('Diseases'!G2:G4303,MATCH(C240,'Diseases'!D2:D4303,0))="","",INDEX('Diseases'!G2:G4303,MATCH(C240,'Diseases'!D2:D4303,0))),"")</f>
        <v>3817144</v>
      </c>
      <c r="F240" s="23" cm="1">
        <f t="array" ref="F240">_xlfn.IFERROR(IF(E240="","",D240/E240*100000),"")</f>
        <v>266.167584979765</v>
      </c>
    </row>
    <row r="241" ht="13.65" customHeight="1">
      <c r="A241" t="s" s="25">
        <v>35</v>
      </c>
      <c r="B241" t="s" s="21">
        <v>64</v>
      </c>
      <c r="C241" t="s" s="21">
        <v>43</v>
      </c>
      <c r="D241" s="22" cm="1">
        <f t="array" ref="D241">_xlfn.SUMIFS('Diseases'!F2:F4303,'Diseases'!B2:B4303,A241,'Diseases'!C2:C4303,B241,'Diseases'!D2:D4303,C241)</f>
        <v>4092</v>
      </c>
      <c r="E241" s="22" cm="1">
        <f t="array" ref="E241">_xlfn.IFERROR(IF(INDEX('Diseases'!G2:G4303,MATCH(C241,'Diseases'!D2:D4303,0))="","",INDEX('Diseases'!G2:G4303,MATCH(C241,'Diseases'!D2:D4303,0))),"")</f>
        <v>3817144</v>
      </c>
      <c r="F241" s="23" cm="1">
        <f t="array" ref="F241">_xlfn.IFERROR(IF(E241="","",D241/E241*100000),"")</f>
        <v>107.200566706417</v>
      </c>
    </row>
    <row r="242" ht="13.65" customHeight="1">
      <c r="A242" t="s" s="24">
        <v>34</v>
      </c>
      <c r="B242" t="s" s="21">
        <v>64</v>
      </c>
      <c r="C242" t="s" s="21">
        <v>43</v>
      </c>
      <c r="D242" s="22" cm="1">
        <f t="array" ref="D242">_xlfn.SUMIFS('Diseases'!F2:F4303,'Diseases'!B2:B4303,A242,'Diseases'!C2:C4303,B242,'Diseases'!D2:D4303,C242)</f>
        <v>3576</v>
      </c>
      <c r="E242" s="22" cm="1">
        <f t="array" ref="E242">_xlfn.IFERROR(IF(INDEX('Diseases'!G2:G4303,MATCH(C242,'Diseases'!D2:D4303,0))="","",INDEX('Diseases'!G2:G4303,MATCH(C242,'Diseases'!D2:D4303,0))),"")</f>
        <v>3817144</v>
      </c>
      <c r="F242" s="23" cm="1">
        <f t="array" ref="F242">_xlfn.IFERROR(IF(E242="","",D242/E242*100000),"")</f>
        <v>93.6826066818543</v>
      </c>
    </row>
    <row r="243" ht="13.65" customHeight="1">
      <c r="A243" t="s" s="26">
        <v>36</v>
      </c>
      <c r="B243" t="s" s="21">
        <v>64</v>
      </c>
      <c r="C243" t="s" s="21">
        <v>43</v>
      </c>
      <c r="D243" s="22" cm="1">
        <f t="array" ref="D243">_xlfn.SUMIFS('Diseases'!F2:F4303,'Diseases'!B2:B4303,A243,'Diseases'!C2:C4303,B243,'Diseases'!D2:D4303,C243)</f>
        <v>2812</v>
      </c>
      <c r="E243" s="22" cm="1">
        <f t="array" ref="E243">_xlfn.IFERROR(IF(INDEX('Diseases'!G2:G4303,MATCH(C243,'Diseases'!D2:D4303,0))="","",INDEX('Diseases'!G2:G4303,MATCH(C243,'Diseases'!D2:D4303,0))),"")</f>
        <v>3817144</v>
      </c>
      <c r="F243" s="23" cm="1">
        <f t="array" ref="F243">_xlfn.IFERROR(IF(E243="","",D243/E243*100000),"")</f>
        <v>73.6676426144783</v>
      </c>
    </row>
    <row r="244" ht="13.65" customHeight="1">
      <c r="A244" t="s" s="29">
        <v>39</v>
      </c>
      <c r="B244" t="s" s="21">
        <v>64</v>
      </c>
      <c r="C244" t="s" s="21">
        <v>43</v>
      </c>
      <c r="D244" s="22" cm="1">
        <f t="array" ref="D244">_xlfn.SUMIFS('Diseases'!F2:F4303,'Diseases'!B2:B4303,A244,'Diseases'!C2:C4303,B244,'Diseases'!D2:D4303,C244)</f>
        <v>1666</v>
      </c>
      <c r="E244" s="22" cm="1">
        <f t="array" ref="E244">_xlfn.IFERROR(IF(INDEX('Diseases'!G2:G4303,MATCH(C244,'Diseases'!D2:D4303,0))="","",INDEX('Diseases'!G2:G4303,MATCH(C244,'Diseases'!D2:D4303,0))),"")</f>
        <v>3817144</v>
      </c>
      <c r="F244" s="23" cm="1">
        <f t="array" ref="F244">_xlfn.IFERROR(IF(E244="","",D244/E244*100000),"")</f>
        <v>43.6451965134142</v>
      </c>
    </row>
    <row r="245" ht="13.65" customHeight="1">
      <c r="A245" t="s" s="31">
        <v>45</v>
      </c>
      <c r="B245" t="s" s="21">
        <v>64</v>
      </c>
      <c r="C245" t="s" s="21">
        <v>43</v>
      </c>
      <c r="D245" s="22" cm="1">
        <f t="array" ref="D245">_xlfn.SUMIFS('Diseases'!F2:F4303,'Diseases'!B2:B4303,A245,'Diseases'!C2:C4303,B245,'Diseases'!D2:D4303,C245)</f>
        <v>1323</v>
      </c>
      <c r="E245" s="22" cm="1">
        <f t="array" ref="E245">_xlfn.IFERROR(IF(INDEX('Diseases'!G2:G4303,MATCH(C245,'Diseases'!D2:D4303,0))="","",INDEX('Diseases'!G2:G4303,MATCH(C245,'Diseases'!D2:D4303,0))),"")</f>
        <v>3817144</v>
      </c>
      <c r="F245" s="23" cm="1">
        <f t="array" ref="F245">_xlfn.IFERROR(IF(E245="","",D245/E245*100000),"")</f>
        <v>34.6594207606525</v>
      </c>
    </row>
    <row r="246" ht="13.65" customHeight="1">
      <c r="A246" t="s" s="27">
        <v>37</v>
      </c>
      <c r="B246" t="s" s="21">
        <v>64</v>
      </c>
      <c r="C246" t="s" s="21">
        <v>43</v>
      </c>
      <c r="D246" s="22" cm="1">
        <f t="array" ref="D246">_xlfn.SUMIFS('Diseases'!F2:F4303,'Diseases'!B2:B4303,A246,'Diseases'!C2:C4303,B246,'Diseases'!D2:D4303,C246)</f>
        <v>1057</v>
      </c>
      <c r="E246" s="22" cm="1">
        <f t="array" ref="E246">_xlfn.IFERROR(IF(INDEX('Diseases'!G2:G4303,MATCH(C246,'Diseases'!D2:D4303,0))="","",INDEX('Diseases'!G2:G4303,MATCH(C246,'Diseases'!D2:D4303,0))),"")</f>
        <v>3817144</v>
      </c>
      <c r="F246" s="23" cm="1">
        <f t="array" ref="F246">_xlfn.IFERROR(IF(E246="","",D246/E246*100000),"")</f>
        <v>27.6908599727964</v>
      </c>
    </row>
    <row r="247" ht="13.65" customHeight="1">
      <c r="A247" t="s" s="20">
        <v>30</v>
      </c>
      <c r="B247" t="s" s="21">
        <v>65</v>
      </c>
      <c r="C247" t="s" s="21">
        <v>43</v>
      </c>
      <c r="D247" s="22" cm="1">
        <f t="array" ref="D247">_xlfn.SUMIFS('Diseases'!F2:F4303,'Diseases'!B2:B4303,A247,'Diseases'!C2:C4303,B247,'Diseases'!D2:D4303,C247)</f>
        <v>9280</v>
      </c>
      <c r="E247" s="22" cm="1">
        <f t="array" ref="E247">_xlfn.IFERROR(IF(INDEX('Diseases'!G2:G4303,MATCH(C247,'Diseases'!D2:D4303,0))="","",INDEX('Diseases'!G2:G4303,MATCH(C247,'Diseases'!D2:D4303,0))),"")</f>
        <v>3817144</v>
      </c>
      <c r="F247" s="23" cm="1">
        <f t="array" ref="F247">_xlfn.IFERROR(IF(E247="","",D247/E247*100000),"")</f>
        <v>243.113699666557</v>
      </c>
    </row>
    <row r="248" ht="13.65" customHeight="1">
      <c r="A248" t="s" s="24">
        <v>34</v>
      </c>
      <c r="B248" t="s" s="21">
        <v>65</v>
      </c>
      <c r="C248" t="s" s="21">
        <v>43</v>
      </c>
      <c r="D248" s="22" cm="1">
        <f t="array" ref="D248">_xlfn.SUMIFS('Diseases'!F2:F4303,'Diseases'!B2:B4303,A248,'Diseases'!C2:C4303,B248,'Diseases'!D2:D4303,C248)</f>
        <v>2607</v>
      </c>
      <c r="E248" s="22" cm="1">
        <f t="array" ref="E248">_xlfn.IFERROR(IF(INDEX('Diseases'!G2:G4303,MATCH(C248,'Diseases'!D2:D4303,0))="","",INDEX('Diseases'!G2:G4303,MATCH(C248,'Diseases'!D2:D4303,0))),"")</f>
        <v>3817144</v>
      </c>
      <c r="F248" s="23" cm="1">
        <f t="array" ref="F248">_xlfn.IFERROR(IF(E248="","",D248/E248*100000),"")</f>
        <v>68.29713524037869</v>
      </c>
    </row>
    <row r="249" ht="13.65" customHeight="1">
      <c r="A249" t="s" s="29">
        <v>39</v>
      </c>
      <c r="B249" t="s" s="21">
        <v>65</v>
      </c>
      <c r="C249" t="s" s="21">
        <v>43</v>
      </c>
      <c r="D249" s="22" cm="1">
        <f t="array" ref="D249">_xlfn.SUMIFS('Diseases'!F2:F4303,'Diseases'!B2:B4303,A249,'Diseases'!C2:C4303,B249,'Diseases'!D2:D4303,C249)</f>
        <v>1332</v>
      </c>
      <c r="E249" s="22" cm="1">
        <f t="array" ref="E249">_xlfn.IFERROR(IF(INDEX('Diseases'!G2:G4303,MATCH(C249,'Diseases'!D2:D4303,0))="","",INDEX('Diseases'!G2:G4303,MATCH(C249,'Diseases'!D2:D4303,0))),"")</f>
        <v>3817144</v>
      </c>
      <c r="F249" s="23" cm="1">
        <f t="array" ref="F249">_xlfn.IFERROR(IF(E249="","",D249/E249*100000),"")</f>
        <v>34.8951991331739</v>
      </c>
    </row>
    <row r="250" ht="13.65" customHeight="1">
      <c r="A250" t="s" s="26">
        <v>36</v>
      </c>
      <c r="B250" t="s" s="21">
        <v>65</v>
      </c>
      <c r="C250" t="s" s="21">
        <v>43</v>
      </c>
      <c r="D250" s="22" cm="1">
        <f t="array" ref="D250">_xlfn.SUMIFS('Diseases'!F2:F4303,'Diseases'!B2:B4303,A250,'Diseases'!C2:C4303,B250,'Diseases'!D2:D4303,C250)</f>
        <v>1158</v>
      </c>
      <c r="E250" s="22" cm="1">
        <f t="array" ref="E250">_xlfn.IFERROR(IF(INDEX('Diseases'!G2:G4303,MATCH(C250,'Diseases'!D2:D4303,0))="","",INDEX('Diseases'!G2:G4303,MATCH(C250,'Diseases'!D2:D4303,0))),"")</f>
        <v>3817144</v>
      </c>
      <c r="F250" s="23" cm="1">
        <f t="array" ref="F250">_xlfn.IFERROR(IF(E250="","",D250/E250*100000),"")</f>
        <v>30.336817264426</v>
      </c>
    </row>
    <row r="251" ht="13.65" customHeight="1">
      <c r="A251" t="s" s="25">
        <v>35</v>
      </c>
      <c r="B251" t="s" s="21">
        <v>65</v>
      </c>
      <c r="C251" t="s" s="21">
        <v>43</v>
      </c>
      <c r="D251" s="22" cm="1">
        <f t="array" ref="D251">_xlfn.SUMIFS('Diseases'!F2:F4303,'Diseases'!B2:B4303,A251,'Diseases'!C2:C4303,B251,'Diseases'!D2:D4303,C251)</f>
        <v>904</v>
      </c>
      <c r="E251" s="22" cm="1">
        <f t="array" ref="E251">_xlfn.IFERROR(IF(INDEX('Diseases'!G2:G4303,MATCH(C251,'Diseases'!D2:D4303,0))="","",INDEX('Diseases'!G2:G4303,MATCH(C251,'Diseases'!D2:D4303,0))),"")</f>
        <v>3817144</v>
      </c>
      <c r="F251" s="23" cm="1">
        <f t="array" ref="F251">_xlfn.IFERROR(IF(E251="","",D251/E251*100000),"")</f>
        <v>23.6826276399318</v>
      </c>
    </row>
    <row r="252" ht="13.65" customHeight="1">
      <c r="A252" t="s" s="27">
        <v>37</v>
      </c>
      <c r="B252" t="s" s="21">
        <v>65</v>
      </c>
      <c r="C252" t="s" s="21">
        <v>43</v>
      </c>
      <c r="D252" s="22" cm="1">
        <f t="array" ref="D252">_xlfn.SUMIFS('Diseases'!F2:F4303,'Diseases'!B2:B4303,A252,'Diseases'!C2:C4303,B252,'Diseases'!D2:D4303,C252)</f>
        <v>883</v>
      </c>
      <c r="E252" s="22" cm="1">
        <f t="array" ref="E252">_xlfn.IFERROR(IF(INDEX('Diseases'!G2:G4303,MATCH(C252,'Diseases'!D2:D4303,0))="","",INDEX('Diseases'!G2:G4303,MATCH(C252,'Diseases'!D2:D4303,0))),"")</f>
        <v>3817144</v>
      </c>
      <c r="F252" s="23" cm="1">
        <f t="array" ref="F252">_xlfn.IFERROR(IF(E252="","",D252/E252*100000),"")</f>
        <v>23.1324781040485</v>
      </c>
    </row>
    <row r="253" ht="13.65" customHeight="1">
      <c r="A253" t="s" s="31">
        <v>45</v>
      </c>
      <c r="B253" t="s" s="21">
        <v>65</v>
      </c>
      <c r="C253" t="s" s="21">
        <v>43</v>
      </c>
      <c r="D253" s="22" cm="1">
        <f t="array" ref="D253">_xlfn.SUMIFS('Diseases'!F2:F4303,'Diseases'!B2:B4303,A253,'Diseases'!C2:C4303,B253,'Diseases'!D2:D4303,C253)</f>
        <v>871</v>
      </c>
      <c r="E253" s="22" cm="1">
        <f t="array" ref="E253">_xlfn.IFERROR(IF(INDEX('Diseases'!G2:G4303,MATCH(C253,'Diseases'!D2:D4303,0))="","",INDEX('Diseases'!G2:G4303,MATCH(C253,'Diseases'!D2:D4303,0))),"")</f>
        <v>3817144</v>
      </c>
      <c r="F253" s="23" cm="1">
        <f t="array" ref="F253">_xlfn.IFERROR(IF(E253="","",D253/E253*100000),"")</f>
        <v>22.8181069406865</v>
      </c>
    </row>
    <row r="254" ht="13.65" customHeight="1">
      <c r="A254" t="s" s="20">
        <v>30</v>
      </c>
      <c r="B254" t="s" s="21">
        <v>66</v>
      </c>
      <c r="C254" t="s" s="21">
        <v>43</v>
      </c>
      <c r="D254" s="22" cm="1">
        <f t="array" ref="D254">_xlfn.SUMIFS('Diseases'!F2:F4303,'Diseases'!B2:B4303,A254,'Diseases'!C2:C4303,B254,'Diseases'!D2:D4303,C254)</f>
        <v>10198</v>
      </c>
      <c r="E254" s="22" cm="1">
        <f t="array" ref="E254">_xlfn.IFERROR(IF(INDEX('Diseases'!G2:G4303,MATCH(C254,'Diseases'!D2:D4303,0))="","",INDEX('Diseases'!G2:G4303,MATCH(C254,'Diseases'!D2:D4303,0))),"")</f>
        <v>3817144</v>
      </c>
      <c r="F254" s="23" cm="1">
        <f t="array" ref="F254">_xlfn.IFERROR(IF(E254="","",D254/E254*100000),"")</f>
        <v>267.163093663744</v>
      </c>
    </row>
    <row r="255" ht="13.65" customHeight="1">
      <c r="A255" t="s" s="24">
        <v>34</v>
      </c>
      <c r="B255" t="s" s="21">
        <v>66</v>
      </c>
      <c r="C255" t="s" s="21">
        <v>43</v>
      </c>
      <c r="D255" s="22" cm="1">
        <f t="array" ref="D255">_xlfn.SUMIFS('Diseases'!F2:F4303,'Diseases'!B2:B4303,A255,'Diseases'!C2:C4303,B255,'Diseases'!D2:D4303,C255)</f>
        <v>3007</v>
      </c>
      <c r="E255" s="22" cm="1">
        <f t="array" ref="E255">_xlfn.IFERROR(IF(INDEX('Diseases'!G2:G4303,MATCH(C255,'Diseases'!D2:D4303,0))="","",INDEX('Diseases'!G2:G4303,MATCH(C255,'Diseases'!D2:D4303,0))),"")</f>
        <v>3817144</v>
      </c>
      <c r="F255" s="23" cm="1">
        <f t="array" ref="F255">_xlfn.IFERROR(IF(E255="","",D255/E255*100000),"")</f>
        <v>78.7761740191096</v>
      </c>
    </row>
    <row r="256" ht="13.65" customHeight="1">
      <c r="A256" t="s" s="31">
        <v>45</v>
      </c>
      <c r="B256" t="s" s="21">
        <v>66</v>
      </c>
      <c r="C256" t="s" s="21">
        <v>43</v>
      </c>
      <c r="D256" s="22" cm="1">
        <f t="array" ref="D256">_xlfn.SUMIFS('Diseases'!F2:F4303,'Diseases'!B2:B4303,A256,'Diseases'!C2:C4303,B256,'Diseases'!D2:D4303,C256)</f>
        <v>1217</v>
      </c>
      <c r="E256" s="22" cm="1">
        <f t="array" ref="E256">_xlfn.IFERROR(IF(INDEX('Diseases'!G2:G4303,MATCH(C256,'Diseases'!D2:D4303,0))="","",INDEX('Diseases'!G2:G4303,MATCH(C256,'Diseases'!D2:D4303,0))),"")</f>
        <v>3817144</v>
      </c>
      <c r="F256" s="23" cm="1">
        <f t="array" ref="F256">_xlfn.IFERROR(IF(E256="","",D256/E256*100000),"")</f>
        <v>31.8824754842888</v>
      </c>
    </row>
    <row r="257" ht="13.65" customHeight="1">
      <c r="A257" t="s" s="29">
        <v>39</v>
      </c>
      <c r="B257" t="s" s="21">
        <v>66</v>
      </c>
      <c r="C257" t="s" s="21">
        <v>43</v>
      </c>
      <c r="D257" s="22" cm="1">
        <f t="array" ref="D257">_xlfn.SUMIFS('Diseases'!F2:F4303,'Diseases'!B2:B4303,A257,'Diseases'!C2:C4303,B257,'Diseases'!D2:D4303,C257)</f>
        <v>1146</v>
      </c>
      <c r="E257" s="22" cm="1">
        <f t="array" ref="E257">_xlfn.IFERROR(IF(INDEX('Diseases'!G2:G4303,MATCH(C257,'Diseases'!D2:D4303,0))="","",INDEX('Diseases'!G2:G4303,MATCH(C257,'Diseases'!D2:D4303,0))),"")</f>
        <v>3817144</v>
      </c>
      <c r="F257" s="23" cm="1">
        <f t="array" ref="F257">_xlfn.IFERROR(IF(E257="","",D257/E257*100000),"")</f>
        <v>30.022446101064</v>
      </c>
    </row>
    <row r="258" ht="13.65" customHeight="1">
      <c r="A258" t="s" s="25">
        <v>35</v>
      </c>
      <c r="B258" t="s" s="21">
        <v>66</v>
      </c>
      <c r="C258" t="s" s="21">
        <v>43</v>
      </c>
      <c r="D258" s="22" cm="1">
        <f t="array" ref="D258">_xlfn.SUMIFS('Diseases'!F2:F4303,'Diseases'!B2:B4303,A258,'Diseases'!C2:C4303,B258,'Diseases'!D2:D4303,C258)</f>
        <v>1093</v>
      </c>
      <c r="E258" s="22" cm="1">
        <f t="array" ref="E258">_xlfn.IFERROR(IF(INDEX('Diseases'!G2:G4303,MATCH(C258,'Diseases'!D2:D4303,0))="","",INDEX('Diseases'!G2:G4303,MATCH(C258,'Diseases'!D2:D4303,0))),"")</f>
        <v>3817144</v>
      </c>
      <c r="F258" s="23" cm="1">
        <f t="array" ref="F258">_xlfn.IFERROR(IF(E258="","",D258/E258*100000),"")</f>
        <v>28.6339734628822</v>
      </c>
    </row>
    <row r="259" ht="13.65" customHeight="1">
      <c r="A259" t="s" s="26">
        <v>36</v>
      </c>
      <c r="B259" t="s" s="21">
        <v>66</v>
      </c>
      <c r="C259" t="s" s="21">
        <v>43</v>
      </c>
      <c r="D259" s="22" cm="1">
        <f t="array" ref="D259">_xlfn.SUMIFS('Diseases'!F2:F4303,'Diseases'!B2:B4303,A259,'Diseases'!C2:C4303,B259,'Diseases'!D2:D4303,C259)</f>
        <v>1072</v>
      </c>
      <c r="E259" s="22" cm="1">
        <f t="array" ref="E259">_xlfn.IFERROR(IF(INDEX('Diseases'!G2:G4303,MATCH(C259,'Diseases'!D2:D4303,0))="","",INDEX('Diseases'!G2:G4303,MATCH(C259,'Diseases'!D2:D4303,0))),"")</f>
        <v>3817144</v>
      </c>
      <c r="F259" s="23" cm="1">
        <f t="array" ref="F259">_xlfn.IFERROR(IF(E259="","",D259/E259*100000),"")</f>
        <v>28.0838239269988</v>
      </c>
    </row>
    <row r="260" ht="13.65" customHeight="1">
      <c r="A260" t="s" s="27">
        <v>37</v>
      </c>
      <c r="B260" t="s" s="21">
        <v>66</v>
      </c>
      <c r="C260" t="s" s="21">
        <v>43</v>
      </c>
      <c r="D260" s="22" cm="1">
        <f t="array" ref="D260">_xlfn.SUMIFS('Diseases'!F2:F4303,'Diseases'!B2:B4303,A260,'Diseases'!C2:C4303,B260,'Diseases'!D2:D4303,C260)</f>
        <v>971</v>
      </c>
      <c r="E260" s="22" cm="1">
        <f t="array" ref="E260">_xlfn.IFERROR(IF(INDEX('Diseases'!G2:G4303,MATCH(C260,'Diseases'!D2:D4303,0))="","",INDEX('Diseases'!G2:G4303,MATCH(C260,'Diseases'!D2:D4303,0))),"")</f>
        <v>3817144</v>
      </c>
      <c r="F260" s="23" cm="1">
        <f t="array" ref="F260">_xlfn.IFERROR(IF(E260="","",D260/E260*100000),"")</f>
        <v>25.4378666353693</v>
      </c>
    </row>
    <row r="261" ht="13.65" customHeight="1">
      <c r="A261" t="s" s="20">
        <v>30</v>
      </c>
      <c r="B261" t="s" s="21">
        <v>67</v>
      </c>
      <c r="C261" t="s" s="21">
        <v>43</v>
      </c>
      <c r="D261" s="22" cm="1">
        <f t="array" ref="D261">_xlfn.SUMIFS('Diseases'!F2:F4303,'Diseases'!B2:B4303,A261,'Diseases'!C2:C4303,B261,'Diseases'!D2:D4303,C261)</f>
        <v>18005</v>
      </c>
      <c r="E261" s="22" cm="1">
        <f t="array" ref="E261">_xlfn.IFERROR(IF(INDEX('Diseases'!G2:G4303,MATCH(C261,'Diseases'!D2:D4303,0))="","",INDEX('Diseases'!G2:G4303,MATCH(C261,'Diseases'!D2:D4303,0))),"")</f>
        <v>3817144</v>
      </c>
      <c r="F261" s="23" cm="1">
        <f t="array" ref="F261">_xlfn.IFERROR(IF(E261="","",D261/E261*100000),"")</f>
        <v>471.687733027625</v>
      </c>
    </row>
    <row r="262" ht="13.65" customHeight="1">
      <c r="A262" t="s" s="24">
        <v>34</v>
      </c>
      <c r="B262" t="s" s="21">
        <v>67</v>
      </c>
      <c r="C262" t="s" s="21">
        <v>43</v>
      </c>
      <c r="D262" s="22" cm="1">
        <f t="array" ref="D262">_xlfn.SUMIFS('Diseases'!F2:F4303,'Diseases'!B2:B4303,A262,'Diseases'!C2:C4303,B262,'Diseases'!D2:D4303,C262)</f>
        <v>5654</v>
      </c>
      <c r="E262" s="22" cm="1">
        <f t="array" ref="E262">_xlfn.IFERROR(IF(INDEX('Diseases'!G2:G4303,MATCH(C262,'Diseases'!D2:D4303,0))="","",INDEX('Diseases'!G2:G4303,MATCH(C262,'Diseases'!D2:D4303,0))),"")</f>
        <v>3817144</v>
      </c>
      <c r="F262" s="23" cm="1">
        <f t="array" ref="F262">_xlfn.IFERROR(IF(E262="","",D262/E262*100000),"")</f>
        <v>148.121213137361</v>
      </c>
    </row>
    <row r="263" ht="13.65" customHeight="1">
      <c r="A263" t="s" s="31">
        <v>45</v>
      </c>
      <c r="B263" t="s" s="21">
        <v>67</v>
      </c>
      <c r="C263" t="s" s="21">
        <v>43</v>
      </c>
      <c r="D263" s="22" cm="1">
        <f t="array" ref="D263">_xlfn.SUMIFS('Diseases'!F2:F4303,'Diseases'!B2:B4303,A263,'Diseases'!C2:C4303,B263,'Diseases'!D2:D4303,C263)</f>
        <v>3176</v>
      </c>
      <c r="E263" s="22" cm="1">
        <f t="array" ref="E263">_xlfn.IFERROR(IF(INDEX('Diseases'!G2:G4303,MATCH(C263,'Diseases'!D2:D4303,0))="","",INDEX('Diseases'!G2:G4303,MATCH(C263,'Diseases'!D2:D4303,0))),"")</f>
        <v>3817144</v>
      </c>
      <c r="F263" s="23" cm="1">
        <f t="array" ref="F263">_xlfn.IFERROR(IF(E263="","",D263/E263*100000),"")</f>
        <v>83.2035679031234</v>
      </c>
    </row>
    <row r="264" ht="13.65" customHeight="1">
      <c r="A264" t="s" s="26">
        <v>36</v>
      </c>
      <c r="B264" t="s" s="21">
        <v>67</v>
      </c>
      <c r="C264" t="s" s="21">
        <v>43</v>
      </c>
      <c r="D264" s="22" cm="1">
        <f t="array" ref="D264">_xlfn.SUMIFS('Diseases'!F2:F4303,'Diseases'!B2:B4303,A264,'Diseases'!C2:C4303,B264,'Diseases'!D2:D4303,C264)</f>
        <v>1626</v>
      </c>
      <c r="E264" s="22" cm="1">
        <f t="array" ref="E264">_xlfn.IFERROR(IF(INDEX('Diseases'!G2:G4303,MATCH(C264,'Diseases'!D2:D4303,0))="","",INDEX('Diseases'!G2:G4303,MATCH(C264,'Diseases'!D2:D4303,0))),"")</f>
        <v>3817144</v>
      </c>
      <c r="F264" s="23" cm="1">
        <f t="array" ref="F264">_xlfn.IFERROR(IF(E264="","",D264/E264*100000),"")</f>
        <v>42.5972926355411</v>
      </c>
    </row>
    <row r="265" ht="13.65" customHeight="1">
      <c r="A265" t="s" s="27">
        <v>37</v>
      </c>
      <c r="B265" t="s" s="21">
        <v>67</v>
      </c>
      <c r="C265" t="s" s="21">
        <v>43</v>
      </c>
      <c r="D265" s="22" cm="1">
        <f t="array" ref="D265">_xlfn.SUMIFS('Diseases'!F2:F4303,'Diseases'!B2:B4303,A265,'Diseases'!C2:C4303,B265,'Diseases'!D2:D4303,C265)</f>
        <v>1589</v>
      </c>
      <c r="E265" s="22" cm="1">
        <f t="array" ref="E265">_xlfn.IFERROR(IF(INDEX('Diseases'!G2:G4303,MATCH(C265,'Diseases'!D2:D4303,0))="","",INDEX('Diseases'!G2:G4303,MATCH(C265,'Diseases'!D2:D4303,0))),"")</f>
        <v>3817144</v>
      </c>
      <c r="F265" s="23" cm="1">
        <f t="array" ref="F265">_xlfn.IFERROR(IF(E265="","",D265/E265*100000),"")</f>
        <v>41.6279815485085</v>
      </c>
    </row>
    <row r="266" ht="13.65" customHeight="1">
      <c r="A266" t="s" s="29">
        <v>39</v>
      </c>
      <c r="B266" t="s" s="21">
        <v>67</v>
      </c>
      <c r="C266" t="s" s="21">
        <v>43</v>
      </c>
      <c r="D266" s="22" cm="1">
        <f t="array" ref="D266">_xlfn.SUMIFS('Diseases'!F2:F4303,'Diseases'!B2:B4303,A266,'Diseases'!C2:C4303,B266,'Diseases'!D2:D4303,C266)</f>
        <v>1241</v>
      </c>
      <c r="E266" s="22" cm="1">
        <f t="array" ref="E266">_xlfn.IFERROR(IF(INDEX('Diseases'!G2:G4303,MATCH(C266,'Diseases'!D2:D4303,0))="","",INDEX('Diseases'!G2:G4303,MATCH(C266,'Diseases'!D2:D4303,0))),"")</f>
        <v>3817144</v>
      </c>
      <c r="F266" s="23" cm="1">
        <f t="array" ref="F266">_xlfn.IFERROR(IF(E266="","",D266/E266*100000),"")</f>
        <v>32.5112178110126</v>
      </c>
    </row>
    <row r="267" ht="13.65" customHeight="1">
      <c r="A267" t="s" s="25">
        <v>35</v>
      </c>
      <c r="B267" t="s" s="21">
        <v>67</v>
      </c>
      <c r="C267" t="s" s="21">
        <v>43</v>
      </c>
      <c r="D267" s="22" cm="1">
        <f t="array" ref="D267">_xlfn.SUMIFS('Diseases'!F2:F4303,'Diseases'!B2:B4303,A267,'Diseases'!C2:C4303,B267,'Diseases'!D2:D4303,C267)</f>
        <v>1131</v>
      </c>
      <c r="E267" s="22" cm="1">
        <f t="array" ref="E267">_xlfn.IFERROR(IF(INDEX('Diseases'!G2:G4303,MATCH(C267,'Diseases'!D2:D4303,0))="","",INDEX('Diseases'!G2:G4303,MATCH(C267,'Diseases'!D2:D4303,0))),"")</f>
        <v>3817144</v>
      </c>
      <c r="F267" s="23" cm="1">
        <f t="array" ref="F267">_xlfn.IFERROR(IF(E267="","",D267/E267*100000),"")</f>
        <v>29.6294821468616</v>
      </c>
    </row>
    <row r="268" ht="13.65" customHeight="1">
      <c r="A268" t="s" s="20">
        <v>30</v>
      </c>
      <c r="B268" t="s" s="21">
        <v>68</v>
      </c>
      <c r="C268" t="s" s="21">
        <v>43</v>
      </c>
      <c r="D268" s="22" cm="1">
        <f t="array" ref="D268">_xlfn.SUMIFS('Diseases'!F2:F4303,'Diseases'!B2:B4303,A268,'Diseases'!C2:C4303,B268,'Diseases'!D2:D4303,C268)</f>
        <v>17306</v>
      </c>
      <c r="E268" s="22" cm="1">
        <f t="array" ref="E268">_xlfn.IFERROR(IF(INDEX('Diseases'!G2:G4303,MATCH(C268,'Diseases'!D2:D4303,0))="","",INDEX('Diseases'!G2:G4303,MATCH(C268,'Diseases'!D2:D4303,0))),"")</f>
        <v>3817144</v>
      </c>
      <c r="F268" s="23" cm="1">
        <f t="array" ref="F268">_xlfn.IFERROR(IF(E268="","",D268/E268*100000),"")</f>
        <v>453.375612761793</v>
      </c>
    </row>
    <row r="269" ht="13.65" customHeight="1">
      <c r="A269" t="s" s="24">
        <v>34</v>
      </c>
      <c r="B269" t="s" s="21">
        <v>68</v>
      </c>
      <c r="C269" t="s" s="21">
        <v>43</v>
      </c>
      <c r="D269" s="22" cm="1">
        <f t="array" ref="D269">_xlfn.SUMIFS('Diseases'!F2:F4303,'Diseases'!B2:B4303,A269,'Diseases'!C2:C4303,B269,'Diseases'!D2:D4303,C269)</f>
        <v>3871</v>
      </c>
      <c r="E269" s="22" cm="1">
        <f t="array" ref="E269">_xlfn.IFERROR(IF(INDEX('Diseases'!G2:G4303,MATCH(C269,'Diseases'!D2:D4303,0))="","",INDEX('Diseases'!G2:G4303,MATCH(C269,'Diseases'!D2:D4303,0))),"")</f>
        <v>3817144</v>
      </c>
      <c r="F269" s="23" cm="1">
        <f t="array" ref="F269">_xlfn.IFERROR(IF(E269="","",D269/E269*100000),"")</f>
        <v>101.410897781168</v>
      </c>
    </row>
    <row r="270" ht="13.65" customHeight="1">
      <c r="A270" t="s" s="31">
        <v>45</v>
      </c>
      <c r="B270" t="s" s="21">
        <v>68</v>
      </c>
      <c r="C270" t="s" s="21">
        <v>43</v>
      </c>
      <c r="D270" s="22" cm="1">
        <f t="array" ref="D270">_xlfn.SUMIFS('Diseases'!F2:F4303,'Diseases'!B2:B4303,A270,'Diseases'!C2:C4303,B270,'Diseases'!D2:D4303,C270)</f>
        <v>1909</v>
      </c>
      <c r="E270" s="22" cm="1">
        <f t="array" ref="E270">_xlfn.IFERROR(IF(INDEX('Diseases'!G2:G4303,MATCH(C270,'Diseases'!D2:D4303,0))="","",INDEX('Diseases'!G2:G4303,MATCH(C270,'Diseases'!D2:D4303,0))),"")</f>
        <v>3817144</v>
      </c>
      <c r="F270" s="23" cm="1">
        <f t="array" ref="F270">_xlfn.IFERROR(IF(E270="","",D270/E270*100000),"")</f>
        <v>50.0112125714932</v>
      </c>
    </row>
    <row r="271" ht="13.65" customHeight="1">
      <c r="A271" t="s" s="27">
        <v>37</v>
      </c>
      <c r="B271" t="s" s="21">
        <v>68</v>
      </c>
      <c r="C271" t="s" s="21">
        <v>43</v>
      </c>
      <c r="D271" s="22" cm="1">
        <f t="array" ref="D271">_xlfn.SUMIFS('Diseases'!F2:F4303,'Diseases'!B2:B4303,A271,'Diseases'!C2:C4303,B271,'Diseases'!D2:D4303,C271)</f>
        <v>1364</v>
      </c>
      <c r="E271" s="22" cm="1">
        <f t="array" ref="E271">_xlfn.IFERROR(IF(INDEX('Diseases'!G2:G4303,MATCH(C271,'Diseases'!D2:D4303,0))="","",INDEX('Diseases'!G2:G4303,MATCH(C271,'Diseases'!D2:D4303,0))),"")</f>
        <v>3817144</v>
      </c>
      <c r="F271" s="23" cm="1">
        <f t="array" ref="F271">_xlfn.IFERROR(IF(E271="","",D271/E271*100000),"")</f>
        <v>35.7335222354724</v>
      </c>
    </row>
    <row r="272" ht="13.65" customHeight="1">
      <c r="A272" t="s" s="29">
        <v>39</v>
      </c>
      <c r="B272" t="s" s="21">
        <v>68</v>
      </c>
      <c r="C272" t="s" s="21">
        <v>43</v>
      </c>
      <c r="D272" s="22" cm="1">
        <f t="array" ref="D272">_xlfn.SUMIFS('Diseases'!F2:F4303,'Diseases'!B2:B4303,A272,'Diseases'!C2:C4303,B272,'Diseases'!D2:D4303,C272)</f>
        <v>1355</v>
      </c>
      <c r="E272" s="22" cm="1">
        <f t="array" ref="E272">_xlfn.IFERROR(IF(INDEX('Diseases'!G2:G4303,MATCH(C272,'Diseases'!D2:D4303,0))="","",INDEX('Diseases'!G2:G4303,MATCH(C272,'Diseases'!D2:D4303,0))),"")</f>
        <v>3817144</v>
      </c>
      <c r="F272" s="23" cm="1">
        <f t="array" ref="F272">_xlfn.IFERROR(IF(E272="","",D272/E272*100000),"")</f>
        <v>35.4977438629509</v>
      </c>
    </row>
    <row r="273" ht="13.65" customHeight="1">
      <c r="A273" t="s" s="26">
        <v>36</v>
      </c>
      <c r="B273" t="s" s="21">
        <v>68</v>
      </c>
      <c r="C273" t="s" s="21">
        <v>43</v>
      </c>
      <c r="D273" s="22" cm="1">
        <f t="array" ref="D273">_xlfn.SUMIFS('Diseases'!F2:F4303,'Diseases'!B2:B4303,A273,'Diseases'!C2:C4303,B273,'Diseases'!D2:D4303,C273)</f>
        <v>1061</v>
      </c>
      <c r="E273" s="22" cm="1">
        <f t="array" ref="E273">_xlfn.IFERROR(IF(INDEX('Diseases'!G2:G4303,MATCH(C273,'Diseases'!D2:D4303,0))="","",INDEX('Diseases'!G2:G4303,MATCH(C273,'Diseases'!D2:D4303,0))),"")</f>
        <v>3817144</v>
      </c>
      <c r="F273" s="23" cm="1">
        <f t="array" ref="F273">_xlfn.IFERROR(IF(E273="","",D273/E273*100000),"")</f>
        <v>27.7956503605837</v>
      </c>
    </row>
    <row r="274" ht="13.65" customHeight="1">
      <c r="A274" t="s" s="25">
        <v>35</v>
      </c>
      <c r="B274" t="s" s="21">
        <v>68</v>
      </c>
      <c r="C274" t="s" s="21">
        <v>43</v>
      </c>
      <c r="D274" s="22" cm="1">
        <f t="array" ref="D274">_xlfn.SUMIFS('Diseases'!F2:F4303,'Diseases'!B2:B4303,A274,'Diseases'!C2:C4303,B274,'Diseases'!D2:D4303,C274)</f>
        <v>935</v>
      </c>
      <c r="E274" s="22" cm="1">
        <f t="array" ref="E274">_xlfn.IFERROR(IF(INDEX('Diseases'!G2:G4303,MATCH(C274,'Diseases'!D2:D4303,0))="","",INDEX('Diseases'!G2:G4303,MATCH(C274,'Diseases'!D2:D4303,0))),"")</f>
        <v>3817144</v>
      </c>
      <c r="F274" s="23" cm="1">
        <f t="array" ref="F274">_xlfn.IFERROR(IF(E274="","",D274/E274*100000),"")</f>
        <v>24.4947531452835</v>
      </c>
    </row>
    <row r="275" ht="13.65" customHeight="1">
      <c r="A275" t="s" s="20">
        <v>30</v>
      </c>
      <c r="B275" t="s" s="21">
        <v>69</v>
      </c>
      <c r="C275" t="s" s="21">
        <v>43</v>
      </c>
      <c r="D275" s="22" cm="1">
        <f t="array" ref="D275">_xlfn.SUMIFS('Diseases'!F2:F4303,'Diseases'!B2:B4303,A275,'Diseases'!C2:C4303,B275,'Diseases'!D2:D4303,C275)</f>
        <v>8818</v>
      </c>
      <c r="E275" s="22" cm="1">
        <f t="array" ref="E275">_xlfn.IFERROR(IF(INDEX('Diseases'!G2:G4303,MATCH(C275,'Diseases'!D2:D4303,0))="","",INDEX('Diseases'!G2:G4303,MATCH(C275,'Diseases'!D2:D4303,0))),"")</f>
        <v>3817144</v>
      </c>
      <c r="F275" s="23" cm="1">
        <f t="array" ref="F275">_xlfn.IFERROR(IF(E275="","",D275/E275*100000),"")</f>
        <v>231.010409877123</v>
      </c>
    </row>
    <row r="276" ht="13.65" customHeight="1">
      <c r="A276" t="s" s="24">
        <v>34</v>
      </c>
      <c r="B276" t="s" s="21">
        <v>69</v>
      </c>
      <c r="C276" t="s" s="21">
        <v>43</v>
      </c>
      <c r="D276" s="22" cm="1">
        <f t="array" ref="D276">_xlfn.SUMIFS('Diseases'!F2:F4303,'Diseases'!B2:B4303,A276,'Diseases'!C2:C4303,B276,'Diseases'!D2:D4303,C276)</f>
        <v>2995</v>
      </c>
      <c r="E276" s="22" cm="1">
        <f t="array" ref="E276">_xlfn.IFERROR(IF(INDEX('Diseases'!G2:G4303,MATCH(C276,'Diseases'!D2:D4303,0))="","",INDEX('Diseases'!G2:G4303,MATCH(C276,'Diseases'!D2:D4303,0))),"")</f>
        <v>3817144</v>
      </c>
      <c r="F276" s="23" cm="1">
        <f t="array" ref="F276">_xlfn.IFERROR(IF(E276="","",D276/E276*100000),"")</f>
        <v>78.46180285574761</v>
      </c>
    </row>
    <row r="277" ht="13.65" customHeight="1">
      <c r="A277" t="s" s="27">
        <v>37</v>
      </c>
      <c r="B277" t="s" s="21">
        <v>69</v>
      </c>
      <c r="C277" t="s" s="21">
        <v>43</v>
      </c>
      <c r="D277" s="22" cm="1">
        <f t="array" ref="D277">_xlfn.SUMIFS('Diseases'!F2:F4303,'Diseases'!B2:B4303,A277,'Diseases'!C2:C4303,B277,'Diseases'!D2:D4303,C277)</f>
        <v>1241</v>
      </c>
      <c r="E277" s="22" cm="1">
        <f t="array" ref="E277">_xlfn.IFERROR(IF(INDEX('Diseases'!G2:G4303,MATCH(C277,'Diseases'!D2:D4303,0))="","",INDEX('Diseases'!G2:G4303,MATCH(C277,'Diseases'!D2:D4303,0))),"")</f>
        <v>3817144</v>
      </c>
      <c r="F277" s="23" cm="1">
        <f t="array" ref="F277">_xlfn.IFERROR(IF(E277="","",D277/E277*100000),"")</f>
        <v>32.5112178110126</v>
      </c>
    </row>
    <row r="278" ht="13.65" customHeight="1">
      <c r="A278" t="s" s="26">
        <v>36</v>
      </c>
      <c r="B278" t="s" s="21">
        <v>69</v>
      </c>
      <c r="C278" t="s" s="21">
        <v>43</v>
      </c>
      <c r="D278" s="22" cm="1">
        <f t="array" ref="D278">_xlfn.SUMIFS('Diseases'!F2:F4303,'Diseases'!B2:B4303,A278,'Diseases'!C2:C4303,B278,'Diseases'!D2:D4303,C278)</f>
        <v>657</v>
      </c>
      <c r="E278" s="22" cm="1">
        <f t="array" ref="E278">_xlfn.IFERROR(IF(INDEX('Diseases'!G2:G4303,MATCH(C278,'Diseases'!D2:D4303,0))="","",INDEX('Diseases'!G2:G4303,MATCH(C278,'Diseases'!D2:D4303,0))),"")</f>
        <v>3817144</v>
      </c>
      <c r="F278" s="23" cm="1">
        <f t="array" ref="F278">_xlfn.IFERROR(IF(E278="","",D278/E278*100000),"")</f>
        <v>17.2118211940655</v>
      </c>
    </row>
    <row r="279" ht="13.65" customHeight="1">
      <c r="A279" t="s" s="25">
        <v>35</v>
      </c>
      <c r="B279" t="s" s="21">
        <v>69</v>
      </c>
      <c r="C279" t="s" s="21">
        <v>43</v>
      </c>
      <c r="D279" s="22" cm="1">
        <f t="array" ref="D279">_xlfn.SUMIFS('Diseases'!F2:F4303,'Diseases'!B2:B4303,A279,'Diseases'!C2:C4303,B279,'Diseases'!D2:D4303,C279)</f>
        <v>595</v>
      </c>
      <c r="E279" s="22" cm="1">
        <f t="array" ref="E279">_xlfn.IFERROR(IF(INDEX('Diseases'!G2:G4303,MATCH(C279,'Diseases'!D2:D4303,0))="","",INDEX('Diseases'!G2:G4303,MATCH(C279,'Diseases'!D2:D4303,0))),"")</f>
        <v>3817144</v>
      </c>
      <c r="F279" s="23" cm="1">
        <f t="array" ref="F279">_xlfn.IFERROR(IF(E279="","",D279/E279*100000),"")</f>
        <v>15.5875701833622</v>
      </c>
    </row>
    <row r="280" ht="13.65" customHeight="1">
      <c r="A280" t="s" s="29">
        <v>39</v>
      </c>
      <c r="B280" t="s" s="21">
        <v>69</v>
      </c>
      <c r="C280" t="s" s="21">
        <v>43</v>
      </c>
      <c r="D280" s="22" cm="1">
        <f t="array" ref="D280">_xlfn.SUMIFS('Diseases'!F2:F4303,'Diseases'!B2:B4303,A280,'Diseases'!C2:C4303,B280,'Diseases'!D2:D4303,C280)</f>
        <v>527</v>
      </c>
      <c r="E280" s="22" cm="1">
        <f t="array" ref="E280">_xlfn.IFERROR(IF(INDEX('Diseases'!G2:G4303,MATCH(C280,'Diseases'!D2:D4303,0))="","",INDEX('Diseases'!G2:G4303,MATCH(C280,'Diseases'!D2:D4303,0))),"")</f>
        <v>3817144</v>
      </c>
      <c r="F280" s="23" cm="1">
        <f t="array" ref="F280">_xlfn.IFERROR(IF(E280="","",D280/E280*100000),"")</f>
        <v>13.806133590978</v>
      </c>
    </row>
    <row r="281" ht="13.65" customHeight="1">
      <c r="A281" t="s" s="20">
        <v>30</v>
      </c>
      <c r="B281" t="s" s="21">
        <v>70</v>
      </c>
      <c r="C281" t="s" s="21">
        <v>43</v>
      </c>
      <c r="D281" s="22" cm="1">
        <f t="array" ref="D281">_xlfn.SUMIFS('Diseases'!F2:F4303,'Diseases'!B2:B4303,A281,'Diseases'!C2:C4303,B281,'Diseases'!D2:D4303,C281)</f>
        <v>15376</v>
      </c>
      <c r="E281" s="22" cm="1">
        <f t="array" ref="E281">_xlfn.IFERROR(IF(INDEX('Diseases'!G2:G4303,MATCH(C281,'Diseases'!D2:D4303,0))="","",INDEX('Diseases'!G2:G4303,MATCH(C281,'Diseases'!D2:D4303,0))),"")</f>
        <v>3817144</v>
      </c>
      <c r="F281" s="23" cm="1">
        <f t="array" ref="F281">_xlfn.IFERROR(IF(E281="","",D281/E281*100000),"")</f>
        <v>402.814250654416</v>
      </c>
    </row>
    <row r="282" ht="13.65" customHeight="1">
      <c r="A282" t="s" s="24">
        <v>34</v>
      </c>
      <c r="B282" t="s" s="21">
        <v>70</v>
      </c>
      <c r="C282" t="s" s="21">
        <v>43</v>
      </c>
      <c r="D282" s="22" cm="1">
        <f t="array" ref="D282">_xlfn.SUMIFS('Diseases'!F2:F4303,'Diseases'!B2:B4303,A282,'Diseases'!C2:C4303,B282,'Diseases'!D2:D4303,C282)</f>
        <v>5943</v>
      </c>
      <c r="E282" s="22" cm="1">
        <f t="array" ref="E282">_xlfn.IFERROR(IF(INDEX('Diseases'!G2:G4303,MATCH(C282,'Diseases'!D2:D4303,0))="","",INDEX('Diseases'!G2:G4303,MATCH(C282,'Diseases'!D2:D4303,0))),"")</f>
        <v>3817144</v>
      </c>
      <c r="F282" s="23" cm="1">
        <f t="array" ref="F282">_xlfn.IFERROR(IF(E282="","",D282/E282*100000),"")</f>
        <v>155.692318654994</v>
      </c>
    </row>
    <row r="283" ht="13.65" customHeight="1">
      <c r="A283" t="s" s="27">
        <v>37</v>
      </c>
      <c r="B283" t="s" s="21">
        <v>70</v>
      </c>
      <c r="C283" t="s" s="21">
        <v>43</v>
      </c>
      <c r="D283" s="22" cm="1">
        <f t="array" ref="D283">_xlfn.SUMIFS('Diseases'!F2:F4303,'Diseases'!B2:B4303,A283,'Diseases'!C2:C4303,B283,'Diseases'!D2:D4303,C283)</f>
        <v>2945</v>
      </c>
      <c r="E283" s="22" cm="1">
        <f t="array" ref="E283">_xlfn.IFERROR(IF(INDEX('Diseases'!G2:G4303,MATCH(C283,'Diseases'!D2:D4303,0))="","",INDEX('Diseases'!G2:G4303,MATCH(C283,'Diseases'!D2:D4303,0))),"")</f>
        <v>3817144</v>
      </c>
      <c r="F283" s="23" cm="1">
        <f t="array" ref="F283">_xlfn.IFERROR(IF(E283="","",D283/E283*100000),"")</f>
        <v>77.1519230084063</v>
      </c>
    </row>
    <row r="284" ht="13.65" customHeight="1">
      <c r="A284" t="s" s="31">
        <v>45</v>
      </c>
      <c r="B284" t="s" s="21">
        <v>70</v>
      </c>
      <c r="C284" t="s" s="21">
        <v>43</v>
      </c>
      <c r="D284" s="22" cm="1">
        <f t="array" ref="D284">_xlfn.SUMIFS('Diseases'!F2:F4303,'Diseases'!B2:B4303,A284,'Diseases'!C2:C4303,B284,'Diseases'!D2:D4303,C284)</f>
        <v>1981</v>
      </c>
      <c r="E284" s="22" cm="1">
        <f t="array" ref="E284">_xlfn.IFERROR(IF(INDEX('Diseases'!G2:G4303,MATCH(C284,'Diseases'!D2:D4303,0))="","",INDEX('Diseases'!G2:G4303,MATCH(C284,'Diseases'!D2:D4303,0))),"")</f>
        <v>3817144</v>
      </c>
      <c r="F284" s="23" cm="1">
        <f t="array" ref="F284">_xlfn.IFERROR(IF(E284="","",D284/E284*100000),"")</f>
        <v>51.8974395516648</v>
      </c>
    </row>
    <row r="285" ht="13.65" customHeight="1">
      <c r="A285" t="s" s="25">
        <v>35</v>
      </c>
      <c r="B285" t="s" s="21">
        <v>70</v>
      </c>
      <c r="C285" t="s" s="21">
        <v>43</v>
      </c>
      <c r="D285" s="22" cm="1">
        <f t="array" ref="D285">_xlfn.SUMIFS('Diseases'!F2:F4303,'Diseases'!B2:B4303,A285,'Diseases'!C2:C4303,B285,'Diseases'!D2:D4303,C285)</f>
        <v>1872</v>
      </c>
      <c r="E285" s="22" cm="1">
        <f t="array" ref="E285">_xlfn.IFERROR(IF(INDEX('Diseases'!G2:G4303,MATCH(C285,'Diseases'!D2:D4303,0))="","",INDEX('Diseases'!G2:G4303,MATCH(C285,'Diseases'!D2:D4303,0))),"")</f>
        <v>3817144</v>
      </c>
      <c r="F285" s="23" cm="1">
        <f t="array" ref="F285">_xlfn.IFERROR(IF(E285="","",D285/E285*100000),"")</f>
        <v>49.0419014844606</v>
      </c>
    </row>
    <row r="286" ht="13.65" customHeight="1">
      <c r="A286" t="s" s="29">
        <v>39</v>
      </c>
      <c r="B286" t="s" s="21">
        <v>70</v>
      </c>
      <c r="C286" t="s" s="21">
        <v>43</v>
      </c>
      <c r="D286" s="22" cm="1">
        <f t="array" ref="D286">_xlfn.SUMIFS('Diseases'!F2:F4303,'Diseases'!B2:B4303,A286,'Diseases'!C2:C4303,B286,'Diseases'!D2:D4303,C286)</f>
        <v>1636</v>
      </c>
      <c r="E286" s="22" cm="1">
        <f t="array" ref="E286">_xlfn.IFERROR(IF(INDEX('Diseases'!G2:G4303,MATCH(C286,'Diseases'!D2:D4303,0))="","",INDEX('Diseases'!G2:G4303,MATCH(C286,'Diseases'!D2:D4303,0))),"")</f>
        <v>3817144</v>
      </c>
      <c r="F286" s="23" cm="1">
        <f t="array" ref="F286">_xlfn.IFERROR(IF(E286="","",D286/E286*100000),"")</f>
        <v>42.8592686050094</v>
      </c>
    </row>
    <row r="287" ht="13.65" customHeight="1">
      <c r="A287" t="s" s="20">
        <v>30</v>
      </c>
      <c r="B287" t="s" s="21">
        <v>31</v>
      </c>
      <c r="C287" t="s" s="21">
        <v>44</v>
      </c>
      <c r="D287" s="22" cm="1">
        <f t="array" ref="D287">_xlfn.SUMIFS('Diseases'!F2:F4303,'Diseases'!B2:B4303,A287,'Diseases'!C2:C4303,B287,'Diseases'!D2:D4303,C287)</f>
        <v>26045</v>
      </c>
      <c r="E287" s="22" cm="1">
        <f t="array" ref="E287">_xlfn.IFERROR(IF(INDEX('Diseases'!G2:G4303,MATCH(C287,'Diseases'!D2:D4303,0))="","",INDEX('Diseases'!G2:G4303,MATCH(C287,'Diseases'!D2:D4303,0))),"")</f>
        <v>13239670</v>
      </c>
      <c r="F287" s="23" cm="1">
        <f t="array" ref="F287">_xlfn.IFERROR(IF(E287="","",D287/E287*100000),"")</f>
        <v>196.719404637729</v>
      </c>
    </row>
    <row r="288" ht="13.65" customHeight="1">
      <c r="A288" t="s" s="24">
        <v>34</v>
      </c>
      <c r="B288" t="s" s="21">
        <v>31</v>
      </c>
      <c r="C288" t="s" s="21">
        <v>44</v>
      </c>
      <c r="D288" s="22" cm="1">
        <f t="array" ref="D288">_xlfn.SUMIFS('Diseases'!F2:F4303,'Diseases'!B2:B4303,A288,'Diseases'!C2:C4303,B288,'Diseases'!D2:D4303,C288)</f>
        <v>8918</v>
      </c>
      <c r="E288" s="22" cm="1">
        <f t="array" ref="E288">_xlfn.IFERROR(IF(INDEX('Diseases'!G2:G4303,MATCH(C288,'Diseases'!D2:D4303,0))="","",INDEX('Diseases'!G2:G4303,MATCH(C288,'Diseases'!D2:D4303,0))),"")</f>
        <v>13239670</v>
      </c>
      <c r="F288" s="23" cm="1">
        <f t="array" ref="F288">_xlfn.IFERROR(IF(E288="","",D288/E288*100000),"")</f>
        <v>67.3581743351609</v>
      </c>
    </row>
    <row r="289" ht="13.65" customHeight="1">
      <c r="A289" t="s" s="27">
        <v>37</v>
      </c>
      <c r="B289" t="s" s="21">
        <v>31</v>
      </c>
      <c r="C289" t="s" s="21">
        <v>44</v>
      </c>
      <c r="D289" s="22" cm="1">
        <f t="array" ref="D289">_xlfn.SUMIFS('Diseases'!F2:F4303,'Diseases'!B2:B4303,A289,'Diseases'!C2:C4303,B289,'Diseases'!D2:D4303,C289)</f>
        <v>4631</v>
      </c>
      <c r="E289" s="22" cm="1">
        <f t="array" ref="E289">_xlfn.IFERROR(IF(INDEX('Diseases'!G2:G4303,MATCH(C289,'Diseases'!D2:D4303,0))="","",INDEX('Diseases'!G2:G4303,MATCH(C289,'Diseases'!D2:D4303,0))),"")</f>
        <v>13239670</v>
      </c>
      <c r="F289" s="23" cm="1">
        <f t="array" ref="F289">_xlfn.IFERROR(IF(E289="","",D289/E289*100000),"")</f>
        <v>34.9782132031992</v>
      </c>
    </row>
    <row r="290" ht="13.65" customHeight="1">
      <c r="A290" t="s" s="29">
        <v>39</v>
      </c>
      <c r="B290" t="s" s="21">
        <v>31</v>
      </c>
      <c r="C290" t="s" s="21">
        <v>44</v>
      </c>
      <c r="D290" s="22" cm="1">
        <f t="array" ref="D290">_xlfn.SUMIFS('Diseases'!F2:F4303,'Diseases'!B2:B4303,A290,'Diseases'!C2:C4303,B290,'Diseases'!D2:D4303,C290)</f>
        <v>3036</v>
      </c>
      <c r="E290" s="22" cm="1">
        <f t="array" ref="E290">_xlfn.IFERROR(IF(INDEX('Diseases'!G2:G4303,MATCH(C290,'Diseases'!D2:D4303,0))="","",INDEX('Diseases'!G2:G4303,MATCH(C290,'Diseases'!D2:D4303,0))),"")</f>
        <v>13239670</v>
      </c>
      <c r="F290" s="23" cm="1">
        <f t="array" ref="F290">_xlfn.IFERROR(IF(E290="","",D290/E290*100000),"")</f>
        <v>22.9310851403396</v>
      </c>
    </row>
    <row r="291" ht="13.65" customHeight="1">
      <c r="A291" t="s" s="31">
        <v>45</v>
      </c>
      <c r="B291" t="s" s="21">
        <v>31</v>
      </c>
      <c r="C291" t="s" s="21">
        <v>44</v>
      </c>
      <c r="D291" s="22" cm="1">
        <f t="array" ref="D291">_xlfn.SUMIFS('Diseases'!F2:F4303,'Diseases'!B2:B4303,A291,'Diseases'!C2:C4303,B291,'Diseases'!D2:D4303,C291)</f>
        <v>1283</v>
      </c>
      <c r="E291" s="22" cm="1">
        <f t="array" ref="E291">_xlfn.IFERROR(IF(INDEX('Diseases'!G2:G4303,MATCH(C291,'Diseases'!D2:D4303,0))="","",INDEX('Diseases'!G2:G4303,MATCH(C291,'Diseases'!D2:D4303,0))),"")</f>
        <v>13239670</v>
      </c>
      <c r="F291" s="23" cm="1">
        <f t="array" ref="F291">_xlfn.IFERROR(IF(E291="","",D291/E291*100000),"")</f>
        <v>9.690573858714</v>
      </c>
    </row>
    <row r="292" ht="13.65" customHeight="1">
      <c r="A292" t="s" s="26">
        <v>36</v>
      </c>
      <c r="B292" t="s" s="21">
        <v>31</v>
      </c>
      <c r="C292" t="s" s="21">
        <v>44</v>
      </c>
      <c r="D292" s="22" cm="1">
        <f t="array" ref="D292">_xlfn.SUMIFS('Diseases'!F2:F4303,'Diseases'!B2:B4303,A292,'Diseases'!C2:C4303,B292,'Diseases'!D2:D4303,C292)</f>
        <v>1225</v>
      </c>
      <c r="E292" s="22" cm="1">
        <f t="array" ref="E292">_xlfn.IFERROR(IF(INDEX('Diseases'!G2:G4303,MATCH(C292,'Diseases'!D2:D4303,0))="","",INDEX('Diseases'!G2:G4303,MATCH(C292,'Diseases'!D2:D4303,0))),"")</f>
        <v>13239670</v>
      </c>
      <c r="F292" s="23" cm="1">
        <f t="array" ref="F292">_xlfn.IFERROR(IF(E292="","",D292/E292*100000),"")</f>
        <v>9.25249647461002</v>
      </c>
    </row>
    <row r="293" ht="13.65" customHeight="1">
      <c r="A293" t="s" s="28">
        <v>41</v>
      </c>
      <c r="B293" t="s" s="21">
        <v>31</v>
      </c>
      <c r="C293" t="s" s="21">
        <v>44</v>
      </c>
      <c r="D293" s="22" cm="1">
        <f t="array" ref="D293">_xlfn.SUMIFS('Diseases'!F2:F4303,'Diseases'!B2:B4303,A293,'Diseases'!C2:C4303,B293,'Diseases'!D2:D4303,C293)</f>
        <v>1169</v>
      </c>
      <c r="E293" s="22" cm="1">
        <f t="array" ref="E293">_xlfn.IFERROR(IF(INDEX('Diseases'!G2:G4303,MATCH(C293,'Diseases'!D2:D4303,0))="","",INDEX('Diseases'!G2:G4303,MATCH(C293,'Diseases'!D2:D4303,0))),"")</f>
        <v>13239670</v>
      </c>
      <c r="F293" s="23" cm="1">
        <f t="array" ref="F293">_xlfn.IFERROR(IF(E293="","",D293/E293*100000),"")</f>
        <v>8.82952520719927</v>
      </c>
    </row>
    <row r="294" ht="13.65" customHeight="1">
      <c r="A294" t="s" s="20">
        <v>30</v>
      </c>
      <c r="B294" t="s" s="21">
        <v>60</v>
      </c>
      <c r="C294" t="s" s="21">
        <v>44</v>
      </c>
      <c r="D294" s="22" cm="1">
        <f t="array" ref="D294">_xlfn.SUMIFS('Diseases'!F2:F4303,'Diseases'!B2:B4303,A294,'Diseases'!C2:C4303,B294,'Diseases'!D2:D4303,C294)</f>
        <v>14405</v>
      </c>
      <c r="E294" s="22" cm="1">
        <f t="array" ref="E294">_xlfn.IFERROR(IF(INDEX('Diseases'!G2:G4303,MATCH(C294,'Diseases'!D2:D4303,0))="","",INDEX('Diseases'!G2:G4303,MATCH(C294,'Diseases'!D2:D4303,0))),"")</f>
        <v>13239670</v>
      </c>
      <c r="F294" s="23" cm="1">
        <f t="array" ref="F294">_xlfn.IFERROR(IF(E294="","",D294/E294*100000),"")</f>
        <v>108.801805483067</v>
      </c>
    </row>
    <row r="295" ht="13.65" customHeight="1">
      <c r="A295" t="s" s="24">
        <v>34</v>
      </c>
      <c r="B295" t="s" s="21">
        <v>60</v>
      </c>
      <c r="C295" t="s" s="21">
        <v>44</v>
      </c>
      <c r="D295" s="22" cm="1">
        <f t="array" ref="D295">_xlfn.SUMIFS('Diseases'!F2:F4303,'Diseases'!B2:B4303,A295,'Diseases'!C2:C4303,B295,'Diseases'!D2:D4303,C295)</f>
        <v>3657</v>
      </c>
      <c r="E295" s="22" cm="1">
        <f t="array" ref="E295">_xlfn.IFERROR(IF(INDEX('Diseases'!G2:G4303,MATCH(C295,'Diseases'!D2:D4303,0))="","",INDEX('Diseases'!G2:G4303,MATCH(C295,'Diseases'!D2:D4303,0))),"")</f>
        <v>13239670</v>
      </c>
      <c r="F295" s="23" cm="1">
        <f t="array" ref="F295">_xlfn.IFERROR(IF(E295="","",D295/E295*100000),"")</f>
        <v>27.6215343735909</v>
      </c>
    </row>
    <row r="296" ht="13.65" customHeight="1">
      <c r="A296" t="s" s="29">
        <v>39</v>
      </c>
      <c r="B296" t="s" s="21">
        <v>60</v>
      </c>
      <c r="C296" t="s" s="21">
        <v>44</v>
      </c>
      <c r="D296" s="22" cm="1">
        <f t="array" ref="D296">_xlfn.SUMIFS('Diseases'!F2:F4303,'Diseases'!B2:B4303,A296,'Diseases'!C2:C4303,B296,'Diseases'!D2:D4303,C296)</f>
        <v>3646</v>
      </c>
      <c r="E296" s="22" cm="1">
        <f t="array" ref="E296">_xlfn.IFERROR(IF(INDEX('Diseases'!G2:G4303,MATCH(C296,'Diseases'!D2:D4303,0))="","",INDEX('Diseases'!G2:G4303,MATCH(C296,'Diseases'!D2:D4303,0))),"")</f>
        <v>13239670</v>
      </c>
      <c r="F296" s="23" cm="1">
        <f t="array" ref="F296">_xlfn.IFERROR(IF(E296="","",D296/E296*100000),"")</f>
        <v>27.5384507317781</v>
      </c>
    </row>
    <row r="297" ht="13.65" customHeight="1">
      <c r="A297" t="s" s="27">
        <v>37</v>
      </c>
      <c r="B297" t="s" s="21">
        <v>60</v>
      </c>
      <c r="C297" t="s" s="21">
        <v>44</v>
      </c>
      <c r="D297" s="22" cm="1">
        <f t="array" ref="D297">_xlfn.SUMIFS('Diseases'!F2:F4303,'Diseases'!B2:B4303,A297,'Diseases'!C2:C4303,B297,'Diseases'!D2:D4303,C297)</f>
        <v>1793</v>
      </c>
      <c r="E297" s="22" cm="1">
        <f t="array" ref="E297">_xlfn.IFERROR(IF(INDEX('Diseases'!G2:G4303,MATCH(C297,'Diseases'!D2:D4303,0))="","",INDEX('Diseases'!G2:G4303,MATCH(C297,'Diseases'!D2:D4303,0))),"")</f>
        <v>13239670</v>
      </c>
      <c r="F297" s="23" cm="1">
        <f t="array" ref="F297">_xlfn.IFERROR(IF(E297="","",D297/E297*100000),"")</f>
        <v>13.5426336154904</v>
      </c>
    </row>
    <row r="298" ht="13.65" customHeight="1">
      <c r="A298" t="s" s="26">
        <v>36</v>
      </c>
      <c r="B298" t="s" s="21">
        <v>60</v>
      </c>
      <c r="C298" t="s" s="21">
        <v>44</v>
      </c>
      <c r="D298" s="22" cm="1">
        <f t="array" ref="D298">_xlfn.SUMIFS('Diseases'!F2:F4303,'Diseases'!B2:B4303,A298,'Diseases'!C2:C4303,B298,'Diseases'!D2:D4303,C298)</f>
        <v>1112</v>
      </c>
      <c r="E298" s="22" cm="1">
        <f t="array" ref="E298">_xlfn.IFERROR(IF(INDEX('Diseases'!G2:G4303,MATCH(C298,'Diseases'!D2:D4303,0))="","",INDEX('Diseases'!G2:G4303,MATCH(C298,'Diseases'!D2:D4303,0))),"")</f>
        <v>13239670</v>
      </c>
      <c r="F298" s="23" cm="1">
        <f t="array" ref="F298">_xlfn.IFERROR(IF(E298="","",D298/E298*100000),"")</f>
        <v>8.399000881441911</v>
      </c>
    </row>
    <row r="299" ht="13.65" customHeight="1">
      <c r="A299" t="s" s="31">
        <v>45</v>
      </c>
      <c r="B299" t="s" s="21">
        <v>60</v>
      </c>
      <c r="C299" t="s" s="21">
        <v>44</v>
      </c>
      <c r="D299" s="22" cm="1">
        <f t="array" ref="D299">_xlfn.SUMIFS('Diseases'!F2:F4303,'Diseases'!B2:B4303,A299,'Diseases'!C2:C4303,B299,'Diseases'!D2:D4303,C299)</f>
        <v>1065</v>
      </c>
      <c r="E299" s="22" cm="1">
        <f t="array" ref="E299">_xlfn.IFERROR(IF(INDEX('Diseases'!G2:G4303,MATCH(C299,'Diseases'!D2:D4303,0))="","",INDEX('Diseases'!G2:G4303,MATCH(C299,'Diseases'!D2:D4303,0))),"")</f>
        <v>13239670</v>
      </c>
      <c r="F299" s="23" cm="1">
        <f t="array" ref="F299">_xlfn.IFERROR(IF(E299="","",D299/E299*100000),"")</f>
        <v>8.04400713915075</v>
      </c>
    </row>
    <row r="300" ht="13.65" customHeight="1">
      <c r="A300" t="s" s="28">
        <v>41</v>
      </c>
      <c r="B300" t="s" s="21">
        <v>60</v>
      </c>
      <c r="C300" t="s" s="21">
        <v>44</v>
      </c>
      <c r="D300" s="22" cm="1">
        <f t="array" ref="D300">_xlfn.SUMIFS('Diseases'!F2:F4303,'Diseases'!B2:B4303,A300,'Diseases'!C2:C4303,B300,'Diseases'!D2:D4303,C300)</f>
        <v>1036</v>
      </c>
      <c r="E300" s="22" cm="1">
        <f t="array" ref="E300">_xlfn.IFERROR(IF(INDEX('Diseases'!G2:G4303,MATCH(C300,'Diseases'!D2:D4303,0))="","",INDEX('Diseases'!G2:G4303,MATCH(C300,'Diseases'!D2:D4303,0))),"")</f>
        <v>13239670</v>
      </c>
      <c r="F300" s="23" cm="1">
        <f t="array" ref="F300">_xlfn.IFERROR(IF(E300="","",D300/E300*100000),"")</f>
        <v>7.82496844709876</v>
      </c>
    </row>
    <row r="301" ht="13.65" customHeight="1">
      <c r="A301" t="s" s="20">
        <v>30</v>
      </c>
      <c r="B301" t="s" s="21">
        <v>61</v>
      </c>
      <c r="C301" t="s" s="21">
        <v>44</v>
      </c>
      <c r="D301" s="22" cm="1">
        <f t="array" ref="D301">_xlfn.SUMIFS('Diseases'!F2:F4303,'Diseases'!B2:B4303,A301,'Diseases'!C2:C4303,B301,'Diseases'!D2:D4303,C301)</f>
        <v>20843</v>
      </c>
      <c r="E301" s="22" cm="1">
        <f t="array" ref="E301">_xlfn.IFERROR(IF(INDEX('Diseases'!G2:G4303,MATCH(C301,'Diseases'!D2:D4303,0))="","",INDEX('Diseases'!G2:G4303,MATCH(C301,'Diseases'!D2:D4303,0))),"")</f>
        <v>13239670</v>
      </c>
      <c r="F301" s="23" cm="1">
        <f t="array" ref="F301">_xlfn.IFERROR(IF(E301="","",D301/E301*100000),"")</f>
        <v>157.428395118609</v>
      </c>
    </row>
    <row r="302" ht="13.65" customHeight="1">
      <c r="A302" t="s" s="24">
        <v>34</v>
      </c>
      <c r="B302" t="s" s="21">
        <v>61</v>
      </c>
      <c r="C302" t="s" s="21">
        <v>44</v>
      </c>
      <c r="D302" s="22" cm="1">
        <f t="array" ref="D302">_xlfn.SUMIFS('Diseases'!F2:F4303,'Diseases'!B2:B4303,A302,'Diseases'!C2:C4303,B302,'Diseases'!D2:D4303,C302)</f>
        <v>4545</v>
      </c>
      <c r="E302" s="22" cm="1">
        <f t="array" ref="E302">_xlfn.IFERROR(IF(INDEX('Diseases'!G2:G4303,MATCH(C302,'Diseases'!D2:D4303,0))="","",INDEX('Diseases'!G2:G4303,MATCH(C302,'Diseases'!D2:D4303,0))),"")</f>
        <v>13239670</v>
      </c>
      <c r="F302" s="23" cm="1">
        <f t="array" ref="F302">_xlfn.IFERROR(IF(E302="","",D302/E302*100000),"")</f>
        <v>34.3286501853898</v>
      </c>
    </row>
    <row r="303" ht="13.65" customHeight="1">
      <c r="A303" t="s" s="33">
        <v>59</v>
      </c>
      <c r="B303" t="s" s="21">
        <v>61</v>
      </c>
      <c r="C303" t="s" s="21">
        <v>44</v>
      </c>
      <c r="D303" s="22" cm="1">
        <f t="array" ref="D303">_xlfn.SUMIFS('Diseases'!F2:F4303,'Diseases'!B2:B4303,A303,'Diseases'!C2:C4303,B303,'Diseases'!D2:D4303,C303)</f>
        <v>1266</v>
      </c>
      <c r="E303" s="22" cm="1">
        <f t="array" ref="E303">_xlfn.IFERROR(IF(INDEX('Diseases'!G2:G4303,MATCH(C303,'Diseases'!D2:D4303,0))="","",INDEX('Diseases'!G2:G4303,MATCH(C303,'Diseases'!D2:D4303,0))),"")</f>
        <v>13239670</v>
      </c>
      <c r="F303" s="23" cm="1">
        <f t="array" ref="F303">_xlfn.IFERROR(IF(E303="","",D303/E303*100000),"")</f>
        <v>9.562171866821449</v>
      </c>
    </row>
    <row r="304" ht="13.65" customHeight="1">
      <c r="A304" t="s" s="26">
        <v>36</v>
      </c>
      <c r="B304" t="s" s="21">
        <v>61</v>
      </c>
      <c r="C304" t="s" s="21">
        <v>44</v>
      </c>
      <c r="D304" s="22" cm="1">
        <f t="array" ref="D304">_xlfn.SUMIFS('Diseases'!F2:F4303,'Diseases'!B2:B4303,A304,'Diseases'!C2:C4303,B304,'Diseases'!D2:D4303,C304)</f>
        <v>1127</v>
      </c>
      <c r="E304" s="22" cm="1">
        <f t="array" ref="E304">_xlfn.IFERROR(IF(INDEX('Diseases'!G2:G4303,MATCH(C304,'Diseases'!D2:D4303,0))="","",INDEX('Diseases'!G2:G4303,MATCH(C304,'Diseases'!D2:D4303,0))),"")</f>
        <v>13239670</v>
      </c>
      <c r="F304" s="23" cm="1">
        <f t="array" ref="F304">_xlfn.IFERROR(IF(E304="","",D304/E304*100000),"")</f>
        <v>8.51229675664122</v>
      </c>
    </row>
    <row r="305" ht="13.65" customHeight="1">
      <c r="A305" t="s" s="29">
        <v>39</v>
      </c>
      <c r="B305" t="s" s="21">
        <v>61</v>
      </c>
      <c r="C305" t="s" s="21">
        <v>44</v>
      </c>
      <c r="D305" s="22" cm="1">
        <f t="array" ref="D305">_xlfn.SUMIFS('Diseases'!F2:F4303,'Diseases'!B2:B4303,A305,'Diseases'!C2:C4303,B305,'Diseases'!D2:D4303,C305)</f>
        <v>982</v>
      </c>
      <c r="E305" s="22" cm="1">
        <f t="array" ref="E305">_xlfn.IFERROR(IF(INDEX('Diseases'!G2:G4303,MATCH(C305,'Diseases'!D2:D4303,0))="","",INDEX('Diseases'!G2:G4303,MATCH(C305,'Diseases'!D2:D4303,0))),"")</f>
        <v>13239670</v>
      </c>
      <c r="F305" s="23" cm="1">
        <f t="array" ref="F305">_xlfn.IFERROR(IF(E305="","",D305/E305*100000),"")</f>
        <v>7.41710329638125</v>
      </c>
    </row>
    <row r="306" ht="13.65" customHeight="1">
      <c r="A306" t="s" s="20">
        <v>30</v>
      </c>
      <c r="B306" t="s" s="21">
        <v>62</v>
      </c>
      <c r="C306" t="s" s="21">
        <v>44</v>
      </c>
      <c r="D306" s="22" cm="1">
        <f t="array" ref="D306">_xlfn.SUMIFS('Diseases'!F2:F4303,'Diseases'!B2:B4303,A306,'Diseases'!C2:C4303,B306,'Diseases'!D2:D4303,C306)</f>
        <v>379080</v>
      </c>
      <c r="E306" s="22" cm="1">
        <f t="array" ref="E306">_xlfn.IFERROR(IF(INDEX('Diseases'!G2:G4303,MATCH(C306,'Diseases'!D2:D4303,0))="","",INDEX('Diseases'!G2:G4303,MATCH(C306,'Diseases'!D2:D4303,0))),"")</f>
        <v>13239670</v>
      </c>
      <c r="F306" s="23" cm="1">
        <f t="array" ref="F306">_xlfn.IFERROR(IF(E306="","",D306/E306*100000),"")</f>
        <v>2863.213358036870</v>
      </c>
    </row>
    <row r="307" ht="13.65" customHeight="1">
      <c r="A307" t="s" s="24">
        <v>34</v>
      </c>
      <c r="B307" t="s" s="21">
        <v>62</v>
      </c>
      <c r="C307" t="s" s="21">
        <v>44</v>
      </c>
      <c r="D307" s="22" cm="1">
        <f t="array" ref="D307">_xlfn.SUMIFS('Diseases'!F2:F4303,'Diseases'!B2:B4303,A307,'Diseases'!C2:C4303,B307,'Diseases'!D2:D4303,C307)</f>
        <v>156345</v>
      </c>
      <c r="E307" s="22" cm="1">
        <f t="array" ref="E307">_xlfn.IFERROR(IF(INDEX('Diseases'!G2:G4303,MATCH(C307,'Diseases'!D2:D4303,0))="","",INDEX('Diseases'!G2:G4303,MATCH(C307,'Diseases'!D2:D4303,0))),"")</f>
        <v>13239670</v>
      </c>
      <c r="F307" s="23" cm="1">
        <f t="array" ref="F307">_xlfn.IFERROR(IF(E307="","",D307/E307*100000),"")</f>
        <v>1180.882907202370</v>
      </c>
    </row>
    <row r="308" ht="13.65" customHeight="1">
      <c r="A308" t="s" s="25">
        <v>35</v>
      </c>
      <c r="B308" t="s" s="21">
        <v>62</v>
      </c>
      <c r="C308" t="s" s="21">
        <v>44</v>
      </c>
      <c r="D308" s="22" cm="1">
        <f t="array" ref="D308">_xlfn.SUMIFS('Diseases'!F2:F4303,'Diseases'!B2:B4303,A308,'Diseases'!C2:C4303,B308,'Diseases'!D2:D4303,C308)</f>
        <v>91395</v>
      </c>
      <c r="E308" s="22" cm="1">
        <f t="array" ref="E308">_xlfn.IFERROR(IF(INDEX('Diseases'!G2:G4303,MATCH(C308,'Diseases'!D2:D4303,0))="","",INDEX('Diseases'!G2:G4303,MATCH(C308,'Diseases'!D2:D4303,0))),"")</f>
        <v>13239670</v>
      </c>
      <c r="F308" s="23" cm="1">
        <f t="array" ref="F308">_xlfn.IFERROR(IF(E308="","",D308/E308*100000),"")</f>
        <v>690.3117675893729</v>
      </c>
    </row>
    <row r="309" ht="13.65" customHeight="1">
      <c r="A309" t="s" s="27">
        <v>37</v>
      </c>
      <c r="B309" t="s" s="21">
        <v>62</v>
      </c>
      <c r="C309" t="s" s="21">
        <v>44</v>
      </c>
      <c r="D309" s="22" cm="1">
        <f t="array" ref="D309">_xlfn.SUMIFS('Diseases'!F2:F4303,'Diseases'!B2:B4303,A309,'Diseases'!C2:C4303,B309,'Diseases'!D2:D4303,C309)</f>
        <v>61950</v>
      </c>
      <c r="E309" s="22" cm="1">
        <f t="array" ref="E309">_xlfn.IFERROR(IF(INDEX('Diseases'!G2:G4303,MATCH(C309,'Diseases'!D2:D4303,0))="","",INDEX('Diseases'!G2:G4303,MATCH(C309,'Diseases'!D2:D4303,0))),"")</f>
        <v>13239670</v>
      </c>
      <c r="F309" s="23" cm="1">
        <f t="array" ref="F309">_xlfn.IFERROR(IF(E309="","",D309/E309*100000),"")</f>
        <v>467.911964573135</v>
      </c>
    </row>
    <row r="310" ht="13.65" customHeight="1">
      <c r="A310" t="s" s="26">
        <v>36</v>
      </c>
      <c r="B310" t="s" s="21">
        <v>62</v>
      </c>
      <c r="C310" t="s" s="21">
        <v>44</v>
      </c>
      <c r="D310" s="22" cm="1">
        <f t="array" ref="D310">_xlfn.SUMIFS('Diseases'!F2:F4303,'Diseases'!B2:B4303,A310,'Diseases'!C2:C4303,B310,'Diseases'!D2:D4303,C310)</f>
        <v>28560</v>
      </c>
      <c r="E310" s="22" cm="1">
        <f t="array" ref="E310">_xlfn.IFERROR(IF(INDEX('Diseases'!G2:G4303,MATCH(C310,'Diseases'!D2:D4303,0))="","",INDEX('Diseases'!G2:G4303,MATCH(C310,'Diseases'!D2:D4303,0))),"")</f>
        <v>13239670</v>
      </c>
      <c r="F310" s="23" cm="1">
        <f t="array" ref="F310">_xlfn.IFERROR(IF(E310="","",D310/E310*100000),"")</f>
        <v>215.715346379479</v>
      </c>
    </row>
    <row r="311" ht="13.65" customHeight="1">
      <c r="A311" t="s" s="29">
        <v>39</v>
      </c>
      <c r="B311" t="s" s="21">
        <v>62</v>
      </c>
      <c r="C311" t="s" s="21">
        <v>44</v>
      </c>
      <c r="D311" s="22" cm="1">
        <f t="array" ref="D311">_xlfn.SUMIFS('Diseases'!F2:F4303,'Diseases'!B2:B4303,A311,'Diseases'!C2:C4303,B311,'Diseases'!D2:D4303,C311)</f>
        <v>25395</v>
      </c>
      <c r="E311" s="22" cm="1">
        <f t="array" ref="E311">_xlfn.IFERROR(IF(INDEX('Diseases'!G2:G4303,MATCH(C311,'Diseases'!D2:D4303,0))="","",INDEX('Diseases'!G2:G4303,MATCH(C311,'Diseases'!D2:D4303,0))),"")</f>
        <v>13239670</v>
      </c>
      <c r="F311" s="23" cm="1">
        <f t="array" ref="F311">_xlfn.IFERROR(IF(E311="","",D311/E311*100000),"")</f>
        <v>191.809916712426</v>
      </c>
    </row>
    <row r="312" ht="13.65" customHeight="1">
      <c r="A312" t="s" s="28">
        <v>41</v>
      </c>
      <c r="B312" t="s" s="21">
        <v>62</v>
      </c>
      <c r="C312" t="s" s="21">
        <v>44</v>
      </c>
      <c r="D312" s="22" cm="1">
        <f t="array" ref="D312">_xlfn.SUMIFS('Diseases'!F2:F4303,'Diseases'!B2:B4303,A312,'Diseases'!C2:C4303,B312,'Diseases'!D2:D4303,C312)</f>
        <v>23295</v>
      </c>
      <c r="E312" s="22" cm="1">
        <f t="array" ref="E312">_xlfn.IFERROR(IF(INDEX('Diseases'!G2:G4303,MATCH(C312,'Diseases'!D2:D4303,0))="","",INDEX('Diseases'!G2:G4303,MATCH(C312,'Diseases'!D2:D4303,0))),"")</f>
        <v>13239670</v>
      </c>
      <c r="F312" s="23" cm="1">
        <f t="array" ref="F312">_xlfn.IFERROR(IF(E312="","",D312/E312*100000),"")</f>
        <v>175.948494184523</v>
      </c>
    </row>
    <row r="313" ht="13.65" customHeight="1">
      <c r="A313" t="s" s="20">
        <v>30</v>
      </c>
      <c r="B313" t="s" s="21">
        <v>63</v>
      </c>
      <c r="C313" t="s" s="21">
        <v>44</v>
      </c>
      <c r="D313" s="22" cm="1">
        <f t="array" ref="D313">_xlfn.SUMIFS('Diseases'!F2:F4303,'Diseases'!B2:B4303,A313,'Diseases'!C2:C4303,B313,'Diseases'!D2:D4303,C313)</f>
        <v>8574</v>
      </c>
      <c r="E313" s="22" cm="1">
        <f t="array" ref="E313">_xlfn.IFERROR(IF(INDEX('Diseases'!G2:G4303,MATCH(C313,'Diseases'!D2:D4303,0))="","",INDEX('Diseases'!G2:G4303,MATCH(C313,'Diseases'!D2:D4303,0))),"")</f>
        <v>13239670</v>
      </c>
      <c r="F313" s="23" cm="1">
        <f t="array" ref="F313">_xlfn.IFERROR(IF(E313="","",D313/E313*100000),"")</f>
        <v>64.7599222639235</v>
      </c>
    </row>
    <row r="314" ht="13.65" customHeight="1">
      <c r="A314" t="s" s="25">
        <v>35</v>
      </c>
      <c r="B314" t="s" s="21">
        <v>63</v>
      </c>
      <c r="C314" t="s" s="21">
        <v>44</v>
      </c>
      <c r="D314" s="22" cm="1">
        <f t="array" ref="D314">_xlfn.SUMIFS('Diseases'!F2:F4303,'Diseases'!B2:B4303,A314,'Diseases'!C2:C4303,B314,'Diseases'!D2:D4303,C314)</f>
        <v>4721</v>
      </c>
      <c r="E314" s="22" cm="1">
        <f t="array" ref="E314">_xlfn.IFERROR(IF(INDEX('Diseases'!G2:G4303,MATCH(C314,'Diseases'!D2:D4303,0))="","",INDEX('Diseases'!G2:G4303,MATCH(C314,'Diseases'!D2:D4303,0))),"")</f>
        <v>13239670</v>
      </c>
      <c r="F314" s="23" cm="1">
        <f t="array" ref="F314">_xlfn.IFERROR(IF(E314="","",D314/E314*100000),"")</f>
        <v>35.657988454395</v>
      </c>
    </row>
    <row r="315" ht="13.65" customHeight="1">
      <c r="A315" t="s" s="27">
        <v>37</v>
      </c>
      <c r="B315" t="s" s="21">
        <v>63</v>
      </c>
      <c r="C315" t="s" s="21">
        <v>44</v>
      </c>
      <c r="D315" s="22" cm="1">
        <f t="array" ref="D315">_xlfn.SUMIFS('Diseases'!F2:F4303,'Diseases'!B2:B4303,A315,'Diseases'!C2:C4303,B315,'Diseases'!D2:D4303,C315)</f>
        <v>4362</v>
      </c>
      <c r="E315" s="22" cm="1">
        <f t="array" ref="E315">_xlfn.IFERROR(IF(INDEX('Diseases'!G2:G4303,MATCH(C315,'Diseases'!D2:D4303,0))="","",INDEX('Diseases'!G2:G4303,MATCH(C315,'Diseases'!D2:D4303,0))),"")</f>
        <v>13239670</v>
      </c>
      <c r="F315" s="23" cm="1">
        <f t="array" ref="F315">_xlfn.IFERROR(IF(E315="","",D315/E315*100000),"")</f>
        <v>32.9464405079583</v>
      </c>
    </row>
    <row r="316" ht="13.65" customHeight="1">
      <c r="A316" t="s" s="29">
        <v>39</v>
      </c>
      <c r="B316" t="s" s="21">
        <v>63</v>
      </c>
      <c r="C316" t="s" s="21">
        <v>44</v>
      </c>
      <c r="D316" s="22" cm="1">
        <f t="array" ref="D316">_xlfn.SUMIFS('Diseases'!F2:F4303,'Diseases'!B2:B4303,A316,'Diseases'!C2:C4303,B316,'Diseases'!D2:D4303,C316)</f>
        <v>3233</v>
      </c>
      <c r="E316" s="22" cm="1">
        <f t="array" ref="E316">_xlfn.IFERROR(IF(INDEX('Diseases'!G2:G4303,MATCH(C316,'Diseases'!D2:D4303,0))="","",INDEX('Diseases'!G2:G4303,MATCH(C316,'Diseases'!D2:D4303,0))),"")</f>
        <v>13239670</v>
      </c>
      <c r="F316" s="23" cm="1">
        <f t="array" ref="F316">_xlfn.IFERROR(IF(E316="","",D316/E316*100000),"")</f>
        <v>24.4190376346238</v>
      </c>
    </row>
    <row r="317" ht="13.65" customHeight="1">
      <c r="A317" t="s" s="24">
        <v>34</v>
      </c>
      <c r="B317" t="s" s="21">
        <v>63</v>
      </c>
      <c r="C317" t="s" s="21">
        <v>44</v>
      </c>
      <c r="D317" s="22" cm="1">
        <f t="array" ref="D317">_xlfn.SUMIFS('Diseases'!F2:F4303,'Diseases'!B2:B4303,A317,'Diseases'!C2:C4303,B317,'Diseases'!D2:D4303,C317)</f>
        <v>3139</v>
      </c>
      <c r="E317" s="22" cm="1">
        <f t="array" ref="E317">_xlfn.IFERROR(IF(INDEX('Diseases'!G2:G4303,MATCH(C317,'Diseases'!D2:D4303,0))="","",INDEX('Diseases'!G2:G4303,MATCH(C317,'Diseases'!D2:D4303,0))),"")</f>
        <v>13239670</v>
      </c>
      <c r="F317" s="23" cm="1">
        <f t="array" ref="F317">_xlfn.IFERROR(IF(E317="","",D317/E317*100000),"")</f>
        <v>23.7090501500415</v>
      </c>
    </row>
    <row r="318" ht="13.65" customHeight="1">
      <c r="A318" t="s" s="26">
        <v>36</v>
      </c>
      <c r="B318" t="s" s="21">
        <v>63</v>
      </c>
      <c r="C318" t="s" s="21">
        <v>44</v>
      </c>
      <c r="D318" s="22" cm="1">
        <f t="array" ref="D318">_xlfn.SUMIFS('Diseases'!F2:F4303,'Diseases'!B2:B4303,A318,'Diseases'!C2:C4303,B318,'Diseases'!D2:D4303,C318)</f>
        <v>3100</v>
      </c>
      <c r="E318" s="22" cm="1">
        <f t="array" ref="E318">_xlfn.IFERROR(IF(INDEX('Diseases'!G2:G4303,MATCH(C318,'Diseases'!D2:D4303,0))="","",INDEX('Diseases'!G2:G4303,MATCH(C318,'Diseases'!D2:D4303,0))),"")</f>
        <v>13239670</v>
      </c>
      <c r="F318" s="23" cm="1">
        <f t="array" ref="F318">_xlfn.IFERROR(IF(E318="","",D318/E318*100000),"")</f>
        <v>23.4144808745233</v>
      </c>
    </row>
    <row r="319" ht="13.65" customHeight="1">
      <c r="A319" t="s" s="20">
        <v>30</v>
      </c>
      <c r="B319" t="s" s="21">
        <v>64</v>
      </c>
      <c r="C319" t="s" s="21">
        <v>44</v>
      </c>
      <c r="D319" s="22" cm="1">
        <f t="array" ref="D319">_xlfn.SUMIFS('Diseases'!F2:F4303,'Diseases'!B2:B4303,A319,'Diseases'!C2:C4303,B319,'Diseases'!D2:D4303,C319)</f>
        <v>28556</v>
      </c>
      <c r="E319" s="22" cm="1">
        <f t="array" ref="E319">_xlfn.IFERROR(IF(INDEX('Diseases'!G2:G4303,MATCH(C319,'Diseases'!D2:D4303,0))="","",INDEX('Diseases'!G2:G4303,MATCH(C319,'Diseases'!D2:D4303,0))),"")</f>
        <v>13239670</v>
      </c>
      <c r="F319" s="23" cm="1">
        <f t="array" ref="F319">_xlfn.IFERROR(IF(E319="","",D319/E319*100000),"")</f>
        <v>215.685134146093</v>
      </c>
    </row>
    <row r="320" ht="13.65" customHeight="1">
      <c r="A320" t="s" s="24">
        <v>34</v>
      </c>
      <c r="B320" t="s" s="21">
        <v>64</v>
      </c>
      <c r="C320" t="s" s="21">
        <v>44</v>
      </c>
      <c r="D320" s="22" cm="1">
        <f t="array" ref="D320">_xlfn.SUMIFS('Diseases'!F2:F4303,'Diseases'!B2:B4303,A320,'Diseases'!C2:C4303,B320,'Diseases'!D2:D4303,C320)</f>
        <v>21578</v>
      </c>
      <c r="E320" s="22" cm="1">
        <f t="array" ref="E320">_xlfn.IFERROR(IF(INDEX('Diseases'!G2:G4303,MATCH(C320,'Diseases'!D2:D4303,0))="","",INDEX('Diseases'!G2:G4303,MATCH(C320,'Diseases'!D2:D4303,0))),"")</f>
        <v>13239670</v>
      </c>
      <c r="F320" s="23" cm="1">
        <f t="array" ref="F320">_xlfn.IFERROR(IF(E320="","",D320/E320*100000),"")</f>
        <v>162.979893003375</v>
      </c>
    </row>
    <row r="321" ht="13.65" customHeight="1">
      <c r="A321" t="s" s="25">
        <v>35</v>
      </c>
      <c r="B321" t="s" s="21">
        <v>64</v>
      </c>
      <c r="C321" t="s" s="21">
        <v>44</v>
      </c>
      <c r="D321" s="22" cm="1">
        <f t="array" ref="D321">_xlfn.SUMIFS('Diseases'!F2:F4303,'Diseases'!B2:B4303,A321,'Diseases'!C2:C4303,B321,'Diseases'!D2:D4303,C321)</f>
        <v>14884</v>
      </c>
      <c r="E321" s="22" cm="1">
        <f t="array" ref="E321">_xlfn.IFERROR(IF(INDEX('Diseases'!G2:G4303,MATCH(C321,'Diseases'!D2:D4303,0))="","",INDEX('Diseases'!G2:G4303,MATCH(C321,'Diseases'!D2:D4303,0))),"")</f>
        <v>13239670</v>
      </c>
      <c r="F321" s="23" cm="1">
        <f t="array" ref="F321">_xlfn.IFERROR(IF(E321="","",D321/E321*100000),"")</f>
        <v>112.419720431098</v>
      </c>
    </row>
    <row r="322" ht="13.65" customHeight="1">
      <c r="A322" t="s" s="27">
        <v>37</v>
      </c>
      <c r="B322" t="s" s="21">
        <v>64</v>
      </c>
      <c r="C322" t="s" s="21">
        <v>44</v>
      </c>
      <c r="D322" s="22" cm="1">
        <f t="array" ref="D322">_xlfn.SUMIFS('Diseases'!F2:F4303,'Diseases'!B2:B4303,A322,'Diseases'!C2:C4303,B322,'Diseases'!D2:D4303,C322)</f>
        <v>9689</v>
      </c>
      <c r="E322" s="22" cm="1">
        <f t="array" ref="E322">_xlfn.IFERROR(IF(INDEX('Diseases'!G2:G4303,MATCH(C322,'Diseases'!D2:D4303,0))="","",INDEX('Diseases'!G2:G4303,MATCH(C322,'Diseases'!D2:D4303,0))),"")</f>
        <v>13239670</v>
      </c>
      <c r="F322" s="23" cm="1">
        <f t="array" ref="F322">_xlfn.IFERROR(IF(E322="","",D322/E322*100000),"")</f>
        <v>73.1815823204053</v>
      </c>
    </row>
    <row r="323" ht="13.65" customHeight="1">
      <c r="A323" t="s" s="29">
        <v>39</v>
      </c>
      <c r="B323" t="s" s="21">
        <v>64</v>
      </c>
      <c r="C323" t="s" s="21">
        <v>44</v>
      </c>
      <c r="D323" s="22" cm="1">
        <f t="array" ref="D323">_xlfn.SUMIFS('Diseases'!F2:F4303,'Diseases'!B2:B4303,A323,'Diseases'!C2:C4303,B323,'Diseases'!D2:D4303,C323)</f>
        <v>4532</v>
      </c>
      <c r="E323" s="22" cm="1">
        <f t="array" ref="E323">_xlfn.IFERROR(IF(INDEX('Diseases'!G2:G4303,MATCH(C323,'Diseases'!D2:D4303,0))="","",INDEX('Diseases'!G2:G4303,MATCH(C323,'Diseases'!D2:D4303,0))),"")</f>
        <v>13239670</v>
      </c>
      <c r="F323" s="23" cm="1">
        <f t="array" ref="F323">_xlfn.IFERROR(IF(E323="","",D323/E323*100000),"")</f>
        <v>34.2304604268838</v>
      </c>
    </row>
    <row r="324" ht="13.65" customHeight="1">
      <c r="A324" t="s" s="26">
        <v>36</v>
      </c>
      <c r="B324" t="s" s="21">
        <v>64</v>
      </c>
      <c r="C324" t="s" s="21">
        <v>44</v>
      </c>
      <c r="D324" s="22" cm="1">
        <f t="array" ref="D324">_xlfn.SUMIFS('Diseases'!F2:F4303,'Diseases'!B2:B4303,A324,'Diseases'!C2:C4303,B324,'Diseases'!D2:D4303,C324)</f>
        <v>2387</v>
      </c>
      <c r="E324" s="22" cm="1">
        <f t="array" ref="E324">_xlfn.IFERROR(IF(INDEX('Diseases'!G2:G4303,MATCH(C324,'Diseases'!D2:D4303,0))="","",INDEX('Diseases'!G2:G4303,MATCH(C324,'Diseases'!D2:D4303,0))),"")</f>
        <v>13239670</v>
      </c>
      <c r="F324" s="23" cm="1">
        <f t="array" ref="F324">_xlfn.IFERROR(IF(E324="","",D324/E324*100000),"")</f>
        <v>18.0291502733829</v>
      </c>
    </row>
    <row r="325" ht="13.65" customHeight="1">
      <c r="A325" t="s" s="31">
        <v>45</v>
      </c>
      <c r="B325" t="s" s="21">
        <v>64</v>
      </c>
      <c r="C325" t="s" s="21">
        <v>44</v>
      </c>
      <c r="D325" s="22" cm="1">
        <f t="array" ref="D325">_xlfn.SUMIFS('Diseases'!F2:F4303,'Diseases'!B2:B4303,A325,'Diseases'!C2:C4303,B325,'Diseases'!D2:D4303,C325)</f>
        <v>2286</v>
      </c>
      <c r="E325" s="22" cm="1">
        <f t="array" ref="E325">_xlfn.IFERROR(IF(INDEX('Diseases'!G2:G4303,MATCH(C325,'Diseases'!D2:D4303,0))="","",INDEX('Diseases'!G2:G4303,MATCH(C325,'Diseases'!D2:D4303,0))),"")</f>
        <v>13239670</v>
      </c>
      <c r="F325" s="23" cm="1">
        <f t="array" ref="F325">_xlfn.IFERROR(IF(E325="","",D325/E325*100000),"")</f>
        <v>17.2662913803743</v>
      </c>
    </row>
    <row r="326" ht="13.65" customHeight="1">
      <c r="A326" t="s" s="20">
        <v>30</v>
      </c>
      <c r="B326" t="s" s="21">
        <v>65</v>
      </c>
      <c r="C326" t="s" s="21">
        <v>44</v>
      </c>
      <c r="D326" s="22" cm="1">
        <f t="array" ref="D326">_xlfn.SUMIFS('Diseases'!F2:F4303,'Diseases'!B2:B4303,A326,'Diseases'!C2:C4303,B326,'Diseases'!D2:D4303,C326)</f>
        <v>29736</v>
      </c>
      <c r="E326" s="22" cm="1">
        <f t="array" ref="E326">_xlfn.IFERROR(IF(INDEX('Diseases'!G2:G4303,MATCH(C326,'Diseases'!D2:D4303,0))="","",INDEX('Diseases'!G2:G4303,MATCH(C326,'Diseases'!D2:D4303,0))),"")</f>
        <v>13239670</v>
      </c>
      <c r="F326" s="23" cm="1">
        <f t="array" ref="F326">_xlfn.IFERROR(IF(E326="","",D326/E326*100000),"")</f>
        <v>224.597742995105</v>
      </c>
    </row>
    <row r="327" ht="13.65" customHeight="1">
      <c r="A327" t="s" s="24">
        <v>34</v>
      </c>
      <c r="B327" t="s" s="21">
        <v>65</v>
      </c>
      <c r="C327" t="s" s="21">
        <v>44</v>
      </c>
      <c r="D327" s="22" cm="1">
        <f t="array" ref="D327">_xlfn.SUMIFS('Diseases'!F2:F4303,'Diseases'!B2:B4303,A327,'Diseases'!C2:C4303,B327,'Diseases'!D2:D4303,C327)</f>
        <v>14984</v>
      </c>
      <c r="E327" s="22" cm="1">
        <f t="array" ref="E327">_xlfn.IFERROR(IF(INDEX('Diseases'!G2:G4303,MATCH(C327,'Diseases'!D2:D4303,0))="","",INDEX('Diseases'!G2:G4303,MATCH(C327,'Diseases'!D2:D4303,0))),"")</f>
        <v>13239670</v>
      </c>
      <c r="F327" s="23" cm="1">
        <f t="array" ref="F327">_xlfn.IFERROR(IF(E327="","",D327/E327*100000),"")</f>
        <v>113.175026265760</v>
      </c>
    </row>
    <row r="328" ht="13.65" customHeight="1">
      <c r="A328" t="s" s="25">
        <v>35</v>
      </c>
      <c r="B328" t="s" s="21">
        <v>65</v>
      </c>
      <c r="C328" t="s" s="21">
        <v>44</v>
      </c>
      <c r="D328" s="22" cm="1">
        <f t="array" ref="D328">_xlfn.SUMIFS('Diseases'!F2:F4303,'Diseases'!B2:B4303,A328,'Diseases'!C2:C4303,B328,'Diseases'!D2:D4303,C328)</f>
        <v>8297</v>
      </c>
      <c r="E328" s="22" cm="1">
        <f t="array" ref="E328">_xlfn.IFERROR(IF(INDEX('Diseases'!G2:G4303,MATCH(C328,'Diseases'!D2:D4303,0))="","",INDEX('Diseases'!G2:G4303,MATCH(C328,'Diseases'!D2:D4303,0))),"")</f>
        <v>13239670</v>
      </c>
      <c r="F328" s="23" cm="1">
        <f t="array" ref="F328">_xlfn.IFERROR(IF(E328="","",D328/E328*100000),"")</f>
        <v>62.6677251019096</v>
      </c>
    </row>
    <row r="329" ht="13.65" customHeight="1">
      <c r="A329" t="s" s="27">
        <v>37</v>
      </c>
      <c r="B329" t="s" s="21">
        <v>65</v>
      </c>
      <c r="C329" t="s" s="21">
        <v>44</v>
      </c>
      <c r="D329" s="22" cm="1">
        <f t="array" ref="D329">_xlfn.SUMIFS('Diseases'!F2:F4303,'Diseases'!B2:B4303,A329,'Diseases'!C2:C4303,B329,'Diseases'!D2:D4303,C329)</f>
        <v>7583</v>
      </c>
      <c r="E329" s="22" cm="1">
        <f t="array" ref="E329">_xlfn.IFERROR(IF(INDEX('Diseases'!G2:G4303,MATCH(C329,'Diseases'!D2:D4303,0))="","",INDEX('Diseases'!G2:G4303,MATCH(C329,'Diseases'!D2:D4303,0))),"")</f>
        <v>13239670</v>
      </c>
      <c r="F329" s="23" cm="1">
        <f t="array" ref="F329">_xlfn.IFERROR(IF(E329="","",D329/E329*100000),"")</f>
        <v>57.2748414424227</v>
      </c>
    </row>
    <row r="330" ht="13.65" customHeight="1">
      <c r="A330" t="s" s="29">
        <v>39</v>
      </c>
      <c r="B330" t="s" s="21">
        <v>65</v>
      </c>
      <c r="C330" t="s" s="21">
        <v>44</v>
      </c>
      <c r="D330" s="22" cm="1">
        <f t="array" ref="D330">_xlfn.SUMIFS('Diseases'!F2:F4303,'Diseases'!B2:B4303,A330,'Diseases'!C2:C4303,B330,'Diseases'!D2:D4303,C330)</f>
        <v>3817</v>
      </c>
      <c r="E330" s="22" cm="1">
        <f t="array" ref="E330">_xlfn.IFERROR(IF(INDEX('Diseases'!G2:G4303,MATCH(C330,'Diseases'!D2:D4303,0))="","",INDEX('Diseases'!G2:G4303,MATCH(C330,'Diseases'!D2:D4303,0))),"")</f>
        <v>13239670</v>
      </c>
      <c r="F330" s="23" cm="1">
        <f t="array" ref="F330">_xlfn.IFERROR(IF(E330="","",D330/E330*100000),"")</f>
        <v>28.8300237090502</v>
      </c>
    </row>
    <row r="331" ht="13.65" customHeight="1">
      <c r="A331" t="s" s="26">
        <v>36</v>
      </c>
      <c r="B331" t="s" s="21">
        <v>65</v>
      </c>
      <c r="C331" t="s" s="21">
        <v>44</v>
      </c>
      <c r="D331" s="22" cm="1">
        <f t="array" ref="D331">_xlfn.SUMIFS('Diseases'!F2:F4303,'Diseases'!B2:B4303,A331,'Diseases'!C2:C4303,B331,'Diseases'!D2:D4303,C331)</f>
        <v>2422</v>
      </c>
      <c r="E331" s="22" cm="1">
        <f t="array" ref="E331">_xlfn.IFERROR(IF(INDEX('Diseases'!G2:G4303,MATCH(C331,'Diseases'!D2:D4303,0))="","",INDEX('Diseases'!G2:G4303,MATCH(C331,'Diseases'!D2:D4303,0))),"")</f>
        <v>13239670</v>
      </c>
      <c r="F331" s="23" cm="1">
        <f t="array" ref="F331">_xlfn.IFERROR(IF(E331="","",D331/E331*100000),"")</f>
        <v>18.2935073155147</v>
      </c>
    </row>
    <row r="332" ht="13.65" customHeight="1">
      <c r="A332" t="s" s="31">
        <v>45</v>
      </c>
      <c r="B332" t="s" s="21">
        <v>65</v>
      </c>
      <c r="C332" t="s" s="21">
        <v>44</v>
      </c>
      <c r="D332" s="22" cm="1">
        <f t="array" ref="D332">_xlfn.SUMIFS('Diseases'!F2:F4303,'Diseases'!B2:B4303,A332,'Diseases'!C2:C4303,B332,'Diseases'!D2:D4303,C332)</f>
        <v>2384</v>
      </c>
      <c r="E332" s="22" cm="1">
        <f t="array" ref="E332">_xlfn.IFERROR(IF(INDEX('Diseases'!G2:G4303,MATCH(C332,'Diseases'!D2:D4303,0))="","",INDEX('Diseases'!G2:G4303,MATCH(C332,'Diseases'!D2:D4303,0))),"")</f>
        <v>13239670</v>
      </c>
      <c r="F332" s="23" cm="1">
        <f t="array" ref="F332">_xlfn.IFERROR(IF(E332="","",D332/E332*100000),"")</f>
        <v>18.0064910983431</v>
      </c>
    </row>
    <row r="333" ht="13.65" customHeight="1">
      <c r="A333" t="s" s="20">
        <v>30</v>
      </c>
      <c r="B333" t="s" s="21">
        <v>66</v>
      </c>
      <c r="C333" t="s" s="21">
        <v>44</v>
      </c>
      <c r="D333" s="22" cm="1">
        <f t="array" ref="D333">_xlfn.SUMIFS('Diseases'!F2:F4303,'Diseases'!B2:B4303,A333,'Diseases'!C2:C4303,B333,'Diseases'!D2:D4303,C333)</f>
        <v>42984</v>
      </c>
      <c r="E333" s="22" cm="1">
        <f t="array" ref="E333">_xlfn.IFERROR(IF(INDEX('Diseases'!G2:G4303,MATCH(C333,'Diseases'!D2:D4303,0))="","",INDEX('Diseases'!G2:G4303,MATCH(C333,'Diseases'!D2:D4303,0))),"")</f>
        <v>13239670</v>
      </c>
      <c r="F333" s="23" cm="1">
        <f t="array" ref="F333">_xlfn.IFERROR(IF(E333="","",D333/E333*100000),"")</f>
        <v>324.660659971132</v>
      </c>
    </row>
    <row r="334" ht="13.65" customHeight="1">
      <c r="A334" t="s" s="24">
        <v>34</v>
      </c>
      <c r="B334" t="s" s="21">
        <v>66</v>
      </c>
      <c r="C334" t="s" s="21">
        <v>44</v>
      </c>
      <c r="D334" s="22" cm="1">
        <f t="array" ref="D334">_xlfn.SUMIFS('Diseases'!F2:F4303,'Diseases'!B2:B4303,A334,'Diseases'!C2:C4303,B334,'Diseases'!D2:D4303,C334)</f>
        <v>17982</v>
      </c>
      <c r="E334" s="22" cm="1">
        <f t="array" ref="E334">_xlfn.IFERROR(IF(INDEX('Diseases'!G2:G4303,MATCH(C334,'Diseases'!D2:D4303,0))="","",INDEX('Diseases'!G2:G4303,MATCH(C334,'Diseases'!D2:D4303,0))),"")</f>
        <v>13239670</v>
      </c>
      <c r="F334" s="23" cm="1">
        <f t="array" ref="F334">_xlfn.IFERROR(IF(E334="","",D334/E334*100000),"")</f>
        <v>135.819095188928</v>
      </c>
    </row>
    <row r="335" ht="13.65" customHeight="1">
      <c r="A335" t="s" s="25">
        <v>35</v>
      </c>
      <c r="B335" t="s" s="21">
        <v>66</v>
      </c>
      <c r="C335" t="s" s="21">
        <v>44</v>
      </c>
      <c r="D335" s="22" cm="1">
        <f t="array" ref="D335">_xlfn.SUMIFS('Diseases'!F2:F4303,'Diseases'!B2:B4303,A335,'Diseases'!C2:C4303,B335,'Diseases'!D2:D4303,C335)</f>
        <v>9910</v>
      </c>
      <c r="E335" s="22" cm="1">
        <f t="array" ref="E335">_xlfn.IFERROR(IF(INDEX('Diseases'!G2:G4303,MATCH(C335,'Diseases'!D2:D4303,0))="","",INDEX('Diseases'!G2:G4303,MATCH(C335,'Diseases'!D2:D4303,0))),"")</f>
        <v>13239670</v>
      </c>
      <c r="F335" s="23" cm="1">
        <f t="array" ref="F335">_xlfn.IFERROR(IF(E335="","",D335/E335*100000),"")</f>
        <v>74.8508082150084</v>
      </c>
    </row>
    <row r="336" ht="13.65" customHeight="1">
      <c r="A336" t="s" s="28">
        <v>41</v>
      </c>
      <c r="B336" t="s" s="21">
        <v>66</v>
      </c>
      <c r="C336" t="s" s="21">
        <v>44</v>
      </c>
      <c r="D336" s="22" cm="1">
        <f t="array" ref="D336">_xlfn.SUMIFS('Diseases'!F2:F4303,'Diseases'!B2:B4303,A336,'Diseases'!C2:C4303,B336,'Diseases'!D2:D4303,C336)</f>
        <v>6806</v>
      </c>
      <c r="E336" s="22" cm="1">
        <f t="array" ref="E336">_xlfn.IFERROR(IF(INDEX('Diseases'!G2:G4303,MATCH(C336,'Diseases'!D2:D4303,0))="","",INDEX('Diseases'!G2:G4303,MATCH(C336,'Diseases'!D2:D4303,0))),"")</f>
        <v>13239670</v>
      </c>
      <c r="F336" s="23" cm="1">
        <f t="array" ref="F336">_xlfn.IFERROR(IF(E336="","",D336/E336*100000),"")</f>
        <v>51.4061151070986</v>
      </c>
    </row>
    <row r="337" ht="13.65" customHeight="1">
      <c r="A337" t="s" s="27">
        <v>37</v>
      </c>
      <c r="B337" t="s" s="21">
        <v>66</v>
      </c>
      <c r="C337" t="s" s="21">
        <v>44</v>
      </c>
      <c r="D337" s="22" cm="1">
        <f t="array" ref="D337">_xlfn.SUMIFS('Diseases'!F2:F4303,'Diseases'!B2:B4303,A337,'Diseases'!C2:C4303,B337,'Diseases'!D2:D4303,C337)</f>
        <v>6668</v>
      </c>
      <c r="E337" s="22" cm="1">
        <f t="array" ref="E337">_xlfn.IFERROR(IF(INDEX('Diseases'!G2:G4303,MATCH(C337,'Diseases'!D2:D4303,0))="","",INDEX('Diseases'!G2:G4303,MATCH(C337,'Diseases'!D2:D4303,0))),"")</f>
        <v>13239670</v>
      </c>
      <c r="F337" s="23" cm="1">
        <f t="array" ref="F337">_xlfn.IFERROR(IF(E337="","",D337/E337*100000),"")</f>
        <v>50.363793055265</v>
      </c>
    </row>
    <row r="338" ht="13.65" customHeight="1">
      <c r="A338" t="s" s="29">
        <v>39</v>
      </c>
      <c r="B338" t="s" s="21">
        <v>66</v>
      </c>
      <c r="C338" t="s" s="21">
        <v>44</v>
      </c>
      <c r="D338" s="22" cm="1">
        <f t="array" ref="D338">_xlfn.SUMIFS('Diseases'!F2:F4303,'Diseases'!B2:B4303,A338,'Diseases'!C2:C4303,B338,'Diseases'!D2:D4303,C338)</f>
        <v>4339</v>
      </c>
      <c r="E338" s="22" cm="1">
        <f t="array" ref="E338">_xlfn.IFERROR(IF(INDEX('Diseases'!G2:G4303,MATCH(C338,'Diseases'!D2:D4303,0))="","",INDEX('Diseases'!G2:G4303,MATCH(C338,'Diseases'!D2:D4303,0))),"")</f>
        <v>13239670</v>
      </c>
      <c r="F338" s="23" cm="1">
        <f t="array" ref="F338">_xlfn.IFERROR(IF(E338="","",D338/E338*100000),"")</f>
        <v>32.772720165986</v>
      </c>
    </row>
    <row r="339" ht="13.65" customHeight="1">
      <c r="A339" t="s" s="26">
        <v>36</v>
      </c>
      <c r="B339" t="s" s="21">
        <v>66</v>
      </c>
      <c r="C339" t="s" s="21">
        <v>44</v>
      </c>
      <c r="D339" s="22" cm="1">
        <f t="array" ref="D339">_xlfn.SUMIFS('Diseases'!F2:F4303,'Diseases'!B2:B4303,A339,'Diseases'!C2:C4303,B339,'Diseases'!D2:D4303,C339)</f>
        <v>3265</v>
      </c>
      <c r="E339" s="22" cm="1">
        <f t="array" ref="E339">_xlfn.IFERROR(IF(INDEX('Diseases'!G2:G4303,MATCH(C339,'Diseases'!D2:D4303,0))="","",INDEX('Diseases'!G2:G4303,MATCH(C339,'Diseases'!D2:D4303,0))),"")</f>
        <v>13239670</v>
      </c>
      <c r="F339" s="23" cm="1">
        <f t="array" ref="F339">_xlfn.IFERROR(IF(E339="","",D339/E339*100000),"")</f>
        <v>24.6607355017157</v>
      </c>
    </row>
    <row r="340" ht="13.65" customHeight="1">
      <c r="A340" t="s" s="20">
        <v>30</v>
      </c>
      <c r="B340" t="s" s="21">
        <v>67</v>
      </c>
      <c r="C340" t="s" s="21">
        <v>44</v>
      </c>
      <c r="D340" s="22" cm="1">
        <f t="array" ref="D340">_xlfn.SUMIFS('Diseases'!F2:F4303,'Diseases'!B2:B4303,A340,'Diseases'!C2:C4303,B340,'Diseases'!D2:D4303,C340)</f>
        <v>61362</v>
      </c>
      <c r="E340" s="22" cm="1">
        <f t="array" ref="E340">_xlfn.IFERROR(IF(INDEX('Diseases'!G2:G4303,MATCH(C340,'Diseases'!D2:D4303,0))="","",INDEX('Diseases'!G2:G4303,MATCH(C340,'Diseases'!D2:D4303,0))),"")</f>
        <v>13239670</v>
      </c>
      <c r="F340" s="23" cm="1">
        <f t="array" ref="F340">_xlfn.IFERROR(IF(E340="","",D340/E340*100000),"")</f>
        <v>463.470766265322</v>
      </c>
    </row>
    <row r="341" ht="13.65" customHeight="1">
      <c r="A341" t="s" s="24">
        <v>34</v>
      </c>
      <c r="B341" t="s" s="21">
        <v>67</v>
      </c>
      <c r="C341" t="s" s="21">
        <v>44</v>
      </c>
      <c r="D341" s="22" cm="1">
        <f t="array" ref="D341">_xlfn.SUMIFS('Diseases'!F2:F4303,'Diseases'!B2:B4303,A341,'Diseases'!C2:C4303,B341,'Diseases'!D2:D4303,C341)</f>
        <v>22495</v>
      </c>
      <c r="E341" s="22" cm="1">
        <f t="array" ref="E341">_xlfn.IFERROR(IF(INDEX('Diseases'!G2:G4303,MATCH(C341,'Diseases'!D2:D4303,0))="","",INDEX('Diseases'!G2:G4303,MATCH(C341,'Diseases'!D2:D4303,0))),"")</f>
        <v>13239670</v>
      </c>
      <c r="F341" s="23" cm="1">
        <f t="array" ref="F341">_xlfn.IFERROR(IF(E341="","",D341/E341*100000),"")</f>
        <v>169.906047507226</v>
      </c>
    </row>
    <row r="342" ht="13.65" customHeight="1">
      <c r="A342" t="s" s="25">
        <v>35</v>
      </c>
      <c r="B342" t="s" s="21">
        <v>67</v>
      </c>
      <c r="C342" t="s" s="21">
        <v>44</v>
      </c>
      <c r="D342" s="22" cm="1">
        <f t="array" ref="D342">_xlfn.SUMIFS('Diseases'!F2:F4303,'Diseases'!B2:B4303,A342,'Diseases'!C2:C4303,B342,'Diseases'!D2:D4303,C342)</f>
        <v>12309</v>
      </c>
      <c r="E342" s="22" cm="1">
        <f t="array" ref="E342">_xlfn.IFERROR(IF(INDEX('Diseases'!G2:G4303,MATCH(C342,'Diseases'!D2:D4303,0))="","",INDEX('Diseases'!G2:G4303,MATCH(C342,'Diseases'!D2:D4303,0))),"")</f>
        <v>13239670</v>
      </c>
      <c r="F342" s="23" cm="1">
        <f t="array" ref="F342">_xlfn.IFERROR(IF(E342="","",D342/E342*100000),"")</f>
        <v>92.9705951885508</v>
      </c>
    </row>
    <row r="343" ht="13.65" customHeight="1">
      <c r="A343" t="s" s="27">
        <v>37</v>
      </c>
      <c r="B343" t="s" s="21">
        <v>67</v>
      </c>
      <c r="C343" t="s" s="21">
        <v>44</v>
      </c>
      <c r="D343" s="22" cm="1">
        <f t="array" ref="D343">_xlfn.SUMIFS('Diseases'!F2:F4303,'Diseases'!B2:B4303,A343,'Diseases'!C2:C4303,B343,'Diseases'!D2:D4303,C343)</f>
        <v>7911</v>
      </c>
      <c r="E343" s="22" cm="1">
        <f t="array" ref="E343">_xlfn.IFERROR(IF(INDEX('Diseases'!G2:G4303,MATCH(C343,'Diseases'!D2:D4303,0))="","",INDEX('Diseases'!G2:G4303,MATCH(C343,'Diseases'!D2:D4303,0))),"")</f>
        <v>13239670</v>
      </c>
      <c r="F343" s="23" cm="1">
        <f t="array" ref="F343">_xlfn.IFERROR(IF(E343="","",D343/E343*100000),"")</f>
        <v>59.7522445801142</v>
      </c>
    </row>
    <row r="344" ht="13.65" customHeight="1">
      <c r="A344" t="s" s="29">
        <v>39</v>
      </c>
      <c r="B344" t="s" s="21">
        <v>67</v>
      </c>
      <c r="C344" t="s" s="21">
        <v>44</v>
      </c>
      <c r="D344" s="22" cm="1">
        <f t="array" ref="D344">_xlfn.SUMIFS('Diseases'!F2:F4303,'Diseases'!B2:B4303,A344,'Diseases'!C2:C4303,B344,'Diseases'!D2:D4303,C344)</f>
        <v>6695</v>
      </c>
      <c r="E344" s="22" cm="1">
        <f t="array" ref="E344">_xlfn.IFERROR(IF(INDEX('Diseases'!G2:G4303,MATCH(C344,'Diseases'!D2:D4303,0))="","",INDEX('Diseases'!G2:G4303,MATCH(C344,'Diseases'!D2:D4303,0))),"")</f>
        <v>13239670</v>
      </c>
      <c r="F344" s="23" cm="1">
        <f t="array" ref="F344">_xlfn.IFERROR(IF(E344="","",D344/E344*100000),"")</f>
        <v>50.5677256306237</v>
      </c>
    </row>
    <row r="345" ht="13.65" customHeight="1">
      <c r="A345" t="s" s="28">
        <v>41</v>
      </c>
      <c r="B345" t="s" s="21">
        <v>67</v>
      </c>
      <c r="C345" t="s" s="21">
        <v>44</v>
      </c>
      <c r="D345" s="22" cm="1">
        <f t="array" ref="D345">_xlfn.SUMIFS('Diseases'!F2:F4303,'Diseases'!B2:B4303,A345,'Diseases'!C2:C4303,B345,'Diseases'!D2:D4303,C345)</f>
        <v>4356</v>
      </c>
      <c r="E345" s="22" cm="1">
        <f t="array" ref="E345">_xlfn.IFERROR(IF(INDEX('Diseases'!G2:G4303,MATCH(C345,'Diseases'!D2:D4303,0))="","",INDEX('Diseases'!G2:G4303,MATCH(C345,'Diseases'!D2:D4303,0))),"")</f>
        <v>13239670</v>
      </c>
      <c r="F345" s="23" cm="1">
        <f t="array" ref="F345">_xlfn.IFERROR(IF(E345="","",D345/E345*100000),"")</f>
        <v>32.9011221578786</v>
      </c>
    </row>
    <row r="346" ht="13.65" customHeight="1">
      <c r="A346" t="s" s="26">
        <v>36</v>
      </c>
      <c r="B346" t="s" s="21">
        <v>67</v>
      </c>
      <c r="C346" t="s" s="21">
        <v>44</v>
      </c>
      <c r="D346" s="22" cm="1">
        <f t="array" ref="D346">_xlfn.SUMIFS('Diseases'!F2:F4303,'Diseases'!B2:B4303,A346,'Diseases'!C2:C4303,B346,'Diseases'!D2:D4303,C346)</f>
        <v>3642</v>
      </c>
      <c r="E346" s="22" cm="1">
        <f t="array" ref="E346">_xlfn.IFERROR(IF(INDEX('Diseases'!G2:G4303,MATCH(C346,'Diseases'!D2:D4303,0))="","",INDEX('Diseases'!G2:G4303,MATCH(C346,'Diseases'!D2:D4303,0))),"")</f>
        <v>13239670</v>
      </c>
      <c r="F346" s="23" cm="1">
        <f t="array" ref="F346">_xlfn.IFERROR(IF(E346="","",D346/E346*100000),"")</f>
        <v>27.5082384983916</v>
      </c>
    </row>
    <row r="347" ht="13.65" customHeight="1">
      <c r="A347" t="s" s="20">
        <v>30</v>
      </c>
      <c r="B347" t="s" s="21">
        <v>68</v>
      </c>
      <c r="C347" t="s" s="21">
        <v>44</v>
      </c>
      <c r="D347" s="22" cm="1">
        <f t="array" ref="D347">_xlfn.SUMIFS('Diseases'!F2:F4303,'Diseases'!B2:B4303,A347,'Diseases'!C2:C4303,B347,'Diseases'!D2:D4303,C347)</f>
        <v>76461</v>
      </c>
      <c r="E347" s="22" cm="1">
        <f t="array" ref="E347">_xlfn.IFERROR(IF(INDEX('Diseases'!G2:G4303,MATCH(C347,'Diseases'!D2:D4303,0))="","",INDEX('Diseases'!G2:G4303,MATCH(C347,'Diseases'!D2:D4303,0))),"")</f>
        <v>13239670</v>
      </c>
      <c r="F347" s="23" cm="1">
        <f t="array" ref="F347">_xlfn.IFERROR(IF(E347="","",D347/E347*100000),"")</f>
        <v>577.5143942409439</v>
      </c>
    </row>
    <row r="348" ht="13.65" customHeight="1">
      <c r="A348" t="s" s="24">
        <v>34</v>
      </c>
      <c r="B348" t="s" s="21">
        <v>68</v>
      </c>
      <c r="C348" t="s" s="21">
        <v>44</v>
      </c>
      <c r="D348" s="22" cm="1">
        <f t="array" ref="D348">_xlfn.SUMIFS('Diseases'!F2:F4303,'Diseases'!B2:B4303,A348,'Diseases'!C2:C4303,B348,'Diseases'!D2:D4303,C348)</f>
        <v>20216</v>
      </c>
      <c r="E348" s="22" cm="1">
        <f t="array" ref="E348">_xlfn.IFERROR(IF(INDEX('Diseases'!G2:G4303,MATCH(C348,'Diseases'!D2:D4303,0))="","",INDEX('Diseases'!G2:G4303,MATCH(C348,'Diseases'!D2:D4303,0))),"")</f>
        <v>13239670</v>
      </c>
      <c r="F348" s="23" cm="1">
        <f t="array" ref="F348">_xlfn.IFERROR(IF(E348="","",D348/E348*100000),"")</f>
        <v>152.692627535278</v>
      </c>
    </row>
    <row r="349" ht="13.65" customHeight="1">
      <c r="A349" t="s" s="25">
        <v>35</v>
      </c>
      <c r="B349" t="s" s="21">
        <v>68</v>
      </c>
      <c r="C349" t="s" s="21">
        <v>44</v>
      </c>
      <c r="D349" s="22" cm="1">
        <f t="array" ref="D349">_xlfn.SUMIFS('Diseases'!F2:F4303,'Diseases'!B2:B4303,A349,'Diseases'!C2:C4303,B349,'Diseases'!D2:D4303,C349)</f>
        <v>10701</v>
      </c>
      <c r="E349" s="22" cm="1">
        <f t="array" ref="E349">_xlfn.IFERROR(IF(INDEX('Diseases'!G2:G4303,MATCH(C349,'Diseases'!D2:D4303,0))="","",INDEX('Diseases'!G2:G4303,MATCH(C349,'Diseases'!D2:D4303,0))),"")</f>
        <v>13239670</v>
      </c>
      <c r="F349" s="23" cm="1">
        <f t="array" ref="F349">_xlfn.IFERROR(IF(E349="","",D349/E349*100000),"")</f>
        <v>80.82527736718509</v>
      </c>
    </row>
    <row r="350" ht="13.65" customHeight="1">
      <c r="A350" t="s" s="27">
        <v>37</v>
      </c>
      <c r="B350" t="s" s="21">
        <v>68</v>
      </c>
      <c r="C350" t="s" s="21">
        <v>44</v>
      </c>
      <c r="D350" s="22" cm="1">
        <f t="array" ref="D350">_xlfn.SUMIFS('Diseases'!F2:F4303,'Diseases'!B2:B4303,A350,'Diseases'!C2:C4303,B350,'Diseases'!D2:D4303,C350)</f>
        <v>8261</v>
      </c>
      <c r="E350" s="22" cm="1">
        <f t="array" ref="E350">_xlfn.IFERROR(IF(INDEX('Diseases'!G2:G4303,MATCH(C350,'Diseases'!D2:D4303,0))="","",INDEX('Diseases'!G2:G4303,MATCH(C350,'Diseases'!D2:D4303,0))),"")</f>
        <v>13239670</v>
      </c>
      <c r="F350" s="23" cm="1">
        <f t="array" ref="F350">_xlfn.IFERROR(IF(E350="","",D350/E350*100000),"")</f>
        <v>62.3958150014313</v>
      </c>
    </row>
    <row r="351" ht="13.65" customHeight="1">
      <c r="A351" t="s" s="29">
        <v>39</v>
      </c>
      <c r="B351" t="s" s="21">
        <v>68</v>
      </c>
      <c r="C351" t="s" s="21">
        <v>44</v>
      </c>
      <c r="D351" s="22" cm="1">
        <f t="array" ref="D351">_xlfn.SUMIFS('Diseases'!F2:F4303,'Diseases'!B2:B4303,A351,'Diseases'!C2:C4303,B351,'Diseases'!D2:D4303,C351)</f>
        <v>6240</v>
      </c>
      <c r="E351" s="22" cm="1">
        <f t="array" ref="E351">_xlfn.IFERROR(IF(INDEX('Diseases'!G2:G4303,MATCH(C351,'Diseases'!D2:D4303,0))="","",INDEX('Diseases'!G2:G4303,MATCH(C351,'Diseases'!D2:D4303,0))),"")</f>
        <v>13239670</v>
      </c>
      <c r="F351" s="23" cm="1">
        <f t="array" ref="F351">_xlfn.IFERROR(IF(E351="","",D351/E351*100000),"")</f>
        <v>47.1310840829114</v>
      </c>
    </row>
    <row r="352" ht="13.65" customHeight="1">
      <c r="A352" t="s" s="28">
        <v>41</v>
      </c>
      <c r="B352" t="s" s="21">
        <v>68</v>
      </c>
      <c r="C352" t="s" s="21">
        <v>44</v>
      </c>
      <c r="D352" s="22" cm="1">
        <f t="array" ref="D352">_xlfn.SUMIFS('Diseases'!F2:F4303,'Diseases'!B2:B4303,A352,'Diseases'!C2:C4303,B352,'Diseases'!D2:D4303,C352)</f>
        <v>4222</v>
      </c>
      <c r="E352" s="22" cm="1">
        <f t="array" ref="E352">_xlfn.IFERROR(IF(INDEX('Diseases'!G2:G4303,MATCH(C352,'Diseases'!D2:D4303,0))="","",INDEX('Diseases'!G2:G4303,MATCH(C352,'Diseases'!D2:D4303,0))),"")</f>
        <v>13239670</v>
      </c>
      <c r="F352" s="23" cm="1">
        <f t="array" ref="F352">_xlfn.IFERROR(IF(E352="","",D352/E352*100000),"")</f>
        <v>31.8890123394314</v>
      </c>
    </row>
    <row r="353" ht="13.65" customHeight="1">
      <c r="A353" t="s" s="20">
        <v>30</v>
      </c>
      <c r="B353" t="s" s="21">
        <v>69</v>
      </c>
      <c r="C353" t="s" s="21">
        <v>44</v>
      </c>
      <c r="D353" s="22" cm="1">
        <f t="array" ref="D353">_xlfn.SUMIFS('Diseases'!F2:F4303,'Diseases'!B2:B4303,A353,'Diseases'!C2:C4303,B353,'Diseases'!D2:D4303,C353)</f>
        <v>51015</v>
      </c>
      <c r="E353" s="22" cm="1">
        <f t="array" ref="E353">_xlfn.IFERROR(IF(INDEX('Diseases'!G2:G4303,MATCH(C353,'Diseases'!D2:D4303,0))="","",INDEX('Diseases'!G2:G4303,MATCH(C353,'Diseases'!D2:D4303,0))),"")</f>
        <v>13239670</v>
      </c>
      <c r="F353" s="23" cm="1">
        <f t="array" ref="F353">_xlfn.IFERROR(IF(E353="","",D353/E353*100000),"")</f>
        <v>385.319271552841</v>
      </c>
    </row>
    <row r="354" ht="13.65" customHeight="1">
      <c r="A354" t="s" s="24">
        <v>34</v>
      </c>
      <c r="B354" t="s" s="21">
        <v>69</v>
      </c>
      <c r="C354" t="s" s="21">
        <v>44</v>
      </c>
      <c r="D354" s="22" cm="1">
        <f t="array" ref="D354">_xlfn.SUMIFS('Diseases'!F2:F4303,'Diseases'!B2:B4303,A354,'Diseases'!C2:C4303,B354,'Diseases'!D2:D4303,C354)</f>
        <v>18486</v>
      </c>
      <c r="E354" s="22" cm="1">
        <f t="array" ref="E354">_xlfn.IFERROR(IF(INDEX('Diseases'!G2:G4303,MATCH(C354,'Diseases'!D2:D4303,0))="","",INDEX('Diseases'!G2:G4303,MATCH(C354,'Diseases'!D2:D4303,0))),"")</f>
        <v>13239670</v>
      </c>
      <c r="F354" s="23" cm="1">
        <f t="array" ref="F354">_xlfn.IFERROR(IF(E354="","",D354/E354*100000),"")</f>
        <v>139.625836595625</v>
      </c>
    </row>
    <row r="355" ht="13.65" customHeight="1">
      <c r="A355" t="s" s="25">
        <v>35</v>
      </c>
      <c r="B355" t="s" s="21">
        <v>69</v>
      </c>
      <c r="C355" t="s" s="21">
        <v>44</v>
      </c>
      <c r="D355" s="22" cm="1">
        <f t="array" ref="D355">_xlfn.SUMIFS('Diseases'!F2:F4303,'Diseases'!B2:B4303,A355,'Diseases'!C2:C4303,B355,'Diseases'!D2:D4303,C355)</f>
        <v>9032</v>
      </c>
      <c r="E355" s="22" cm="1">
        <f t="array" ref="E355">_xlfn.IFERROR(IF(INDEX('Diseases'!G2:G4303,MATCH(C355,'Diseases'!D2:D4303,0))="","",INDEX('Diseases'!G2:G4303,MATCH(C355,'Diseases'!D2:D4303,0))),"")</f>
        <v>13239670</v>
      </c>
      <c r="F355" s="23" cm="1">
        <f t="array" ref="F355">_xlfn.IFERROR(IF(E355="","",D355/E355*100000),"")</f>
        <v>68.2192229866756</v>
      </c>
    </row>
    <row r="356" ht="13.65" customHeight="1">
      <c r="A356" t="s" s="27">
        <v>37</v>
      </c>
      <c r="B356" t="s" s="21">
        <v>69</v>
      </c>
      <c r="C356" t="s" s="21">
        <v>44</v>
      </c>
      <c r="D356" s="22" cm="1">
        <f t="array" ref="D356">_xlfn.SUMIFS('Diseases'!F2:F4303,'Diseases'!B2:B4303,A356,'Diseases'!C2:C4303,B356,'Diseases'!D2:D4303,C356)</f>
        <v>7241</v>
      </c>
      <c r="E356" s="22" cm="1">
        <f t="array" ref="E356">_xlfn.IFERROR(IF(INDEX('Diseases'!G2:G4303,MATCH(C356,'Diseases'!D2:D4303,0))="","",INDEX('Diseases'!G2:G4303,MATCH(C356,'Diseases'!D2:D4303,0))),"")</f>
        <v>13239670</v>
      </c>
      <c r="F356" s="23" cm="1">
        <f t="array" ref="F356">_xlfn.IFERROR(IF(E356="","",D356/E356*100000),"")</f>
        <v>54.6916954878785</v>
      </c>
    </row>
    <row r="357" ht="13.65" customHeight="1">
      <c r="A357" t="s" s="29">
        <v>39</v>
      </c>
      <c r="B357" t="s" s="21">
        <v>69</v>
      </c>
      <c r="C357" t="s" s="21">
        <v>44</v>
      </c>
      <c r="D357" s="22" cm="1">
        <f t="array" ref="D357">_xlfn.SUMIFS('Diseases'!F2:F4303,'Diseases'!B2:B4303,A357,'Diseases'!C2:C4303,B357,'Diseases'!D2:D4303,C357)</f>
        <v>4913</v>
      </c>
      <c r="E357" s="22" cm="1">
        <f t="array" ref="E357">_xlfn.IFERROR(IF(INDEX('Diseases'!G2:G4303,MATCH(C357,'Diseases'!D2:D4303,0))="","",INDEX('Diseases'!G2:G4303,MATCH(C357,'Diseases'!D2:D4303,0))),"")</f>
        <v>13239670</v>
      </c>
      <c r="F357" s="23" cm="1">
        <f t="array" ref="F357">_xlfn.IFERROR(IF(E357="","",D357/E357*100000),"")</f>
        <v>37.1081756569461</v>
      </c>
    </row>
    <row r="358" ht="13.65" customHeight="1">
      <c r="A358" t="s" s="28">
        <v>41</v>
      </c>
      <c r="B358" t="s" s="21">
        <v>69</v>
      </c>
      <c r="C358" t="s" s="21">
        <v>44</v>
      </c>
      <c r="D358" s="22" cm="1">
        <f t="array" ref="D358">_xlfn.SUMIFS('Diseases'!F2:F4303,'Diseases'!B2:B4303,A358,'Diseases'!C2:C4303,B358,'Diseases'!D2:D4303,C358)</f>
        <v>3689</v>
      </c>
      <c r="E358" s="22" cm="1">
        <f t="array" ref="E358">_xlfn.IFERROR(IF(INDEX('Diseases'!G2:G4303,MATCH(C358,'Diseases'!D2:D4303,0))="","",INDEX('Diseases'!G2:G4303,MATCH(C358,'Diseases'!D2:D4303,0))),"")</f>
        <v>13239670</v>
      </c>
      <c r="F358" s="23" cm="1">
        <f t="array" ref="F358">_xlfn.IFERROR(IF(E358="","",D358/E358*100000),"")</f>
        <v>27.8632322406827</v>
      </c>
    </row>
    <row r="359" ht="13.65" customHeight="1">
      <c r="A359" t="s" s="20">
        <v>30</v>
      </c>
      <c r="B359" t="s" s="21">
        <v>70</v>
      </c>
      <c r="C359" t="s" s="21">
        <v>44</v>
      </c>
      <c r="D359" s="22" cm="1">
        <f t="array" ref="D359">_xlfn.SUMIFS('Diseases'!F2:F4303,'Diseases'!B2:B4303,A359,'Diseases'!C2:C4303,B359,'Diseases'!D2:D4303,C359)</f>
        <v>51276</v>
      </c>
      <c r="E359" s="22" cm="1">
        <f t="array" ref="E359">_xlfn.IFERROR(IF(INDEX('Diseases'!G2:G4303,MATCH(C359,'Diseases'!D2:D4303,0))="","",INDEX('Diseases'!G2:G4303,MATCH(C359,'Diseases'!D2:D4303,0))),"")</f>
        <v>13239670</v>
      </c>
      <c r="F359" s="23" cm="1">
        <f t="array" ref="F359">_xlfn.IFERROR(IF(E359="","",D359/E359*100000),"")</f>
        <v>387.290619781309</v>
      </c>
    </row>
    <row r="360" ht="13.65" customHeight="1">
      <c r="A360" t="s" s="24">
        <v>34</v>
      </c>
      <c r="B360" t="s" s="21">
        <v>70</v>
      </c>
      <c r="C360" t="s" s="21">
        <v>44</v>
      </c>
      <c r="D360" s="22" cm="1">
        <f t="array" ref="D360">_xlfn.SUMIFS('Diseases'!F2:F4303,'Diseases'!B2:B4303,A360,'Diseases'!C2:C4303,B360,'Diseases'!D2:D4303,C360)</f>
        <v>18416</v>
      </c>
      <c r="E360" s="22" cm="1">
        <f t="array" ref="E360">_xlfn.IFERROR(IF(INDEX('Diseases'!G2:G4303,MATCH(C360,'Diseases'!D2:D4303,0))="","",INDEX('Diseases'!G2:G4303,MATCH(C360,'Diseases'!D2:D4303,0))),"")</f>
        <v>13239670</v>
      </c>
      <c r="F360" s="23" cm="1">
        <f t="array" ref="F360">_xlfn.IFERROR(IF(E360="","",D360/E360*100000),"")</f>
        <v>139.097122511362</v>
      </c>
    </row>
    <row r="361" ht="13.65" customHeight="1">
      <c r="A361" t="s" s="27">
        <v>37</v>
      </c>
      <c r="B361" t="s" s="21">
        <v>70</v>
      </c>
      <c r="C361" t="s" s="21">
        <v>44</v>
      </c>
      <c r="D361" s="22" cm="1">
        <f t="array" ref="D361">_xlfn.SUMIFS('Diseases'!F2:F4303,'Diseases'!B2:B4303,A361,'Diseases'!C2:C4303,B361,'Diseases'!D2:D4303,C361)</f>
        <v>10038</v>
      </c>
      <c r="E361" s="22" cm="1">
        <f t="array" ref="E361">_xlfn.IFERROR(IF(INDEX('Diseases'!G2:G4303,MATCH(C361,'Diseases'!D2:D4303,0))="","",INDEX('Diseases'!G2:G4303,MATCH(C361,'Diseases'!D2:D4303,0))),"")</f>
        <v>13239670</v>
      </c>
      <c r="F361" s="23" cm="1">
        <f t="array" ref="F361">_xlfn.IFERROR(IF(E361="","",D361/E361*100000),"")</f>
        <v>75.8175996833758</v>
      </c>
    </row>
    <row r="362" ht="13.65" customHeight="1">
      <c r="A362" t="s" s="25">
        <v>35</v>
      </c>
      <c r="B362" t="s" s="21">
        <v>70</v>
      </c>
      <c r="C362" t="s" s="21">
        <v>44</v>
      </c>
      <c r="D362" s="22" cm="1">
        <f t="array" ref="D362">_xlfn.SUMIFS('Diseases'!F2:F4303,'Diseases'!B2:B4303,A362,'Diseases'!C2:C4303,B362,'Diseases'!D2:D4303,C362)</f>
        <v>9156</v>
      </c>
      <c r="E362" s="22" cm="1">
        <f t="array" ref="E362">_xlfn.IFERROR(IF(INDEX('Diseases'!G2:G4303,MATCH(C362,'Diseases'!D2:D4303,0))="","",INDEX('Diseases'!G2:G4303,MATCH(C362,'Diseases'!D2:D4303,0))),"")</f>
        <v>13239670</v>
      </c>
      <c r="F362" s="23" cm="1">
        <f t="array" ref="F362">_xlfn.IFERROR(IF(E362="","",D362/E362*100000),"")</f>
        <v>69.1558022216566</v>
      </c>
    </row>
    <row r="363" ht="13.65" customHeight="1">
      <c r="A363" t="s" s="29">
        <v>39</v>
      </c>
      <c r="B363" t="s" s="21">
        <v>70</v>
      </c>
      <c r="C363" t="s" s="21">
        <v>44</v>
      </c>
      <c r="D363" s="22" cm="1">
        <f t="array" ref="D363">_xlfn.SUMIFS('Diseases'!F2:F4303,'Diseases'!B2:B4303,A363,'Diseases'!C2:C4303,B363,'Diseases'!D2:D4303,C363)</f>
        <v>5981</v>
      </c>
      <c r="E363" s="22" cm="1">
        <f t="array" ref="E363">_xlfn.IFERROR(IF(INDEX('Diseases'!G2:G4303,MATCH(C363,'Diseases'!D2:D4303,0))="","",INDEX('Diseases'!G2:G4303,MATCH(C363,'Diseases'!D2:D4303,0))),"")</f>
        <v>13239670</v>
      </c>
      <c r="F363" s="23" cm="1">
        <f t="array" ref="F363">_xlfn.IFERROR(IF(E363="","",D363/E363*100000),"")</f>
        <v>45.1748419711367</v>
      </c>
    </row>
    <row r="364" ht="13.65" customHeight="1">
      <c r="A364" t="s" s="20">
        <v>30</v>
      </c>
      <c r="B364" t="s" s="21">
        <v>31</v>
      </c>
      <c r="C364" t="s" s="21">
        <v>46</v>
      </c>
      <c r="D364" s="22" cm="1">
        <f t="array" ref="D364">_xlfn.SUMIFS('Diseases'!F2:F4303,'Diseases'!B2:B4303,A364,'Diseases'!C2:C4303,B364,'Diseases'!D2:D4303,C364)</f>
        <v>53447</v>
      </c>
      <c r="E364" s="22" cm="1">
        <f t="array" ref="E364">_xlfn.IFERROR(IF(INDEX('Diseases'!G2:G4303,MATCH(C364,'Diseases'!D2:D4303,0))="","",INDEX('Diseases'!G2:G4303,MATCH(C364,'Diseases'!D2:D4303,0))),"")</f>
        <v>17477569</v>
      </c>
      <c r="F364" s="23" cm="1">
        <f t="array" ref="F364">_xlfn.IFERROR(IF(E364="","",D364/E364*100000),"")</f>
        <v>305.803398630553</v>
      </c>
    </row>
    <row r="365" ht="13.65" customHeight="1">
      <c r="A365" t="s" s="25">
        <v>35</v>
      </c>
      <c r="B365" t="s" s="21">
        <v>31</v>
      </c>
      <c r="C365" t="s" s="21">
        <v>46</v>
      </c>
      <c r="D365" s="22" cm="1">
        <f t="array" ref="D365">_xlfn.SUMIFS('Diseases'!F2:F4303,'Diseases'!B2:B4303,A365,'Diseases'!C2:C4303,B365,'Diseases'!D2:D4303,C365)</f>
        <v>14255</v>
      </c>
      <c r="E365" s="22" cm="1">
        <f t="array" ref="E365">_xlfn.IFERROR(IF(INDEX('Diseases'!G2:G4303,MATCH(C365,'Diseases'!D2:D4303,0))="","",INDEX('Diseases'!G2:G4303,MATCH(C365,'Diseases'!D2:D4303,0))),"")</f>
        <v>17477569</v>
      </c>
      <c r="F365" s="23" cm="1">
        <f t="array" ref="F365">_xlfn.IFERROR(IF(E365="","",D365/E365*100000),"")</f>
        <v>81.56168629630361</v>
      </c>
    </row>
    <row r="366" ht="13.65" customHeight="1">
      <c r="A366" t="s" s="24">
        <v>34</v>
      </c>
      <c r="B366" t="s" s="21">
        <v>31</v>
      </c>
      <c r="C366" t="s" s="21">
        <v>46</v>
      </c>
      <c r="D366" s="22" cm="1">
        <f t="array" ref="D366">_xlfn.SUMIFS('Diseases'!F2:F4303,'Diseases'!B2:B4303,A366,'Diseases'!C2:C4303,B366,'Diseases'!D2:D4303,C366)</f>
        <v>11218</v>
      </c>
      <c r="E366" s="22" cm="1">
        <f t="array" ref="E366">_xlfn.IFERROR(IF(INDEX('Diseases'!G2:G4303,MATCH(C366,'Diseases'!D2:D4303,0))="","",INDEX('Diseases'!G2:G4303,MATCH(C366,'Diseases'!D2:D4303,0))),"")</f>
        <v>17477569</v>
      </c>
      <c r="F366" s="23" cm="1">
        <f t="array" ref="F366">_xlfn.IFERROR(IF(E366="","",D366/E366*100000),"")</f>
        <v>64.1851278058178</v>
      </c>
    </row>
    <row r="367" ht="13.65" customHeight="1">
      <c r="A367" t="s" s="28">
        <v>41</v>
      </c>
      <c r="B367" t="s" s="21">
        <v>31</v>
      </c>
      <c r="C367" t="s" s="21">
        <v>46</v>
      </c>
      <c r="D367" s="22" cm="1">
        <f t="array" ref="D367">_xlfn.SUMIFS('Diseases'!F2:F4303,'Diseases'!B2:B4303,A367,'Diseases'!C2:C4303,B367,'Diseases'!D2:D4303,C367)</f>
        <v>7816</v>
      </c>
      <c r="E367" s="22" cm="1">
        <f t="array" ref="E367">_xlfn.IFERROR(IF(INDEX('Diseases'!G2:G4303,MATCH(C367,'Diseases'!D2:D4303,0))="","",INDEX('Diseases'!G2:G4303,MATCH(C367,'Diseases'!D2:D4303,0))),"")</f>
        <v>17477569</v>
      </c>
      <c r="F367" s="23" cm="1">
        <f t="array" ref="F367">_xlfn.IFERROR(IF(E367="","",D367/E367*100000),"")</f>
        <v>44.7201781895411</v>
      </c>
    </row>
    <row r="368" ht="13.65" customHeight="1">
      <c r="A368" t="s" s="29">
        <v>39</v>
      </c>
      <c r="B368" t="s" s="21">
        <v>31</v>
      </c>
      <c r="C368" t="s" s="21">
        <v>46</v>
      </c>
      <c r="D368" s="22" cm="1">
        <f t="array" ref="D368">_xlfn.SUMIFS('Diseases'!F2:F4303,'Diseases'!B2:B4303,A368,'Diseases'!C2:C4303,B368,'Diseases'!D2:D4303,C368)</f>
        <v>7627</v>
      </c>
      <c r="E368" s="22" cm="1">
        <f t="array" ref="E368">_xlfn.IFERROR(IF(INDEX('Diseases'!G2:G4303,MATCH(C368,'Diseases'!D2:D4303,0))="","",INDEX('Diseases'!G2:G4303,MATCH(C368,'Diseases'!D2:D4303,0))),"")</f>
        <v>17477569</v>
      </c>
      <c r="F368" s="23" cm="1">
        <f t="array" ref="F368">_xlfn.IFERROR(IF(E368="","",D368/E368*100000),"")</f>
        <v>43.638792099748</v>
      </c>
    </row>
    <row r="369" ht="13.65" customHeight="1">
      <c r="A369" t="s" s="27">
        <v>37</v>
      </c>
      <c r="B369" t="s" s="21">
        <v>31</v>
      </c>
      <c r="C369" t="s" s="21">
        <v>46</v>
      </c>
      <c r="D369" s="22" cm="1">
        <f t="array" ref="D369">_xlfn.SUMIFS('Diseases'!F2:F4303,'Diseases'!B2:B4303,A369,'Diseases'!C2:C4303,B369,'Diseases'!D2:D4303,C369)</f>
        <v>3458</v>
      </c>
      <c r="E369" s="22" cm="1">
        <f t="array" ref="E369">_xlfn.IFERROR(IF(INDEX('Diseases'!G2:G4303,MATCH(C369,'Diseases'!D2:D4303,0))="","",INDEX('Diseases'!G2:G4303,MATCH(C369,'Diseases'!D2:D4303,0))),"")</f>
        <v>17477569</v>
      </c>
      <c r="F369" s="23" cm="1">
        <f t="array" ref="F369">_xlfn.IFERROR(IF(E369="","",D369/E369*100000),"")</f>
        <v>19.7853603095488</v>
      </c>
    </row>
    <row r="370" ht="13.65" customHeight="1">
      <c r="A370" t="s" s="31">
        <v>45</v>
      </c>
      <c r="B370" t="s" s="21">
        <v>31</v>
      </c>
      <c r="C370" t="s" s="21">
        <v>46</v>
      </c>
      <c r="D370" s="22" cm="1">
        <f t="array" ref="D370">_xlfn.SUMIFS('Diseases'!F2:F4303,'Diseases'!B2:B4303,A370,'Diseases'!C2:C4303,B370,'Diseases'!D2:D4303,C370)</f>
        <v>3283</v>
      </c>
      <c r="E370" s="22" cm="1">
        <f t="array" ref="E370">_xlfn.IFERROR(IF(INDEX('Diseases'!G2:G4303,MATCH(C370,'Diseases'!D2:D4303,0))="","",INDEX('Diseases'!G2:G4303,MATCH(C370,'Diseases'!D2:D4303,0))),"")</f>
        <v>17477569</v>
      </c>
      <c r="F370" s="23" cm="1">
        <f t="array" ref="F370">_xlfn.IFERROR(IF(E370="","",D370/E370*100000),"")</f>
        <v>18.7840768930736</v>
      </c>
    </row>
    <row r="371" ht="13.65" customHeight="1">
      <c r="A371" t="s" s="20">
        <v>30</v>
      </c>
      <c r="B371" t="s" s="21">
        <v>60</v>
      </c>
      <c r="C371" t="s" s="21">
        <v>46</v>
      </c>
      <c r="D371" s="22" cm="1">
        <f t="array" ref="D371">_xlfn.SUMIFS('Diseases'!F2:F4303,'Diseases'!B2:B4303,A371,'Diseases'!C2:C4303,B371,'Diseases'!D2:D4303,C371)</f>
        <v>59697</v>
      </c>
      <c r="E371" s="22" cm="1">
        <f t="array" ref="E371">_xlfn.IFERROR(IF(INDEX('Diseases'!G2:G4303,MATCH(C371,'Diseases'!D2:D4303,0))="","",INDEX('Diseases'!G2:G4303,MATCH(C371,'Diseases'!D2:D4303,0))),"")</f>
        <v>17477569</v>
      </c>
      <c r="F371" s="23" cm="1">
        <f t="array" ref="F371">_xlfn.IFERROR(IF(E371="","",D371/E371*100000),"")</f>
        <v>341.563520647523</v>
      </c>
    </row>
    <row r="372" ht="13.65" customHeight="1">
      <c r="A372" t="s" s="24">
        <v>34</v>
      </c>
      <c r="B372" t="s" s="21">
        <v>60</v>
      </c>
      <c r="C372" t="s" s="21">
        <v>46</v>
      </c>
      <c r="D372" s="22" cm="1">
        <f t="array" ref="D372">_xlfn.SUMIFS('Diseases'!F2:F4303,'Diseases'!B2:B4303,A372,'Diseases'!C2:C4303,B372,'Diseases'!D2:D4303,C372)</f>
        <v>11102</v>
      </c>
      <c r="E372" s="22" cm="1">
        <f t="array" ref="E372">_xlfn.IFERROR(IF(INDEX('Diseases'!G2:G4303,MATCH(C372,'Diseases'!D2:D4303,0))="","",INDEX('Diseases'!G2:G4303,MATCH(C372,'Diseases'!D2:D4303,0))),"")</f>
        <v>17477569</v>
      </c>
      <c r="F372" s="23" cm="1">
        <f t="array" ref="F372">_xlfn.IFERROR(IF(E372="","",D372/E372*100000),"")</f>
        <v>63.5214199411829</v>
      </c>
    </row>
    <row r="373" ht="13.65" customHeight="1">
      <c r="A373" t="s" s="28">
        <v>41</v>
      </c>
      <c r="B373" t="s" s="21">
        <v>60</v>
      </c>
      <c r="C373" t="s" s="21">
        <v>46</v>
      </c>
      <c r="D373" s="22" cm="1">
        <f t="array" ref="D373">_xlfn.SUMIFS('Diseases'!F2:F4303,'Diseases'!B2:B4303,A373,'Diseases'!C2:C4303,B373,'Diseases'!D2:D4303,C373)</f>
        <v>10832</v>
      </c>
      <c r="E373" s="22" cm="1">
        <f t="array" ref="E373">_xlfn.IFERROR(IF(INDEX('Diseases'!G2:G4303,MATCH(C373,'Diseases'!D2:D4303,0))="","",INDEX('Diseases'!G2:G4303,MATCH(C373,'Diseases'!D2:D4303,0))),"")</f>
        <v>17477569</v>
      </c>
      <c r="F373" s="23" cm="1">
        <f t="array" ref="F373">_xlfn.IFERROR(IF(E373="","",D373/E373*100000),"")</f>
        <v>61.9765826700498</v>
      </c>
    </row>
    <row r="374" ht="13.65" customHeight="1">
      <c r="A374" t="s" s="25">
        <v>35</v>
      </c>
      <c r="B374" t="s" s="21">
        <v>60</v>
      </c>
      <c r="C374" t="s" s="21">
        <v>46</v>
      </c>
      <c r="D374" s="22" cm="1">
        <f t="array" ref="D374">_xlfn.SUMIFS('Diseases'!F2:F4303,'Diseases'!B2:B4303,A374,'Diseases'!C2:C4303,B374,'Diseases'!D2:D4303,C374)</f>
        <v>9255</v>
      </c>
      <c r="E374" s="22" cm="1">
        <f t="array" ref="E374">_xlfn.IFERROR(IF(INDEX('Diseases'!G2:G4303,MATCH(C374,'Diseases'!D2:D4303,0))="","",INDEX('Diseases'!G2:G4303,MATCH(C374,'Diseases'!D2:D4303,0))),"")</f>
        <v>17477569</v>
      </c>
      <c r="F374" s="23" cm="1">
        <f t="array" ref="F374">_xlfn.IFERROR(IF(E374="","",D374/E374*100000),"")</f>
        <v>52.9535886827281</v>
      </c>
    </row>
    <row r="375" ht="13.65" customHeight="1">
      <c r="A375" t="s" s="29">
        <v>39</v>
      </c>
      <c r="B375" t="s" s="21">
        <v>60</v>
      </c>
      <c r="C375" t="s" s="21">
        <v>46</v>
      </c>
      <c r="D375" s="22" cm="1">
        <f t="array" ref="D375">_xlfn.SUMIFS('Diseases'!F2:F4303,'Diseases'!B2:B4303,A375,'Diseases'!C2:C4303,B375,'Diseases'!D2:D4303,C375)</f>
        <v>7336</v>
      </c>
      <c r="E375" s="22" cm="1">
        <f t="array" ref="E375">_xlfn.IFERROR(IF(INDEX('Diseases'!G2:G4303,MATCH(C375,'Diseases'!D2:D4303,0))="","",INDEX('Diseases'!G2:G4303,MATCH(C375,'Diseases'!D2:D4303,0))),"")</f>
        <v>17477569</v>
      </c>
      <c r="F375" s="23" cm="1">
        <f t="array" ref="F375">_xlfn.IFERROR(IF(E375="","",D375/E375*100000),"")</f>
        <v>41.9738008186379</v>
      </c>
    </row>
    <row r="376" ht="13.65" customHeight="1">
      <c r="A376" t="s" s="27">
        <v>37</v>
      </c>
      <c r="B376" t="s" s="21">
        <v>60</v>
      </c>
      <c r="C376" t="s" s="21">
        <v>46</v>
      </c>
      <c r="D376" s="22" cm="1">
        <f t="array" ref="D376">_xlfn.SUMIFS('Diseases'!F2:F4303,'Diseases'!B2:B4303,A376,'Diseases'!C2:C4303,B376,'Diseases'!D2:D4303,C376)</f>
        <v>3580</v>
      </c>
      <c r="E376" s="22" cm="1">
        <f t="array" ref="E376">_xlfn.IFERROR(IF(INDEX('Diseases'!G2:G4303,MATCH(C376,'Diseases'!D2:D4303,0))="","",INDEX('Diseases'!G2:G4303,MATCH(C376,'Diseases'!D2:D4303,0))),"")</f>
        <v>17477569</v>
      </c>
      <c r="F376" s="23" cm="1">
        <f t="array" ref="F376">_xlfn.IFERROR(IF(E376="","",D376/E376*100000),"")</f>
        <v>20.483397891320</v>
      </c>
    </row>
    <row r="377" ht="13.65" customHeight="1">
      <c r="A377" t="s" s="31">
        <v>45</v>
      </c>
      <c r="B377" t="s" s="21">
        <v>60</v>
      </c>
      <c r="C377" t="s" s="21">
        <v>46</v>
      </c>
      <c r="D377" s="22" cm="1">
        <f t="array" ref="D377">_xlfn.SUMIFS('Diseases'!F2:F4303,'Diseases'!B2:B4303,A377,'Diseases'!C2:C4303,B377,'Diseases'!D2:D4303,C377)</f>
        <v>2993</v>
      </c>
      <c r="E377" s="22" cm="1">
        <f t="array" ref="E377">_xlfn.IFERROR(IF(INDEX('Diseases'!G2:G4303,MATCH(C377,'Diseases'!D2:D4303,0))="","",INDEX('Diseases'!G2:G4303,MATCH(C377,'Diseases'!D2:D4303,0))),"")</f>
        <v>17477569</v>
      </c>
      <c r="F377" s="23" cm="1">
        <f t="array" ref="F377">_xlfn.IFERROR(IF(E377="","",D377/E377*100000),"")</f>
        <v>17.1248072314863</v>
      </c>
    </row>
    <row r="378" ht="13.65" customHeight="1">
      <c r="A378" t="s" s="20">
        <v>30</v>
      </c>
      <c r="B378" t="s" s="21">
        <v>61</v>
      </c>
      <c r="C378" t="s" s="21">
        <v>46</v>
      </c>
      <c r="D378" s="22" cm="1">
        <f t="array" ref="D378">_xlfn.SUMIFS('Diseases'!F2:F4303,'Diseases'!B2:B4303,A378,'Diseases'!C2:C4303,B378,'Diseases'!D2:D4303,C378)</f>
        <v>51725</v>
      </c>
      <c r="E378" s="22" cm="1">
        <f t="array" ref="E378">_xlfn.IFERROR(IF(INDEX('Diseases'!G2:G4303,MATCH(C378,'Diseases'!D2:D4303,0))="","",INDEX('Diseases'!G2:G4303,MATCH(C378,'Diseases'!D2:D4303,0))),"")</f>
        <v>17477569</v>
      </c>
      <c r="F378" s="23" cm="1">
        <f t="array" ref="F378">_xlfn.IFERROR(IF(E378="","",D378/E378*100000),"")</f>
        <v>295.950769812438</v>
      </c>
    </row>
    <row r="379" ht="13.65" customHeight="1">
      <c r="A379" t="s" s="25">
        <v>35</v>
      </c>
      <c r="B379" t="s" s="21">
        <v>61</v>
      </c>
      <c r="C379" t="s" s="21">
        <v>46</v>
      </c>
      <c r="D379" s="22" cm="1">
        <f t="array" ref="D379">_xlfn.SUMIFS('Diseases'!F2:F4303,'Diseases'!B2:B4303,A379,'Diseases'!C2:C4303,B379,'Diseases'!D2:D4303,C379)</f>
        <v>12305</v>
      </c>
      <c r="E379" s="22" cm="1">
        <f t="array" ref="E379">_xlfn.IFERROR(IF(INDEX('Diseases'!G2:G4303,MATCH(C379,'Diseases'!D2:D4303,0))="","",INDEX('Diseases'!G2:G4303,MATCH(C379,'Diseases'!D2:D4303,0))),"")</f>
        <v>17477569</v>
      </c>
      <c r="F379" s="23" cm="1">
        <f t="array" ref="F379">_xlfn.IFERROR(IF(E379="","",D379/E379*100000),"")</f>
        <v>70.4045282270091</v>
      </c>
    </row>
    <row r="380" ht="13.65" customHeight="1">
      <c r="A380" t="s" s="24">
        <v>34</v>
      </c>
      <c r="B380" t="s" s="21">
        <v>61</v>
      </c>
      <c r="C380" t="s" s="21">
        <v>46</v>
      </c>
      <c r="D380" s="22" cm="1">
        <f t="array" ref="D380">_xlfn.SUMIFS('Diseases'!F2:F4303,'Diseases'!B2:B4303,A380,'Diseases'!C2:C4303,B380,'Diseases'!D2:D4303,C380)</f>
        <v>11060</v>
      </c>
      <c r="E380" s="22" cm="1">
        <f t="array" ref="E380">_xlfn.IFERROR(IF(INDEX('Diseases'!G2:G4303,MATCH(C380,'Diseases'!D2:D4303,0))="","",INDEX('Diseases'!G2:G4303,MATCH(C380,'Diseases'!D2:D4303,0))),"")</f>
        <v>17477569</v>
      </c>
      <c r="F380" s="23" cm="1">
        <f t="array" ref="F380">_xlfn.IFERROR(IF(E380="","",D380/E380*100000),"")</f>
        <v>63.2811119212289</v>
      </c>
    </row>
    <row r="381" ht="13.65" customHeight="1">
      <c r="A381" t="s" s="29">
        <v>39</v>
      </c>
      <c r="B381" t="s" s="21">
        <v>61</v>
      </c>
      <c r="C381" t="s" s="21">
        <v>46</v>
      </c>
      <c r="D381" s="22" cm="1">
        <f t="array" ref="D381">_xlfn.SUMIFS('Diseases'!F2:F4303,'Diseases'!B2:B4303,A381,'Diseases'!C2:C4303,B381,'Diseases'!D2:D4303,C381)</f>
        <v>7603</v>
      </c>
      <c r="E381" s="22" cm="1">
        <f t="array" ref="E381">_xlfn.IFERROR(IF(INDEX('Diseases'!G2:G4303,MATCH(C381,'Diseases'!D2:D4303,0))="","",INDEX('Diseases'!G2:G4303,MATCH(C381,'Diseases'!D2:D4303,0))),"")</f>
        <v>17477569</v>
      </c>
      <c r="F381" s="23" cm="1">
        <f t="array" ref="F381">_xlfn.IFERROR(IF(E381="","",D381/E381*100000),"")</f>
        <v>43.5014732312028</v>
      </c>
    </row>
    <row r="382" ht="13.65" customHeight="1">
      <c r="A382" t="s" s="28">
        <v>41</v>
      </c>
      <c r="B382" t="s" s="21">
        <v>61</v>
      </c>
      <c r="C382" t="s" s="21">
        <v>46</v>
      </c>
      <c r="D382" s="22" cm="1">
        <f t="array" ref="D382">_xlfn.SUMIFS('Diseases'!F2:F4303,'Diseases'!B2:B4303,A382,'Diseases'!C2:C4303,B382,'Diseases'!D2:D4303,C382)</f>
        <v>7232</v>
      </c>
      <c r="E382" s="22" cm="1">
        <f t="array" ref="E382">_xlfn.IFERROR(IF(INDEX('Diseases'!G2:G4303,MATCH(C382,'Diseases'!D2:D4303,0))="","",INDEX('Diseases'!G2:G4303,MATCH(C382,'Diseases'!D2:D4303,0))),"")</f>
        <v>17477569</v>
      </c>
      <c r="F382" s="23" cm="1">
        <f t="array" ref="F382">_xlfn.IFERROR(IF(E382="","",D382/E382*100000),"")</f>
        <v>41.3787523882755</v>
      </c>
    </row>
    <row r="383" ht="13.65" customHeight="1">
      <c r="A383" t="s" s="27">
        <v>37</v>
      </c>
      <c r="B383" t="s" s="21">
        <v>61</v>
      </c>
      <c r="C383" t="s" s="21">
        <v>46</v>
      </c>
      <c r="D383" s="22" cm="1">
        <f t="array" ref="D383">_xlfn.SUMIFS('Diseases'!F2:F4303,'Diseases'!B2:B4303,A383,'Diseases'!C2:C4303,B383,'Diseases'!D2:D4303,C383)</f>
        <v>3585</v>
      </c>
      <c r="E383" s="22" cm="1">
        <f t="array" ref="E383">_xlfn.IFERROR(IF(INDEX('Diseases'!G2:G4303,MATCH(C383,'Diseases'!D2:D4303,0))="","",INDEX('Diseases'!G2:G4303,MATCH(C383,'Diseases'!D2:D4303,0))),"")</f>
        <v>17477569</v>
      </c>
      <c r="F383" s="23" cm="1">
        <f t="array" ref="F383">_xlfn.IFERROR(IF(E383="","",D383/E383*100000),"")</f>
        <v>20.5120059889336</v>
      </c>
    </row>
    <row r="384" ht="13.65" customHeight="1">
      <c r="A384" t="s" s="31">
        <v>45</v>
      </c>
      <c r="B384" t="s" s="21">
        <v>61</v>
      </c>
      <c r="C384" t="s" s="21">
        <v>46</v>
      </c>
      <c r="D384" s="22" cm="1">
        <f t="array" ref="D384">_xlfn.SUMIFS('Diseases'!F2:F4303,'Diseases'!B2:B4303,A384,'Diseases'!C2:C4303,B384,'Diseases'!D2:D4303,C384)</f>
        <v>2974</v>
      </c>
      <c r="E384" s="22" cm="1">
        <f t="array" ref="E384">_xlfn.IFERROR(IF(INDEX('Diseases'!G2:G4303,MATCH(C384,'Diseases'!D2:D4303,0))="","",INDEX('Diseases'!G2:G4303,MATCH(C384,'Diseases'!D2:D4303,0))),"")</f>
        <v>17477569</v>
      </c>
      <c r="F384" s="23" cm="1">
        <f t="array" ref="F384">_xlfn.IFERROR(IF(E384="","",D384/E384*100000),"")</f>
        <v>17.0160964605547</v>
      </c>
    </row>
    <row r="385" ht="13.65" customHeight="1">
      <c r="A385" t="s" s="30">
        <v>40</v>
      </c>
      <c r="B385" t="s" s="21">
        <v>61</v>
      </c>
      <c r="C385" t="s" s="21">
        <v>46</v>
      </c>
      <c r="D385" s="22" cm="1">
        <f t="array" ref="D385">_xlfn.SUMIFS('Diseases'!F2:F4303,'Diseases'!B2:B4303,A385,'Diseases'!C2:C4303,B385,'Diseases'!D2:D4303,C385)</f>
        <v>2106</v>
      </c>
      <c r="E385" s="22" cm="1">
        <f t="array" ref="E385">_xlfn.IFERROR(IF(INDEX('Diseases'!G2:G4303,MATCH(C385,'Diseases'!D2:D4303,0))="","",INDEX('Diseases'!G2:G4303,MATCH(C385,'Diseases'!D2:D4303,0))),"")</f>
        <v>17477569</v>
      </c>
      <c r="F385" s="23" cm="1">
        <f t="array" ref="F385">_xlfn.IFERROR(IF(E385="","",D385/E385*100000),"")</f>
        <v>12.049730714838</v>
      </c>
    </row>
    <row r="386" ht="13.65" customHeight="1">
      <c r="A386" t="s" s="20">
        <v>30</v>
      </c>
      <c r="B386" t="s" s="21">
        <v>62</v>
      </c>
      <c r="C386" t="s" s="21">
        <v>46</v>
      </c>
      <c r="D386" s="22" cm="1">
        <f t="array" ref="D386">_xlfn.SUMIFS('Diseases'!F2:F4303,'Diseases'!B2:B4303,A386,'Diseases'!C2:C4303,B386,'Diseases'!D2:D4303,C386)</f>
        <v>574665</v>
      </c>
      <c r="E386" s="22" cm="1">
        <f t="array" ref="E386">_xlfn.IFERROR(IF(INDEX('Diseases'!G2:G4303,MATCH(C386,'Diseases'!D2:D4303,0))="","",INDEX('Diseases'!G2:G4303,MATCH(C386,'Diseases'!D2:D4303,0))),"")</f>
        <v>17477569</v>
      </c>
      <c r="F386" s="23" cm="1">
        <f t="array" ref="F386">_xlfn.IFERROR(IF(E386="","",D386/E386*100000),"")</f>
        <v>3288.014483021070</v>
      </c>
    </row>
    <row r="387" ht="13.65" customHeight="1">
      <c r="A387" t="s" s="25">
        <v>35</v>
      </c>
      <c r="B387" t="s" s="21">
        <v>62</v>
      </c>
      <c r="C387" t="s" s="21">
        <v>46</v>
      </c>
      <c r="D387" s="22" cm="1">
        <f t="array" ref="D387">_xlfn.SUMIFS('Diseases'!F2:F4303,'Diseases'!B2:B4303,A387,'Diseases'!C2:C4303,B387,'Diseases'!D2:D4303,C387)</f>
        <v>154020</v>
      </c>
      <c r="E387" s="22" cm="1">
        <f t="array" ref="E387">_xlfn.IFERROR(IF(INDEX('Diseases'!G2:G4303,MATCH(C387,'Diseases'!D2:D4303,0))="","",INDEX('Diseases'!G2:G4303,MATCH(C387,'Diseases'!D2:D4303,0))),"")</f>
        <v>17477569</v>
      </c>
      <c r="F387" s="23" cm="1">
        <f t="array" ref="F387">_xlfn.IFERROR(IF(E387="","",D387/E387*100000),"")</f>
        <v>881.243838888578</v>
      </c>
    </row>
    <row r="388" ht="13.65" customHeight="1">
      <c r="A388" t="s" s="24">
        <v>34</v>
      </c>
      <c r="B388" t="s" s="21">
        <v>62</v>
      </c>
      <c r="C388" t="s" s="21">
        <v>46</v>
      </c>
      <c r="D388" s="22" cm="1">
        <f t="array" ref="D388">_xlfn.SUMIFS('Diseases'!F2:F4303,'Diseases'!B2:B4303,A388,'Diseases'!C2:C4303,B388,'Diseases'!D2:D4303,C388)</f>
        <v>117150</v>
      </c>
      <c r="E388" s="22" cm="1">
        <f t="array" ref="E388">_xlfn.IFERROR(IF(INDEX('Diseases'!G2:G4303,MATCH(C388,'Diseases'!D2:D4303,0))="","",INDEX('Diseases'!G2:G4303,MATCH(C388,'Diseases'!D2:D4303,0))),"")</f>
        <v>17477569</v>
      </c>
      <c r="F388" s="23" cm="1">
        <f t="array" ref="F388">_xlfn.IFERROR(IF(E388="","",D388/E388*100000),"")</f>
        <v>670.287727086072</v>
      </c>
    </row>
    <row r="389" ht="13.65" customHeight="1">
      <c r="A389" t="s" s="29">
        <v>39</v>
      </c>
      <c r="B389" t="s" s="21">
        <v>62</v>
      </c>
      <c r="C389" t="s" s="21">
        <v>46</v>
      </c>
      <c r="D389" s="22" cm="1">
        <f t="array" ref="D389">_xlfn.SUMIFS('Diseases'!F2:F4303,'Diseases'!B2:B4303,A389,'Diseases'!C2:C4303,B389,'Diseases'!D2:D4303,C389)</f>
        <v>91155</v>
      </c>
      <c r="E389" s="22" cm="1">
        <f t="array" ref="E389">_xlfn.IFERROR(IF(INDEX('Diseases'!G2:G4303,MATCH(C389,'Diseases'!D2:D4303,0))="","",INDEX('Diseases'!G2:G4303,MATCH(C389,'Diseases'!D2:D4303,0))),"")</f>
        <v>17477569</v>
      </c>
      <c r="F389" s="23" cm="1">
        <f t="array" ref="F389">_xlfn.IFERROR(IF(E389="","",D389/E389*100000),"")</f>
        <v>521.554227593094</v>
      </c>
    </row>
    <row r="390" ht="13.65" customHeight="1">
      <c r="A390" t="s" s="28">
        <v>41</v>
      </c>
      <c r="B390" t="s" s="21">
        <v>62</v>
      </c>
      <c r="C390" t="s" s="21">
        <v>46</v>
      </c>
      <c r="D390" s="22" cm="1">
        <f t="array" ref="D390">_xlfn.SUMIFS('Diseases'!F2:F4303,'Diseases'!B2:B4303,A390,'Diseases'!C2:C4303,B390,'Diseases'!D2:D4303,C390)</f>
        <v>82260</v>
      </c>
      <c r="E390" s="22" cm="1">
        <f t="array" ref="E390">_xlfn.IFERROR(IF(INDEX('Diseases'!G2:G4303,MATCH(C390,'Diseases'!D2:D4303,0))="","",INDEX('Diseases'!G2:G4303,MATCH(C390,'Diseases'!D2:D4303,0))),"")</f>
        <v>17477569</v>
      </c>
      <c r="F390" s="23" cm="1">
        <f t="array" ref="F390">_xlfn.IFERROR(IF(E390="","",D390/E390*100000),"")</f>
        <v>470.660421938543</v>
      </c>
    </row>
    <row r="391" ht="13.65" customHeight="1">
      <c r="A391" t="s" s="27">
        <v>37</v>
      </c>
      <c r="B391" t="s" s="21">
        <v>62</v>
      </c>
      <c r="C391" t="s" s="21">
        <v>46</v>
      </c>
      <c r="D391" s="22" cm="1">
        <f t="array" ref="D391">_xlfn.SUMIFS('Diseases'!F2:F4303,'Diseases'!B2:B4303,A391,'Diseases'!C2:C4303,B391,'Diseases'!D2:D4303,C391)</f>
        <v>35940</v>
      </c>
      <c r="E391" s="22" cm="1">
        <f t="array" ref="E391">_xlfn.IFERROR(IF(INDEX('Diseases'!G2:G4303,MATCH(C391,'Diseases'!D2:D4303,0))="","",INDEX('Diseases'!G2:G4303,MATCH(C391,'Diseases'!D2:D4303,0))),"")</f>
        <v>17477569</v>
      </c>
      <c r="F391" s="23" cm="1">
        <f t="array" ref="F391">_xlfn.IFERROR(IF(E391="","",D391/E391*100000),"")</f>
        <v>205.635005646380</v>
      </c>
    </row>
    <row r="392" ht="13.65" customHeight="1">
      <c r="A392" t="s" s="31">
        <v>45</v>
      </c>
      <c r="B392" t="s" s="21">
        <v>62</v>
      </c>
      <c r="C392" t="s" s="21">
        <v>46</v>
      </c>
      <c r="D392" s="22" cm="1">
        <f t="array" ref="D392">_xlfn.SUMIFS('Diseases'!F2:F4303,'Diseases'!B2:B4303,A392,'Diseases'!C2:C4303,B392,'Diseases'!D2:D4303,C392)</f>
        <v>32325</v>
      </c>
      <c r="E392" s="22" cm="1">
        <f t="array" ref="E392">_xlfn.IFERROR(IF(INDEX('Diseases'!G2:G4303,MATCH(C392,'Diseases'!D2:D4303,0))="","",INDEX('Diseases'!G2:G4303,MATCH(C392,'Diseases'!D2:D4303,0))),"")</f>
        <v>17477569</v>
      </c>
      <c r="F392" s="23" cm="1">
        <f t="array" ref="F392">_xlfn.IFERROR(IF(E392="","",D392/E392*100000),"")</f>
        <v>184.951351071765</v>
      </c>
    </row>
    <row r="393" ht="13.65" customHeight="1">
      <c r="A393" t="s" s="20">
        <v>30</v>
      </c>
      <c r="B393" t="s" s="21">
        <v>63</v>
      </c>
      <c r="C393" t="s" s="21">
        <v>46</v>
      </c>
      <c r="D393" s="22" cm="1">
        <f t="array" ref="D393">_xlfn.SUMIFS('Diseases'!F2:F4303,'Diseases'!B2:B4303,A393,'Diseases'!C2:C4303,B393,'Diseases'!D2:D4303,C393)</f>
        <v>34492</v>
      </c>
      <c r="E393" s="22" cm="1">
        <f t="array" ref="E393">_xlfn.IFERROR(IF(INDEX('Diseases'!G2:G4303,MATCH(C393,'Diseases'!D2:D4303,0))="","",INDEX('Diseases'!G2:G4303,MATCH(C393,'Diseases'!D2:D4303,0))),"")</f>
        <v>17477569</v>
      </c>
      <c r="F393" s="23" cm="1">
        <f t="array" ref="F393">_xlfn.IFERROR(IF(E393="","",D393/E393*100000),"")</f>
        <v>197.350100577489</v>
      </c>
    </row>
    <row r="394" ht="13.65" customHeight="1">
      <c r="A394" t="s" s="25">
        <v>35</v>
      </c>
      <c r="B394" t="s" s="21">
        <v>63</v>
      </c>
      <c r="C394" t="s" s="21">
        <v>46</v>
      </c>
      <c r="D394" s="22" cm="1">
        <f t="array" ref="D394">_xlfn.SUMIFS('Diseases'!F2:F4303,'Diseases'!B2:B4303,A394,'Diseases'!C2:C4303,B394,'Diseases'!D2:D4303,C394)</f>
        <v>14583</v>
      </c>
      <c r="E394" s="22" cm="1">
        <f t="array" ref="E394">_xlfn.IFERROR(IF(INDEX('Diseases'!G2:G4303,MATCH(C394,'Diseases'!D2:D4303,0))="","",INDEX('Diseases'!G2:G4303,MATCH(C394,'Diseases'!D2:D4303,0))),"")</f>
        <v>17477569</v>
      </c>
      <c r="F394" s="23" cm="1">
        <f t="array" ref="F394">_xlfn.IFERROR(IF(E394="","",D394/E394*100000),"")</f>
        <v>83.4383774997541</v>
      </c>
    </row>
    <row r="395" ht="13.65" customHeight="1">
      <c r="A395" t="s" s="24">
        <v>34</v>
      </c>
      <c r="B395" t="s" s="21">
        <v>63</v>
      </c>
      <c r="C395" t="s" s="21">
        <v>46</v>
      </c>
      <c r="D395" s="22" cm="1">
        <f t="array" ref="D395">_xlfn.SUMIFS('Diseases'!F2:F4303,'Diseases'!B2:B4303,A395,'Diseases'!C2:C4303,B395,'Diseases'!D2:D4303,C395)</f>
        <v>7848</v>
      </c>
      <c r="E395" s="22" cm="1">
        <f t="array" ref="E395">_xlfn.IFERROR(IF(INDEX('Diseases'!G2:G4303,MATCH(C395,'Diseases'!D2:D4303,0))="","",INDEX('Diseases'!G2:G4303,MATCH(C395,'Diseases'!D2:D4303,0))),"")</f>
        <v>17477569</v>
      </c>
      <c r="F395" s="23" cm="1">
        <f t="array" ref="F395">_xlfn.IFERROR(IF(E395="","",D395/E395*100000),"")</f>
        <v>44.903270014268</v>
      </c>
    </row>
    <row r="396" ht="13.65" customHeight="1">
      <c r="A396" t="s" s="29">
        <v>39</v>
      </c>
      <c r="B396" t="s" s="21">
        <v>63</v>
      </c>
      <c r="C396" t="s" s="21">
        <v>46</v>
      </c>
      <c r="D396" s="22" cm="1">
        <f t="array" ref="D396">_xlfn.SUMIFS('Diseases'!F2:F4303,'Diseases'!B2:B4303,A396,'Diseases'!C2:C4303,B396,'Diseases'!D2:D4303,C396)</f>
        <v>5612</v>
      </c>
      <c r="E396" s="22" cm="1">
        <f t="array" ref="E396">_xlfn.IFERROR(IF(INDEX('Diseases'!G2:G4303,MATCH(C396,'Diseases'!D2:D4303,0))="","",INDEX('Diseases'!G2:G4303,MATCH(C396,'Diseases'!D2:D4303,0))),"")</f>
        <v>17477569</v>
      </c>
      <c r="F396" s="23" cm="1">
        <f t="array" ref="F396">_xlfn.IFERROR(IF(E396="","",D396/E396*100000),"")</f>
        <v>32.1097287614771</v>
      </c>
    </row>
    <row r="397" ht="13.65" customHeight="1">
      <c r="A397" t="s" s="28">
        <v>41</v>
      </c>
      <c r="B397" t="s" s="21">
        <v>63</v>
      </c>
      <c r="C397" t="s" s="21">
        <v>46</v>
      </c>
      <c r="D397" s="22" cm="1">
        <f t="array" ref="D397">_xlfn.SUMIFS('Diseases'!F2:F4303,'Diseases'!B2:B4303,A397,'Diseases'!C2:C4303,B397,'Diseases'!D2:D4303,C397)</f>
        <v>5277</v>
      </c>
      <c r="E397" s="22" cm="1">
        <f t="array" ref="E397">_xlfn.IFERROR(IF(INDEX('Diseases'!G2:G4303,MATCH(C397,'Diseases'!D2:D4303,0))="","",INDEX('Diseases'!G2:G4303,MATCH(C397,'Diseases'!D2:D4303,0))),"")</f>
        <v>17477569</v>
      </c>
      <c r="F397" s="23" cm="1">
        <f t="array" ref="F397">_xlfn.IFERROR(IF(E397="","",D397/E397*100000),"")</f>
        <v>30.1929862213675</v>
      </c>
    </row>
    <row r="398" ht="13.65" customHeight="1">
      <c r="A398" t="s" s="27">
        <v>37</v>
      </c>
      <c r="B398" t="s" s="21">
        <v>63</v>
      </c>
      <c r="C398" t="s" s="21">
        <v>46</v>
      </c>
      <c r="D398" s="22" cm="1">
        <f t="array" ref="D398">_xlfn.SUMIFS('Diseases'!F2:F4303,'Diseases'!B2:B4303,A398,'Diseases'!C2:C4303,B398,'Diseases'!D2:D4303,C398)</f>
        <v>2513</v>
      </c>
      <c r="E398" s="22" cm="1">
        <f t="array" ref="E398">_xlfn.IFERROR(IF(INDEX('Diseases'!G2:G4303,MATCH(C398,'Diseases'!D2:D4303,0))="","",INDEX('Diseases'!G2:G4303,MATCH(C398,'Diseases'!D2:D4303,0))),"")</f>
        <v>17477569</v>
      </c>
      <c r="F398" s="23" cm="1">
        <f t="array" ref="F398">_xlfn.IFERROR(IF(E398="","",D398/E398*100000),"")</f>
        <v>14.378429860583</v>
      </c>
    </row>
    <row r="399" ht="13.65" customHeight="1">
      <c r="A399" t="s" s="31">
        <v>45</v>
      </c>
      <c r="B399" t="s" s="21">
        <v>63</v>
      </c>
      <c r="C399" t="s" s="21">
        <v>46</v>
      </c>
      <c r="D399" s="22" cm="1">
        <f t="array" ref="D399">_xlfn.SUMIFS('Diseases'!F2:F4303,'Diseases'!B2:B4303,A399,'Diseases'!C2:C4303,B399,'Diseases'!D2:D4303,C399)</f>
        <v>1827</v>
      </c>
      <c r="E399" s="22" cm="1">
        <f t="array" ref="E399">_xlfn.IFERROR(IF(INDEX('Diseases'!G2:G4303,MATCH(C399,'Diseases'!D2:D4303,0))="","",INDEX('Diseases'!G2:G4303,MATCH(C399,'Diseases'!D2:D4303,0))),"")</f>
        <v>17477569</v>
      </c>
      <c r="F399" s="23" cm="1">
        <f t="array" ref="F399">_xlfn.IFERROR(IF(E399="","",D399/E399*100000),"")</f>
        <v>10.4533988680005</v>
      </c>
    </row>
    <row r="400" ht="13.65" customHeight="1">
      <c r="A400" t="s" s="20">
        <v>30</v>
      </c>
      <c r="B400" t="s" s="21">
        <v>64</v>
      </c>
      <c r="C400" t="s" s="21">
        <v>46</v>
      </c>
      <c r="D400" s="22" cm="1">
        <f t="array" ref="D400">_xlfn.SUMIFS('Diseases'!F2:F4303,'Diseases'!B2:B4303,A400,'Diseases'!C2:C4303,B400,'Diseases'!D2:D4303,C400)</f>
        <v>38416</v>
      </c>
      <c r="E400" s="22" cm="1">
        <f t="array" ref="E400">_xlfn.IFERROR(IF(INDEX('Diseases'!G2:G4303,MATCH(C400,'Diseases'!D2:D4303,0))="","",INDEX('Diseases'!G2:G4303,MATCH(C400,'Diseases'!D2:D4303,0))),"")</f>
        <v>17477569</v>
      </c>
      <c r="F400" s="23" cm="1">
        <f t="array" ref="F400">_xlfn.IFERROR(IF(E400="","",D400/E400*100000),"")</f>
        <v>219.801735584623</v>
      </c>
    </row>
    <row r="401" ht="13.65" customHeight="1">
      <c r="A401" t="s" s="25">
        <v>35</v>
      </c>
      <c r="B401" t="s" s="21">
        <v>64</v>
      </c>
      <c r="C401" t="s" s="21">
        <v>46</v>
      </c>
      <c r="D401" s="22" cm="1">
        <f t="array" ref="D401">_xlfn.SUMIFS('Diseases'!F2:F4303,'Diseases'!B2:B4303,A401,'Diseases'!C2:C4303,B401,'Diseases'!D2:D4303,C401)</f>
        <v>20410</v>
      </c>
      <c r="E401" s="22" cm="1">
        <f t="array" ref="E401">_xlfn.IFERROR(IF(INDEX('Diseases'!G2:G4303,MATCH(C401,'Diseases'!D2:D4303,0))="","",INDEX('Diseases'!G2:G4303,MATCH(C401,'Diseases'!D2:D4303,0))),"")</f>
        <v>17477569</v>
      </c>
      <c r="F401" s="23" cm="1">
        <f t="array" ref="F401">_xlfn.IFERROR(IF(E401="","",D401/E401*100000),"")</f>
        <v>116.778254458615</v>
      </c>
    </row>
    <row r="402" ht="13.65" customHeight="1">
      <c r="A402" t="s" s="24">
        <v>34</v>
      </c>
      <c r="B402" t="s" s="21">
        <v>64</v>
      </c>
      <c r="C402" t="s" s="21">
        <v>46</v>
      </c>
      <c r="D402" s="22" cm="1">
        <f t="array" ref="D402">_xlfn.SUMIFS('Diseases'!F2:F4303,'Diseases'!B2:B4303,A402,'Diseases'!C2:C4303,B402,'Diseases'!D2:D4303,C402)</f>
        <v>10921</v>
      </c>
      <c r="E402" s="22" cm="1">
        <f t="array" ref="E402">_xlfn.IFERROR(IF(INDEX('Diseases'!G2:G4303,MATCH(C402,'Diseases'!D2:D4303,0))="","",INDEX('Diseases'!G2:G4303,MATCH(C402,'Diseases'!D2:D4303,0))),"")</f>
        <v>17477569</v>
      </c>
      <c r="F402" s="23" cm="1">
        <f t="array" ref="F402">_xlfn.IFERROR(IF(E402="","",D402/E402*100000),"")</f>
        <v>62.4858068075715</v>
      </c>
    </row>
    <row r="403" ht="13.65" customHeight="1">
      <c r="A403" t="s" s="29">
        <v>39</v>
      </c>
      <c r="B403" t="s" s="21">
        <v>64</v>
      </c>
      <c r="C403" t="s" s="21">
        <v>46</v>
      </c>
      <c r="D403" s="22" cm="1">
        <f t="array" ref="D403">_xlfn.SUMIFS('Diseases'!F2:F4303,'Diseases'!B2:B4303,A403,'Diseases'!C2:C4303,B403,'Diseases'!D2:D4303,C403)</f>
        <v>7031</v>
      </c>
      <c r="E403" s="22" cm="1">
        <f t="array" ref="E403">_xlfn.IFERROR(IF(INDEX('Diseases'!G2:G4303,MATCH(C403,'Diseases'!D2:D4303,0))="","",INDEX('Diseases'!G2:G4303,MATCH(C403,'Diseases'!D2:D4303,0))),"")</f>
        <v>17477569</v>
      </c>
      <c r="F403" s="23" cm="1">
        <f t="array" ref="F403">_xlfn.IFERROR(IF(E403="","",D403/E403*100000),"")</f>
        <v>40.2287068642098</v>
      </c>
    </row>
    <row r="404" ht="13.65" customHeight="1">
      <c r="A404" t="s" s="28">
        <v>41</v>
      </c>
      <c r="B404" t="s" s="21">
        <v>64</v>
      </c>
      <c r="C404" t="s" s="21">
        <v>46</v>
      </c>
      <c r="D404" s="22" cm="1">
        <f t="array" ref="D404">_xlfn.SUMIFS('Diseases'!F2:F4303,'Diseases'!B2:B4303,A404,'Diseases'!C2:C4303,B404,'Diseases'!D2:D4303,C404)</f>
        <v>5835</v>
      </c>
      <c r="E404" s="22" cm="1">
        <f t="array" ref="E404">_xlfn.IFERROR(IF(INDEX('Diseases'!G2:G4303,MATCH(C404,'Diseases'!D2:D4303,0))="","",INDEX('Diseases'!G2:G4303,MATCH(C404,'Diseases'!D2:D4303,0))),"")</f>
        <v>17477569</v>
      </c>
      <c r="F404" s="23" cm="1">
        <f t="array" ref="F404">_xlfn.IFERROR(IF(E404="","",D404/E404*100000),"")</f>
        <v>33.3856499150425</v>
      </c>
    </row>
    <row r="405" ht="13.65" customHeight="1">
      <c r="A405" t="s" s="27">
        <v>37</v>
      </c>
      <c r="B405" t="s" s="21">
        <v>64</v>
      </c>
      <c r="C405" t="s" s="21">
        <v>46</v>
      </c>
      <c r="D405" s="22" cm="1">
        <f t="array" ref="D405">_xlfn.SUMIFS('Diseases'!F2:F4303,'Diseases'!B2:B4303,A405,'Diseases'!C2:C4303,B405,'Diseases'!D2:D4303,C405)</f>
        <v>3628</v>
      </c>
      <c r="E405" s="22" cm="1">
        <f t="array" ref="E405">_xlfn.IFERROR(IF(INDEX('Diseases'!G2:G4303,MATCH(C405,'Diseases'!D2:D4303,0))="","",INDEX('Diseases'!G2:G4303,MATCH(C405,'Diseases'!D2:D4303,0))),"")</f>
        <v>17477569</v>
      </c>
      <c r="F405" s="23" cm="1">
        <f t="array" ref="F405">_xlfn.IFERROR(IF(E405="","",D405/E405*100000),"")</f>
        <v>20.7580356284103</v>
      </c>
    </row>
    <row r="406" ht="13.65" customHeight="1">
      <c r="A406" t="s" s="31">
        <v>45</v>
      </c>
      <c r="B406" t="s" s="21">
        <v>64</v>
      </c>
      <c r="C406" t="s" s="21">
        <v>46</v>
      </c>
      <c r="D406" s="22" cm="1">
        <f t="array" ref="D406">_xlfn.SUMIFS('Diseases'!F2:F4303,'Diseases'!B2:B4303,A406,'Diseases'!C2:C4303,B406,'Diseases'!D2:D4303,C406)</f>
        <v>2095</v>
      </c>
      <c r="E406" s="22" cm="1">
        <f t="array" ref="E406">_xlfn.IFERROR(IF(INDEX('Diseases'!G2:G4303,MATCH(C406,'Diseases'!D2:D4303,0))="","",INDEX('Diseases'!G2:G4303,MATCH(C406,'Diseases'!D2:D4303,0))),"")</f>
        <v>17477569</v>
      </c>
      <c r="F406" s="23" cm="1">
        <f t="array" ref="F406">_xlfn.IFERROR(IF(E406="","",D406/E406*100000),"")</f>
        <v>11.9867929000881</v>
      </c>
    </row>
    <row r="407" ht="13.65" customHeight="1">
      <c r="A407" t="s" s="20">
        <v>30</v>
      </c>
      <c r="B407" t="s" s="21">
        <v>65</v>
      </c>
      <c r="C407" t="s" s="21">
        <v>46</v>
      </c>
      <c r="D407" s="22" cm="1">
        <f t="array" ref="D407">_xlfn.SUMIFS('Diseases'!F2:F4303,'Diseases'!B2:B4303,A407,'Diseases'!C2:C4303,B407,'Diseases'!D2:D4303,C407)</f>
        <v>42542</v>
      </c>
      <c r="E407" s="22" cm="1">
        <f t="array" ref="E407">_xlfn.IFERROR(IF(INDEX('Diseases'!G2:G4303,MATCH(C407,'Diseases'!D2:D4303,0))="","",INDEX('Diseases'!G2:G4303,MATCH(C407,'Diseases'!D2:D4303,0))),"")</f>
        <v>17477569</v>
      </c>
      <c r="F407" s="23" cm="1">
        <f t="array" ref="F407">_xlfn.IFERROR(IF(E407="","",D407/E407*100000),"")</f>
        <v>243.409137735345</v>
      </c>
    </row>
    <row r="408" ht="13.65" customHeight="1">
      <c r="A408" t="s" s="25">
        <v>35</v>
      </c>
      <c r="B408" t="s" s="21">
        <v>65</v>
      </c>
      <c r="C408" t="s" s="21">
        <v>46</v>
      </c>
      <c r="D408" s="22" cm="1">
        <f t="array" ref="D408">_xlfn.SUMIFS('Diseases'!F2:F4303,'Diseases'!B2:B4303,A408,'Diseases'!C2:C4303,B408,'Diseases'!D2:D4303,C408)</f>
        <v>14353</v>
      </c>
      <c r="E408" s="22" cm="1">
        <f t="array" ref="E408">_xlfn.IFERROR(IF(INDEX('Diseases'!G2:G4303,MATCH(C408,'Diseases'!D2:D4303,0))="","",INDEX('Diseases'!G2:G4303,MATCH(C408,'Diseases'!D2:D4303,0))),"")</f>
        <v>17477569</v>
      </c>
      <c r="F408" s="23" cm="1">
        <f t="array" ref="F408">_xlfn.IFERROR(IF(E408="","",D408/E408*100000),"")</f>
        <v>82.1224050095296</v>
      </c>
    </row>
    <row r="409" ht="13.65" customHeight="1">
      <c r="A409" t="s" s="24">
        <v>34</v>
      </c>
      <c r="B409" t="s" s="21">
        <v>65</v>
      </c>
      <c r="C409" t="s" s="21">
        <v>46</v>
      </c>
      <c r="D409" s="22" cm="1">
        <f t="array" ref="D409">_xlfn.SUMIFS('Diseases'!F2:F4303,'Diseases'!B2:B4303,A409,'Diseases'!C2:C4303,B409,'Diseases'!D2:D4303,C409)</f>
        <v>8747</v>
      </c>
      <c r="E409" s="22" cm="1">
        <f t="array" ref="E409">_xlfn.IFERROR(IF(INDEX('Diseases'!G2:G4303,MATCH(C409,'Diseases'!D2:D4303,0))="","",INDEX('Diseases'!G2:G4303,MATCH(C409,'Diseases'!D2:D4303,0))),"")</f>
        <v>17477569</v>
      </c>
      <c r="F409" s="23" cm="1">
        <f t="array" ref="F409">_xlfn.IFERROR(IF(E409="","",D409/E409*100000),"")</f>
        <v>50.0470059651889</v>
      </c>
    </row>
    <row r="410" ht="13.65" customHeight="1">
      <c r="A410" t="s" s="29">
        <v>39</v>
      </c>
      <c r="B410" t="s" s="21">
        <v>65</v>
      </c>
      <c r="C410" t="s" s="21">
        <v>46</v>
      </c>
      <c r="D410" s="22" cm="1">
        <f t="array" ref="D410">_xlfn.SUMIFS('Diseases'!F2:F4303,'Diseases'!B2:B4303,A410,'Diseases'!C2:C4303,B410,'Diseases'!D2:D4303,C410)</f>
        <v>6534</v>
      </c>
      <c r="E410" s="22" cm="1">
        <f t="array" ref="E410">_xlfn.IFERROR(IF(INDEX('Diseases'!G2:G4303,MATCH(C410,'Diseases'!D2:D4303,0))="","",INDEX('Diseases'!G2:G4303,MATCH(C410,'Diseases'!D2:D4303,0))),"")</f>
        <v>17477569</v>
      </c>
      <c r="F410" s="23" cm="1">
        <f t="array" ref="F410">_xlfn.IFERROR(IF(E410="","",D410/E410*100000),"")</f>
        <v>37.3850619614204</v>
      </c>
    </row>
    <row r="411" ht="13.65" customHeight="1">
      <c r="A411" t="s" s="28">
        <v>41</v>
      </c>
      <c r="B411" t="s" s="21">
        <v>65</v>
      </c>
      <c r="C411" t="s" s="21">
        <v>46</v>
      </c>
      <c r="D411" s="22" cm="1">
        <f t="array" ref="D411">_xlfn.SUMIFS('Diseases'!F2:F4303,'Diseases'!B2:B4303,A411,'Diseases'!C2:C4303,B411,'Diseases'!D2:D4303,C411)</f>
        <v>5720</v>
      </c>
      <c r="E411" s="22" cm="1">
        <f t="array" ref="E411">_xlfn.IFERROR(IF(INDEX('Diseases'!G2:G4303,MATCH(C411,'Diseases'!D2:D4303,0))="","",INDEX('Diseases'!G2:G4303,MATCH(C411,'Diseases'!D2:D4303,0))),"")</f>
        <v>17477569</v>
      </c>
      <c r="F411" s="23" cm="1">
        <f t="array" ref="F411">_xlfn.IFERROR(IF(E411="","",D411/E411*100000),"")</f>
        <v>32.7276636699303</v>
      </c>
    </row>
    <row r="412" ht="13.65" customHeight="1">
      <c r="A412" t="s" s="27">
        <v>37</v>
      </c>
      <c r="B412" t="s" s="21">
        <v>65</v>
      </c>
      <c r="C412" t="s" s="21">
        <v>46</v>
      </c>
      <c r="D412" s="22" cm="1">
        <f t="array" ref="D412">_xlfn.SUMIFS('Diseases'!F2:F4303,'Diseases'!B2:B4303,A412,'Diseases'!C2:C4303,B412,'Diseases'!D2:D4303,C412)</f>
        <v>3142</v>
      </c>
      <c r="E412" s="22" cm="1">
        <f t="array" ref="E412">_xlfn.IFERROR(IF(INDEX('Diseases'!G2:G4303,MATCH(C412,'Diseases'!D2:D4303,0))="","",INDEX('Diseases'!G2:G4303,MATCH(C412,'Diseases'!D2:D4303,0))),"")</f>
        <v>17477569</v>
      </c>
      <c r="F412" s="23" cm="1">
        <f t="array" ref="F412">_xlfn.IFERROR(IF(E412="","",D412/E412*100000),"")</f>
        <v>17.9773285403708</v>
      </c>
    </row>
    <row r="413" ht="13.65" customHeight="1">
      <c r="A413" t="s" s="31">
        <v>45</v>
      </c>
      <c r="B413" t="s" s="21">
        <v>65</v>
      </c>
      <c r="C413" t="s" s="21">
        <v>46</v>
      </c>
      <c r="D413" s="22" cm="1">
        <f t="array" ref="D413">_xlfn.SUMIFS('Diseases'!F2:F4303,'Diseases'!B2:B4303,A413,'Diseases'!C2:C4303,B413,'Diseases'!D2:D4303,C413)</f>
        <v>2748</v>
      </c>
      <c r="E413" s="22" cm="1">
        <f t="array" ref="E413">_xlfn.IFERROR(IF(INDEX('Diseases'!G2:G4303,MATCH(C413,'Diseases'!D2:D4303,0))="","",INDEX('Diseases'!G2:G4303,MATCH(C413,'Diseases'!D2:D4303,0))),"")</f>
        <v>17477569</v>
      </c>
      <c r="F413" s="23" cm="1">
        <f t="array" ref="F413">_xlfn.IFERROR(IF(E413="","",D413/E413*100000),"")</f>
        <v>15.7230104484211</v>
      </c>
    </row>
    <row r="414" ht="13.65" customHeight="1">
      <c r="A414" t="s" s="20">
        <v>30</v>
      </c>
      <c r="B414" t="s" s="21">
        <v>66</v>
      </c>
      <c r="C414" t="s" s="21">
        <v>46</v>
      </c>
      <c r="D414" s="22" cm="1">
        <f t="array" ref="D414">_xlfn.SUMIFS('Diseases'!F2:F4303,'Diseases'!B2:B4303,A414,'Diseases'!C2:C4303,B414,'Diseases'!D2:D4303,C414)</f>
        <v>42217</v>
      </c>
      <c r="E414" s="22" cm="1">
        <f t="array" ref="E414">_xlfn.IFERROR(IF(INDEX('Diseases'!G2:G4303,MATCH(C414,'Diseases'!D2:D4303,0))="","",INDEX('Diseases'!G2:G4303,MATCH(C414,'Diseases'!D2:D4303,0))),"")</f>
        <v>17477569</v>
      </c>
      <c r="F414" s="23" cm="1">
        <f t="array" ref="F414">_xlfn.IFERROR(IF(E414="","",D414/E414*100000),"")</f>
        <v>241.549611390463</v>
      </c>
    </row>
    <row r="415" ht="13.65" customHeight="1">
      <c r="A415" t="s" s="25">
        <v>35</v>
      </c>
      <c r="B415" t="s" s="21">
        <v>66</v>
      </c>
      <c r="C415" t="s" s="21">
        <v>46</v>
      </c>
      <c r="D415" s="22" cm="1">
        <f t="array" ref="D415">_xlfn.SUMIFS('Diseases'!F2:F4303,'Diseases'!B2:B4303,A415,'Diseases'!C2:C4303,B415,'Diseases'!D2:D4303,C415)</f>
        <v>14154</v>
      </c>
      <c r="E415" s="22" cm="1">
        <f t="array" ref="E415">_xlfn.IFERROR(IF(INDEX('Diseases'!G2:G4303,MATCH(C415,'Diseases'!D2:D4303,0))="","",INDEX('Diseases'!G2:G4303,MATCH(C415,'Diseases'!D2:D4303,0))),"")</f>
        <v>17477569</v>
      </c>
      <c r="F415" s="23" cm="1">
        <f t="array" ref="F415">_xlfn.IFERROR(IF(E415="","",D415/E415*100000),"")</f>
        <v>80.9838027245093</v>
      </c>
    </row>
    <row r="416" ht="13.65" customHeight="1">
      <c r="A416" t="s" s="24">
        <v>34</v>
      </c>
      <c r="B416" t="s" s="21">
        <v>66</v>
      </c>
      <c r="C416" t="s" s="21">
        <v>46</v>
      </c>
      <c r="D416" s="22" cm="1">
        <f t="array" ref="D416">_xlfn.SUMIFS('Diseases'!F2:F4303,'Diseases'!B2:B4303,A416,'Diseases'!C2:C4303,B416,'Diseases'!D2:D4303,C416)</f>
        <v>7615</v>
      </c>
      <c r="E416" s="22" cm="1">
        <f t="array" ref="E416">_xlfn.IFERROR(IF(INDEX('Diseases'!G2:G4303,MATCH(C416,'Diseases'!D2:D4303,0))="","",INDEX('Diseases'!G2:G4303,MATCH(C416,'Diseases'!D2:D4303,0))),"")</f>
        <v>17477569</v>
      </c>
      <c r="F416" s="23" cm="1">
        <f t="array" ref="F416">_xlfn.IFERROR(IF(E416="","",D416/E416*100000),"")</f>
        <v>43.5701326654754</v>
      </c>
    </row>
    <row r="417" ht="13.65" customHeight="1">
      <c r="A417" t="s" s="29">
        <v>39</v>
      </c>
      <c r="B417" t="s" s="21">
        <v>66</v>
      </c>
      <c r="C417" t="s" s="21">
        <v>46</v>
      </c>
      <c r="D417" s="22" cm="1">
        <f t="array" ref="D417">_xlfn.SUMIFS('Diseases'!F2:F4303,'Diseases'!B2:B4303,A417,'Diseases'!C2:C4303,B417,'Diseases'!D2:D4303,C417)</f>
        <v>6612</v>
      </c>
      <c r="E417" s="22" cm="1">
        <f t="array" ref="E417">_xlfn.IFERROR(IF(INDEX('Diseases'!G2:G4303,MATCH(C417,'Diseases'!D2:D4303,0))="","",INDEX('Diseases'!G2:G4303,MATCH(C417,'Diseases'!D2:D4303,0))),"")</f>
        <v>17477569</v>
      </c>
      <c r="F417" s="23" cm="1">
        <f t="array" ref="F417">_xlfn.IFERROR(IF(E417="","",D417/E417*100000),"")</f>
        <v>37.8313482841922</v>
      </c>
    </row>
    <row r="418" ht="13.65" customHeight="1">
      <c r="A418" t="s" s="28">
        <v>41</v>
      </c>
      <c r="B418" t="s" s="21">
        <v>66</v>
      </c>
      <c r="C418" t="s" s="21">
        <v>46</v>
      </c>
      <c r="D418" s="22" cm="1">
        <f t="array" ref="D418">_xlfn.SUMIFS('Diseases'!F2:F4303,'Diseases'!B2:B4303,A418,'Diseases'!C2:C4303,B418,'Diseases'!D2:D4303,C418)</f>
        <v>5153</v>
      </c>
      <c r="E418" s="22" cm="1">
        <f t="array" ref="E418">_xlfn.IFERROR(IF(INDEX('Diseases'!G2:G4303,MATCH(C418,'Diseases'!D2:D4303,0))="","",INDEX('Diseases'!G2:G4303,MATCH(C418,'Diseases'!D2:D4303,0))),"")</f>
        <v>17477569</v>
      </c>
      <c r="F418" s="23" cm="1">
        <f t="array" ref="F418">_xlfn.IFERROR(IF(E418="","",D418/E418*100000),"")</f>
        <v>29.4835054005508</v>
      </c>
    </row>
    <row r="419" ht="13.65" customHeight="1">
      <c r="A419" t="s" s="27">
        <v>37</v>
      </c>
      <c r="B419" t="s" s="21">
        <v>66</v>
      </c>
      <c r="C419" t="s" s="21">
        <v>46</v>
      </c>
      <c r="D419" s="22" cm="1">
        <f t="array" ref="D419">_xlfn.SUMIFS('Diseases'!F2:F4303,'Diseases'!B2:B4303,A419,'Diseases'!C2:C4303,B419,'Diseases'!D2:D4303,C419)</f>
        <v>2600</v>
      </c>
      <c r="E419" s="22" cm="1">
        <f t="array" ref="E419">_xlfn.IFERROR(IF(INDEX('Diseases'!G2:G4303,MATCH(C419,'Diseases'!D2:D4303,0))="","",INDEX('Diseases'!G2:G4303,MATCH(C419,'Diseases'!D2:D4303,0))),"")</f>
        <v>17477569</v>
      </c>
      <c r="F419" s="23" cm="1">
        <f t="array" ref="F419">_xlfn.IFERROR(IF(E419="","",D419/E419*100000),"")</f>
        <v>14.8762107590592</v>
      </c>
    </row>
    <row r="420" ht="13.65" customHeight="1">
      <c r="A420" t="s" s="31">
        <v>45</v>
      </c>
      <c r="B420" t="s" s="21">
        <v>66</v>
      </c>
      <c r="C420" t="s" s="21">
        <v>46</v>
      </c>
      <c r="D420" s="22" cm="1">
        <f t="array" ref="D420">_xlfn.SUMIFS('Diseases'!F2:F4303,'Diseases'!B2:B4303,A420,'Diseases'!C2:C4303,B420,'Diseases'!D2:D4303,C420)</f>
        <v>2413</v>
      </c>
      <c r="E420" s="22" cm="1">
        <f t="array" ref="E420">_xlfn.IFERROR(IF(INDEX('Diseases'!G2:G4303,MATCH(C420,'Diseases'!D2:D4303,0))="","",INDEX('Diseases'!G2:G4303,MATCH(C420,'Diseases'!D2:D4303,0))),"")</f>
        <v>17477569</v>
      </c>
      <c r="F420" s="23" cm="1">
        <f t="array" ref="F420">_xlfn.IFERROR(IF(E420="","",D420/E420*100000),"")</f>
        <v>13.8062679083115</v>
      </c>
    </row>
    <row r="421" ht="13.65" customHeight="1">
      <c r="A421" t="s" s="20">
        <v>30</v>
      </c>
      <c r="B421" t="s" s="21">
        <v>67</v>
      </c>
      <c r="C421" t="s" s="21">
        <v>46</v>
      </c>
      <c r="D421" s="22" cm="1">
        <f t="array" ref="D421">_xlfn.SUMIFS('Diseases'!F2:F4303,'Diseases'!B2:B4303,A421,'Diseases'!C2:C4303,B421,'Diseases'!D2:D4303,C421)</f>
        <v>69316</v>
      </c>
      <c r="E421" s="22" cm="1">
        <f t="array" ref="E421">_xlfn.IFERROR(IF(INDEX('Diseases'!G2:G4303,MATCH(C421,'Diseases'!D2:D4303,0))="","",INDEX('Diseases'!G2:G4303,MATCH(C421,'Diseases'!D2:D4303,0))),"")</f>
        <v>17477569</v>
      </c>
      <c r="F421" s="23" cm="1">
        <f t="array" ref="F421">_xlfn.IFERROR(IF(E421="","",D421/E421*100000),"")</f>
        <v>396.599778836519</v>
      </c>
    </row>
    <row r="422" ht="13.65" customHeight="1">
      <c r="A422" t="s" s="24">
        <v>34</v>
      </c>
      <c r="B422" t="s" s="21">
        <v>67</v>
      </c>
      <c r="C422" t="s" s="21">
        <v>46</v>
      </c>
      <c r="D422" s="22" cm="1">
        <f t="array" ref="D422">_xlfn.SUMIFS('Diseases'!F2:F4303,'Diseases'!B2:B4303,A422,'Diseases'!C2:C4303,B422,'Diseases'!D2:D4303,C422)</f>
        <v>11350</v>
      </c>
      <c r="E422" s="22" cm="1">
        <f t="array" ref="E422">_xlfn.IFERROR(IF(INDEX('Diseases'!G2:G4303,MATCH(C422,'Diseases'!D2:D4303,0))="","",INDEX('Diseases'!G2:G4303,MATCH(C422,'Diseases'!D2:D4303,0))),"")</f>
        <v>17477569</v>
      </c>
      <c r="F422" s="23" cm="1">
        <f t="array" ref="F422">_xlfn.IFERROR(IF(E422="","",D422/E422*100000),"")</f>
        <v>64.9403815828162</v>
      </c>
    </row>
    <row r="423" ht="13.65" customHeight="1">
      <c r="A423" t="s" s="25">
        <v>35</v>
      </c>
      <c r="B423" t="s" s="21">
        <v>67</v>
      </c>
      <c r="C423" t="s" s="21">
        <v>46</v>
      </c>
      <c r="D423" s="22" cm="1">
        <f t="array" ref="D423">_xlfn.SUMIFS('Diseases'!F2:F4303,'Diseases'!B2:B4303,A423,'Diseases'!C2:C4303,B423,'Diseases'!D2:D4303,C423)</f>
        <v>10410</v>
      </c>
      <c r="E423" s="22" cm="1">
        <f t="array" ref="E423">_xlfn.IFERROR(IF(INDEX('Diseases'!G2:G4303,MATCH(C423,'Diseases'!D2:D4303,0))="","",INDEX('Diseases'!G2:G4303,MATCH(C423,'Diseases'!D2:D4303,0))),"")</f>
        <v>17477569</v>
      </c>
      <c r="F423" s="23" cm="1">
        <f t="array" ref="F423">_xlfn.IFERROR(IF(E423="","",D423/E423*100000),"")</f>
        <v>59.5620592314641</v>
      </c>
    </row>
    <row r="424" ht="13.65" customHeight="1">
      <c r="A424" t="s" s="29">
        <v>39</v>
      </c>
      <c r="B424" t="s" s="21">
        <v>67</v>
      </c>
      <c r="C424" t="s" s="21">
        <v>46</v>
      </c>
      <c r="D424" s="22" cm="1">
        <f t="array" ref="D424">_xlfn.SUMIFS('Diseases'!F2:F4303,'Diseases'!B2:B4303,A424,'Diseases'!C2:C4303,B424,'Diseases'!D2:D4303,C424)</f>
        <v>7808</v>
      </c>
      <c r="E424" s="22" cm="1">
        <f t="array" ref="E424">_xlfn.IFERROR(IF(INDEX('Diseases'!G2:G4303,MATCH(C424,'Diseases'!D2:D4303,0))="","",INDEX('Diseases'!G2:G4303,MATCH(C424,'Diseases'!D2:D4303,0))),"")</f>
        <v>17477569</v>
      </c>
      <c r="F424" s="23" cm="1">
        <f t="array" ref="F424">_xlfn.IFERROR(IF(E424="","",D424/E424*100000),"")</f>
        <v>44.6744052333594</v>
      </c>
    </row>
    <row r="425" ht="13.65" customHeight="1">
      <c r="A425" t="s" s="28">
        <v>41</v>
      </c>
      <c r="B425" t="s" s="21">
        <v>67</v>
      </c>
      <c r="C425" t="s" s="21">
        <v>46</v>
      </c>
      <c r="D425" s="22" cm="1">
        <f t="array" ref="D425">_xlfn.SUMIFS('Diseases'!F2:F4303,'Diseases'!B2:B4303,A425,'Diseases'!C2:C4303,B425,'Diseases'!D2:D4303,C425)</f>
        <v>6793</v>
      </c>
      <c r="E425" s="22" cm="1">
        <f t="array" ref="E425">_xlfn.IFERROR(IF(INDEX('Diseases'!G2:G4303,MATCH(C425,'Diseases'!D2:D4303,0))="","",INDEX('Diseases'!G2:G4303,MATCH(C425,'Diseases'!D2:D4303,0))),"")</f>
        <v>17477569</v>
      </c>
      <c r="F425" s="23" cm="1">
        <f t="array" ref="F425">_xlfn.IFERROR(IF(E425="","",D425/E425*100000),"")</f>
        <v>38.8669614178036</v>
      </c>
    </row>
    <row r="426" ht="13.65" customHeight="1">
      <c r="A426" t="s" s="27">
        <v>37</v>
      </c>
      <c r="B426" t="s" s="21">
        <v>67</v>
      </c>
      <c r="C426" t="s" s="21">
        <v>46</v>
      </c>
      <c r="D426" s="22" cm="1">
        <f t="array" ref="D426">_xlfn.SUMIFS('Diseases'!F2:F4303,'Diseases'!B2:B4303,A426,'Diseases'!C2:C4303,B426,'Diseases'!D2:D4303,C426)</f>
        <v>3744</v>
      </c>
      <c r="E426" s="22" cm="1">
        <f t="array" ref="E426">_xlfn.IFERROR(IF(INDEX('Diseases'!G2:G4303,MATCH(C426,'Diseases'!D2:D4303,0))="","",INDEX('Diseases'!G2:G4303,MATCH(C426,'Diseases'!D2:D4303,0))),"")</f>
        <v>17477569</v>
      </c>
      <c r="F426" s="23" cm="1">
        <f t="array" ref="F426">_xlfn.IFERROR(IF(E426="","",D426/E426*100000),"")</f>
        <v>21.4217434930453</v>
      </c>
    </row>
    <row r="427" ht="13.65" customHeight="1">
      <c r="A427" t="s" s="31">
        <v>45</v>
      </c>
      <c r="B427" t="s" s="21">
        <v>67</v>
      </c>
      <c r="C427" t="s" s="21">
        <v>46</v>
      </c>
      <c r="D427" s="22" cm="1">
        <f t="array" ref="D427">_xlfn.SUMIFS('Diseases'!F2:F4303,'Diseases'!B2:B4303,A427,'Diseases'!C2:C4303,B427,'Diseases'!D2:D4303,C427)</f>
        <v>3550</v>
      </c>
      <c r="E427" s="22" cm="1">
        <f t="array" ref="E427">_xlfn.IFERROR(IF(INDEX('Diseases'!G2:G4303,MATCH(C427,'Diseases'!D2:D4303,0))="","",INDEX('Diseases'!G2:G4303,MATCH(C427,'Diseases'!D2:D4303,0))),"")</f>
        <v>17477569</v>
      </c>
      <c r="F427" s="23" cm="1">
        <f t="array" ref="F427">_xlfn.IFERROR(IF(E427="","",D427/E427*100000),"")</f>
        <v>20.3117493056386</v>
      </c>
    </row>
    <row r="428" ht="13.65" customHeight="1">
      <c r="A428" t="s" s="20">
        <v>30</v>
      </c>
      <c r="B428" t="s" s="21">
        <v>68</v>
      </c>
      <c r="C428" t="s" s="21">
        <v>46</v>
      </c>
      <c r="D428" s="22" cm="1">
        <f t="array" ref="D428">_xlfn.SUMIFS('Diseases'!F2:F4303,'Diseases'!B2:B4303,A428,'Diseases'!C2:C4303,B428,'Diseases'!D2:D4303,C428)</f>
        <v>71962</v>
      </c>
      <c r="E428" s="22" cm="1">
        <f t="array" ref="E428">_xlfn.IFERROR(IF(INDEX('Diseases'!G2:G4303,MATCH(C428,'Diseases'!D2:D4303,0))="","",INDEX('Diseases'!G2:G4303,MATCH(C428,'Diseases'!D2:D4303,0))),"")</f>
        <v>17477569</v>
      </c>
      <c r="F428" s="23" cm="1">
        <f t="array" ref="F428">_xlfn.IFERROR(IF(E428="","",D428/E428*100000),"")</f>
        <v>411.739184093623</v>
      </c>
    </row>
    <row r="429" ht="13.65" customHeight="1">
      <c r="A429" t="s" s="25">
        <v>35</v>
      </c>
      <c r="B429" t="s" s="21">
        <v>68</v>
      </c>
      <c r="C429" t="s" s="21">
        <v>46</v>
      </c>
      <c r="D429" s="22" cm="1">
        <f t="array" ref="D429">_xlfn.SUMIFS('Diseases'!F2:F4303,'Diseases'!B2:B4303,A429,'Diseases'!C2:C4303,B429,'Diseases'!D2:D4303,C429)</f>
        <v>16872</v>
      </c>
      <c r="E429" s="22" cm="1">
        <f t="array" ref="E429">_xlfn.IFERROR(IF(INDEX('Diseases'!G2:G4303,MATCH(C429,'Diseases'!D2:D4303,0))="","",INDEX('Diseases'!G2:G4303,MATCH(C429,'Diseases'!D2:D4303,0))),"")</f>
        <v>17477569</v>
      </c>
      <c r="F429" s="23" cm="1">
        <f t="array" ref="F429">_xlfn.IFERROR(IF(E429="","",D429/E429*100000),"")</f>
        <v>96.5351645872489</v>
      </c>
    </row>
    <row r="430" ht="13.65" customHeight="1">
      <c r="A430" t="s" s="24">
        <v>34</v>
      </c>
      <c r="B430" t="s" s="21">
        <v>68</v>
      </c>
      <c r="C430" t="s" s="21">
        <v>46</v>
      </c>
      <c r="D430" s="22" cm="1">
        <f t="array" ref="D430">_xlfn.SUMIFS('Diseases'!F2:F4303,'Diseases'!B2:B4303,A430,'Diseases'!C2:C4303,B430,'Diseases'!D2:D4303,C430)</f>
        <v>9759</v>
      </c>
      <c r="E430" s="22" cm="1">
        <f t="array" ref="E430">_xlfn.IFERROR(IF(INDEX('Diseases'!G2:G4303,MATCH(C430,'Diseases'!D2:D4303,0))="","",INDEX('Diseases'!G2:G4303,MATCH(C430,'Diseases'!D2:D4303,0))),"")</f>
        <v>17477569</v>
      </c>
      <c r="F430" s="23" cm="1">
        <f t="array" ref="F430">_xlfn.IFERROR(IF(E430="","",D430/E430*100000),"")</f>
        <v>55.8372849221765</v>
      </c>
    </row>
    <row r="431" ht="13.65" customHeight="1">
      <c r="A431" t="s" s="28">
        <v>41</v>
      </c>
      <c r="B431" t="s" s="21">
        <v>68</v>
      </c>
      <c r="C431" t="s" s="21">
        <v>46</v>
      </c>
      <c r="D431" s="22" cm="1">
        <f t="array" ref="D431">_xlfn.SUMIFS('Diseases'!F2:F4303,'Diseases'!B2:B4303,A431,'Diseases'!C2:C4303,B431,'Diseases'!D2:D4303,C431)</f>
        <v>8549</v>
      </c>
      <c r="E431" s="22" cm="1">
        <f t="array" ref="E431">_xlfn.IFERROR(IF(INDEX('Diseases'!G2:G4303,MATCH(C431,'Diseases'!D2:D4303,0))="","",INDEX('Diseases'!G2:G4303,MATCH(C431,'Diseases'!D2:D4303,0))),"")</f>
        <v>17477569</v>
      </c>
      <c r="F431" s="23" cm="1">
        <f t="array" ref="F431">_xlfn.IFERROR(IF(E431="","",D431/E431*100000),"")</f>
        <v>48.9141252996913</v>
      </c>
    </row>
    <row r="432" ht="13.65" customHeight="1">
      <c r="A432" t="s" s="29">
        <v>39</v>
      </c>
      <c r="B432" t="s" s="21">
        <v>68</v>
      </c>
      <c r="C432" t="s" s="21">
        <v>46</v>
      </c>
      <c r="D432" s="22" cm="1">
        <f t="array" ref="D432">_xlfn.SUMIFS('Diseases'!F2:F4303,'Diseases'!B2:B4303,A432,'Diseases'!C2:C4303,B432,'Diseases'!D2:D4303,C432)</f>
        <v>7646</v>
      </c>
      <c r="E432" s="22" cm="1">
        <f t="array" ref="E432">_xlfn.IFERROR(IF(INDEX('Diseases'!G2:G4303,MATCH(C432,'Diseases'!D2:D4303,0))="","",INDEX('Diseases'!G2:G4303,MATCH(C432,'Diseases'!D2:D4303,0))),"")</f>
        <v>17477569</v>
      </c>
      <c r="F432" s="23" cm="1">
        <f t="array" ref="F432">_xlfn.IFERROR(IF(E432="","",D432/E432*100000),"")</f>
        <v>43.7475028706796</v>
      </c>
    </row>
    <row r="433" ht="13.65" customHeight="1">
      <c r="A433" t="s" s="31">
        <v>45</v>
      </c>
      <c r="B433" t="s" s="21">
        <v>68</v>
      </c>
      <c r="C433" t="s" s="21">
        <v>46</v>
      </c>
      <c r="D433" s="22" cm="1">
        <f t="array" ref="D433">_xlfn.SUMIFS('Diseases'!F2:F4303,'Diseases'!B2:B4303,A433,'Diseases'!C2:C4303,B433,'Diseases'!D2:D4303,C433)</f>
        <v>3982</v>
      </c>
      <c r="E433" s="22" cm="1">
        <f t="array" ref="E433">_xlfn.IFERROR(IF(INDEX('Diseases'!G2:G4303,MATCH(C433,'Diseases'!D2:D4303,0))="","",INDEX('Diseases'!G2:G4303,MATCH(C433,'Diseases'!D2:D4303,0))),"")</f>
        <v>17477569</v>
      </c>
      <c r="F433" s="23" cm="1">
        <f t="array" ref="F433">_xlfn.IFERROR(IF(E433="","",D433/E433*100000),"")</f>
        <v>22.7834889394515</v>
      </c>
    </row>
    <row r="434" ht="13.65" customHeight="1">
      <c r="A434" t="s" s="27">
        <v>37</v>
      </c>
      <c r="B434" t="s" s="21">
        <v>68</v>
      </c>
      <c r="C434" t="s" s="21">
        <v>46</v>
      </c>
      <c r="D434" s="22" cm="1">
        <f t="array" ref="D434">_xlfn.SUMIFS('Diseases'!F2:F4303,'Diseases'!B2:B4303,A434,'Diseases'!C2:C4303,B434,'Diseases'!D2:D4303,C434)</f>
        <v>3643</v>
      </c>
      <c r="E434" s="22" cm="1">
        <f t="array" ref="E434">_xlfn.IFERROR(IF(INDEX('Diseases'!G2:G4303,MATCH(C434,'Diseases'!D2:D4303,0))="","",INDEX('Diseases'!G2:G4303,MATCH(C434,'Diseases'!D2:D4303,0))),"")</f>
        <v>17477569</v>
      </c>
      <c r="F434" s="23" cm="1">
        <f t="array" ref="F434">_xlfn.IFERROR(IF(E434="","",D434/E434*100000),"")</f>
        <v>20.8438599212511</v>
      </c>
    </row>
    <row r="435" ht="13.65" customHeight="1">
      <c r="A435" t="s" s="20">
        <v>30</v>
      </c>
      <c r="B435" t="s" s="21">
        <v>69</v>
      </c>
      <c r="C435" t="s" s="21">
        <v>46</v>
      </c>
      <c r="D435" s="22" cm="1">
        <f t="array" ref="D435">_xlfn.SUMIFS('Diseases'!F2:F4303,'Diseases'!B2:B4303,A435,'Diseases'!C2:C4303,B435,'Diseases'!D2:D4303,C435)</f>
        <v>44374</v>
      </c>
      <c r="E435" s="22" cm="1">
        <f t="array" ref="E435">_xlfn.IFERROR(IF(INDEX('Diseases'!G2:G4303,MATCH(C435,'Diseases'!D2:D4303,0))="","",INDEX('Diseases'!G2:G4303,MATCH(C435,'Diseases'!D2:D4303,0))),"")</f>
        <v>17477569</v>
      </c>
      <c r="F435" s="23" cm="1">
        <f t="array" ref="F435">_xlfn.IFERROR(IF(E435="","",D435/E435*100000),"")</f>
        <v>253.891144700959</v>
      </c>
    </row>
    <row r="436" ht="13.65" customHeight="1">
      <c r="A436" t="s" s="28">
        <v>41</v>
      </c>
      <c r="B436" t="s" s="21">
        <v>69</v>
      </c>
      <c r="C436" t="s" s="21">
        <v>46</v>
      </c>
      <c r="D436" s="22" cm="1">
        <f t="array" ref="D436">_xlfn.SUMIFS('Diseases'!F2:F4303,'Diseases'!B2:B4303,A436,'Diseases'!C2:C4303,B436,'Diseases'!D2:D4303,C436)</f>
        <v>11744</v>
      </c>
      <c r="E436" s="22" cm="1">
        <f t="array" ref="E436">_xlfn.IFERROR(IF(INDEX('Diseases'!G2:G4303,MATCH(C436,'Diseases'!D2:D4303,0))="","",INDEX('Diseases'!G2:G4303,MATCH(C436,'Diseases'!D2:D4303,0))),"")</f>
        <v>17477569</v>
      </c>
      <c r="F436" s="23" cm="1">
        <f t="array" ref="F436">_xlfn.IFERROR(IF(E436="","",D436/E436*100000),"")</f>
        <v>67.194699674766</v>
      </c>
    </row>
    <row r="437" ht="13.65" customHeight="1">
      <c r="A437" t="s" s="25">
        <v>35</v>
      </c>
      <c r="B437" t="s" s="21">
        <v>69</v>
      </c>
      <c r="C437" t="s" s="21">
        <v>46</v>
      </c>
      <c r="D437" s="22" cm="1">
        <f t="array" ref="D437">_xlfn.SUMIFS('Diseases'!F2:F4303,'Diseases'!B2:B4303,A437,'Diseases'!C2:C4303,B437,'Diseases'!D2:D4303,C437)</f>
        <v>9946</v>
      </c>
      <c r="E437" s="22" cm="1">
        <f t="array" ref="E437">_xlfn.IFERROR(IF(INDEX('Diseases'!G2:G4303,MATCH(C437,'Diseases'!D2:D4303,0))="","",INDEX('Diseases'!G2:G4303,MATCH(C437,'Diseases'!D2:D4303,0))),"")</f>
        <v>17477569</v>
      </c>
      <c r="F437" s="23" cm="1">
        <f t="array" ref="F437">_xlfn.IFERROR(IF(E437="","",D437/E437*100000),"")</f>
        <v>56.9072277729243</v>
      </c>
    </row>
    <row r="438" ht="13.65" customHeight="1">
      <c r="A438" t="s" s="24">
        <v>34</v>
      </c>
      <c r="B438" t="s" s="21">
        <v>69</v>
      </c>
      <c r="C438" t="s" s="21">
        <v>46</v>
      </c>
      <c r="D438" s="22" cm="1">
        <f t="array" ref="D438">_xlfn.SUMIFS('Diseases'!F2:F4303,'Diseases'!B2:B4303,A438,'Diseases'!C2:C4303,B438,'Diseases'!D2:D4303,C438)</f>
        <v>7292</v>
      </c>
      <c r="E438" s="22" cm="1">
        <f t="array" ref="E438">_xlfn.IFERROR(IF(INDEX('Diseases'!G2:G4303,MATCH(C438,'Diseases'!D2:D4303,0))="","",INDEX('Diseases'!G2:G4303,MATCH(C438,'Diseases'!D2:D4303,0))),"")</f>
        <v>17477569</v>
      </c>
      <c r="F438" s="23" cm="1">
        <f t="array" ref="F438">_xlfn.IFERROR(IF(E438="","",D438/E438*100000),"")</f>
        <v>41.7220495596384</v>
      </c>
    </row>
    <row r="439" ht="13.65" customHeight="1">
      <c r="A439" t="s" s="29">
        <v>39</v>
      </c>
      <c r="B439" t="s" s="21">
        <v>69</v>
      </c>
      <c r="C439" t="s" s="21">
        <v>46</v>
      </c>
      <c r="D439" s="22" cm="1">
        <f t="array" ref="D439">_xlfn.SUMIFS('Diseases'!F2:F4303,'Diseases'!B2:B4303,A439,'Diseases'!C2:C4303,B439,'Diseases'!D2:D4303,C439)</f>
        <v>6297</v>
      </c>
      <c r="E439" s="22" cm="1">
        <f t="array" ref="E439">_xlfn.IFERROR(IF(INDEX('Diseases'!G2:G4303,MATCH(C439,'Diseases'!D2:D4303,0))="","",INDEX('Diseases'!G2:G4303,MATCH(C439,'Diseases'!D2:D4303,0))),"")</f>
        <v>17477569</v>
      </c>
      <c r="F439" s="23" cm="1">
        <f t="array" ref="F439">_xlfn.IFERROR(IF(E439="","",D439/E439*100000),"")</f>
        <v>36.0290381345369</v>
      </c>
    </row>
    <row r="440" ht="13.65" customHeight="1">
      <c r="A440" t="s" s="27">
        <v>37</v>
      </c>
      <c r="B440" t="s" s="21">
        <v>69</v>
      </c>
      <c r="C440" t="s" s="21">
        <v>46</v>
      </c>
      <c r="D440" s="22" cm="1">
        <f t="array" ref="D440">_xlfn.SUMIFS('Diseases'!F2:F4303,'Diseases'!B2:B4303,A440,'Diseases'!C2:C4303,B440,'Diseases'!D2:D4303,C440)</f>
        <v>2604</v>
      </c>
      <c r="E440" s="22" cm="1">
        <f t="array" ref="E440">_xlfn.IFERROR(IF(INDEX('Diseases'!G2:G4303,MATCH(C440,'Diseases'!D2:D4303,0))="","",INDEX('Diseases'!G2:G4303,MATCH(C440,'Diseases'!D2:D4303,0))),"")</f>
        <v>17477569</v>
      </c>
      <c r="F440" s="23" cm="1">
        <f t="array" ref="F440">_xlfn.IFERROR(IF(E440="","",D440/E440*100000),"")</f>
        <v>14.8990972371501</v>
      </c>
    </row>
    <row r="441" ht="13.65" customHeight="1">
      <c r="A441" t="s" s="20">
        <v>30</v>
      </c>
      <c r="B441" t="s" s="21">
        <v>70</v>
      </c>
      <c r="C441" t="s" s="21">
        <v>46</v>
      </c>
      <c r="D441" s="22" cm="1">
        <f t="array" ref="D441">_xlfn.SUMIFS('Diseases'!F2:F4303,'Diseases'!B2:B4303,A441,'Diseases'!C2:C4303,B441,'Diseases'!D2:D4303,C441)</f>
        <v>39681</v>
      </c>
      <c r="E441" s="22" cm="1">
        <f t="array" ref="E441">_xlfn.IFERROR(IF(INDEX('Diseases'!G2:G4303,MATCH(C441,'Diseases'!D2:D4303,0))="","",INDEX('Diseases'!G2:G4303,MATCH(C441,'Diseases'!D2:D4303,0))),"")</f>
        <v>17477569</v>
      </c>
      <c r="F441" s="23" cm="1">
        <f t="array" ref="F441">_xlfn.IFERROR(IF(E441="","",D441/E441*100000),"")</f>
        <v>227.039584280857</v>
      </c>
    </row>
    <row r="442" ht="13.65" customHeight="1">
      <c r="A442" t="s" s="25">
        <v>35</v>
      </c>
      <c r="B442" t="s" s="21">
        <v>70</v>
      </c>
      <c r="C442" t="s" s="21">
        <v>46</v>
      </c>
      <c r="D442" s="22" cm="1">
        <f t="array" ref="D442">_xlfn.SUMIFS('Diseases'!F2:F4303,'Diseases'!B2:B4303,A442,'Diseases'!C2:C4303,B442,'Diseases'!D2:D4303,C442)</f>
        <v>9225</v>
      </c>
      <c r="E442" s="22" cm="1">
        <f t="array" ref="E442">_xlfn.IFERROR(IF(INDEX('Diseases'!G2:G4303,MATCH(C442,'Diseases'!D2:D4303,0))="","",INDEX('Diseases'!G2:G4303,MATCH(C442,'Diseases'!D2:D4303,0))),"")</f>
        <v>17477569</v>
      </c>
      <c r="F442" s="23" cm="1">
        <f t="array" ref="F442">_xlfn.IFERROR(IF(E442="","",D442/E442*100000),"")</f>
        <v>52.7819400970467</v>
      </c>
    </row>
    <row r="443" ht="13.65" customHeight="1">
      <c r="A443" t="s" s="24">
        <v>34</v>
      </c>
      <c r="B443" t="s" s="21">
        <v>70</v>
      </c>
      <c r="C443" t="s" s="21">
        <v>46</v>
      </c>
      <c r="D443" s="22" cm="1">
        <f t="array" ref="D443">_xlfn.SUMIFS('Diseases'!F2:F4303,'Diseases'!B2:B4303,A443,'Diseases'!C2:C4303,B443,'Diseases'!D2:D4303,C443)</f>
        <v>6349</v>
      </c>
      <c r="E443" s="22" cm="1">
        <f t="array" ref="E443">_xlfn.IFERROR(IF(INDEX('Diseases'!G2:G4303,MATCH(C443,'Diseases'!D2:D4303,0))="","",INDEX('Diseases'!G2:G4303,MATCH(C443,'Diseases'!D2:D4303,0))),"")</f>
        <v>17477569</v>
      </c>
      <c r="F443" s="23" cm="1">
        <f t="array" ref="F443">_xlfn.IFERROR(IF(E443="","",D443/E443*100000),"")</f>
        <v>36.3265623497181</v>
      </c>
    </row>
    <row r="444" ht="13.65" customHeight="1">
      <c r="A444" t="s" s="28">
        <v>41</v>
      </c>
      <c r="B444" t="s" s="21">
        <v>70</v>
      </c>
      <c r="C444" t="s" s="21">
        <v>46</v>
      </c>
      <c r="D444" s="22" cm="1">
        <f t="array" ref="D444">_xlfn.SUMIFS('Diseases'!F2:F4303,'Diseases'!B2:B4303,A444,'Diseases'!C2:C4303,B444,'Diseases'!D2:D4303,C444)</f>
        <v>4954</v>
      </c>
      <c r="E444" s="22" cm="1">
        <f t="array" ref="E444">_xlfn.IFERROR(IF(INDEX('Diseases'!G2:G4303,MATCH(C444,'Diseases'!D2:D4303,0))="","",INDEX('Diseases'!G2:G4303,MATCH(C444,'Diseases'!D2:D4303,0))),"")</f>
        <v>17477569</v>
      </c>
      <c r="F444" s="23" cm="1">
        <f t="array" ref="F444">_xlfn.IFERROR(IF(E444="","",D444/E444*100000),"")</f>
        <v>28.3449031155305</v>
      </c>
    </row>
    <row r="445" ht="13.65" customHeight="1">
      <c r="A445" t="s" s="29">
        <v>39</v>
      </c>
      <c r="B445" t="s" s="21">
        <v>70</v>
      </c>
      <c r="C445" t="s" s="21">
        <v>46</v>
      </c>
      <c r="D445" s="22" cm="1">
        <f t="array" ref="D445">_xlfn.SUMIFS('Diseases'!F2:F4303,'Diseases'!B2:B4303,A445,'Diseases'!C2:C4303,B445,'Diseases'!D2:D4303,C445)</f>
        <v>4436</v>
      </c>
      <c r="E445" s="22" cm="1">
        <f t="array" ref="E445">_xlfn.IFERROR(IF(INDEX('Diseases'!G2:G4303,MATCH(C445,'Diseases'!D2:D4303,0))="","",INDEX('Diseases'!G2:G4303,MATCH(C445,'Diseases'!D2:D4303,0))),"")</f>
        <v>17477569</v>
      </c>
      <c r="F445" s="23" cm="1">
        <f t="array" ref="F445">_xlfn.IFERROR(IF(E445="","",D445/E445*100000),"")</f>
        <v>25.3811042027641</v>
      </c>
    </row>
    <row r="446" ht="13.65" customHeight="1">
      <c r="A446" t="s" s="31">
        <v>45</v>
      </c>
      <c r="B446" t="s" s="21">
        <v>70</v>
      </c>
      <c r="C446" t="s" s="21">
        <v>46</v>
      </c>
      <c r="D446" s="22" cm="1">
        <f t="array" ref="D446">_xlfn.SUMIFS('Diseases'!F2:F4303,'Diseases'!B2:B4303,A446,'Diseases'!C2:C4303,B446,'Diseases'!D2:D4303,C446)</f>
        <v>2513</v>
      </c>
      <c r="E446" s="22" cm="1">
        <f t="array" ref="E446">_xlfn.IFERROR(IF(INDEX('Diseases'!G2:G4303,MATCH(C446,'Diseases'!D2:D4303,0))="","",INDEX('Diseases'!G2:G4303,MATCH(C446,'Diseases'!D2:D4303,0))),"")</f>
        <v>17477569</v>
      </c>
      <c r="F446" s="23" cm="1">
        <f t="array" ref="F446">_xlfn.IFERROR(IF(E446="","",D446/E446*100000),"")</f>
        <v>14.378429860583</v>
      </c>
    </row>
    <row r="447" ht="13.65" customHeight="1">
      <c r="A447" t="s" s="27">
        <v>37</v>
      </c>
      <c r="B447" t="s" s="21">
        <v>70</v>
      </c>
      <c r="C447" t="s" s="21">
        <v>46</v>
      </c>
      <c r="D447" s="22" cm="1">
        <f t="array" ref="D447">_xlfn.SUMIFS('Diseases'!F2:F4303,'Diseases'!B2:B4303,A447,'Diseases'!C2:C4303,B447,'Diseases'!D2:D4303,C447)</f>
        <v>2006</v>
      </c>
      <c r="E447" s="22" cm="1">
        <f t="array" ref="E447">_xlfn.IFERROR(IF(INDEX('Diseases'!G2:G4303,MATCH(C447,'Diseases'!D2:D4303,0))="","",INDEX('Diseases'!G2:G4303,MATCH(C447,'Diseases'!D2:D4303,0))),"")</f>
        <v>17477569</v>
      </c>
      <c r="F447" s="23" cm="1">
        <f t="array" ref="F447">_xlfn.IFERROR(IF(E447="","",D447/E447*100000),"")</f>
        <v>11.4775687625665</v>
      </c>
    </row>
    <row r="448" ht="13.65" customHeight="1">
      <c r="A448" t="s" s="20">
        <v>30</v>
      </c>
      <c r="B448" t="s" s="21">
        <v>31</v>
      </c>
      <c r="C448" t="s" s="21">
        <v>47</v>
      </c>
      <c r="D448" s="22" cm="1">
        <f t="array" ref="D448">_xlfn.SUMIFS('Diseases'!F2:F4303,'Diseases'!B2:B4303,A448,'Diseases'!C2:C4303,B448,'Diseases'!D2:D4303,C448)</f>
        <v>7412</v>
      </c>
      <c r="E448" s="22" cm="1">
        <f t="array" ref="E448">_xlfn.IFERROR(IF(INDEX('Diseases'!G2:G4303,MATCH(C448,'Diseases'!D2:D4303,0))="","",INDEX('Diseases'!G2:G4303,MATCH(C448,'Diseases'!D2:D4303,0))),"")</f>
        <v>3342831</v>
      </c>
      <c r="F448" s="23" cm="1">
        <f t="array" ref="F448">_xlfn.IFERROR(IF(E448="","",D448/E448*100000),"")</f>
        <v>221.728229754959</v>
      </c>
    </row>
    <row r="449" ht="13.65" customHeight="1">
      <c r="A449" t="s" s="25">
        <v>35</v>
      </c>
      <c r="B449" t="s" s="21">
        <v>31</v>
      </c>
      <c r="C449" t="s" s="21">
        <v>47</v>
      </c>
      <c r="D449" s="22" cm="1">
        <f t="array" ref="D449">_xlfn.SUMIFS('Diseases'!F2:F4303,'Diseases'!B2:B4303,A449,'Diseases'!C2:C4303,B449,'Diseases'!D2:D4303,C449)</f>
        <v>2310</v>
      </c>
      <c r="E449" s="22" cm="1">
        <f t="array" ref="E449">_xlfn.IFERROR(IF(INDEX('Diseases'!G2:G4303,MATCH(C449,'Diseases'!D2:D4303,0))="","",INDEX('Diseases'!G2:G4303,MATCH(C449,'Diseases'!D2:D4303,0))),"")</f>
        <v>3342831</v>
      </c>
      <c r="F449" s="23" cm="1">
        <f t="array" ref="F449">_xlfn.IFERROR(IF(E449="","",D449/E449*100000),"")</f>
        <v>69.103104524279</v>
      </c>
    </row>
    <row r="450" ht="13.65" customHeight="1">
      <c r="A450" t="s" s="29">
        <v>39</v>
      </c>
      <c r="B450" t="s" s="21">
        <v>31</v>
      </c>
      <c r="C450" t="s" s="21">
        <v>47</v>
      </c>
      <c r="D450" s="22" cm="1">
        <f t="array" ref="D450">_xlfn.SUMIFS('Diseases'!F2:F4303,'Diseases'!B2:B4303,A450,'Diseases'!C2:C4303,B450,'Diseases'!D2:D4303,C450)</f>
        <v>969</v>
      </c>
      <c r="E450" s="22" cm="1">
        <f t="array" ref="E450">_xlfn.IFERROR(IF(INDEX('Diseases'!G2:G4303,MATCH(C450,'Diseases'!D2:D4303,0))="","",INDEX('Diseases'!G2:G4303,MATCH(C450,'Diseases'!D2:D4303,0))),"")</f>
        <v>3342831</v>
      </c>
      <c r="F450" s="23" cm="1">
        <f t="array" ref="F450">_xlfn.IFERROR(IF(E450="","",D450/E450*100000),"")</f>
        <v>28.9874061835612</v>
      </c>
    </row>
    <row r="451" ht="13.65" customHeight="1">
      <c r="A451" t="s" s="24">
        <v>34</v>
      </c>
      <c r="B451" t="s" s="21">
        <v>31</v>
      </c>
      <c r="C451" t="s" s="21">
        <v>47</v>
      </c>
      <c r="D451" s="22" cm="1">
        <f t="array" ref="D451">_xlfn.SUMIFS('Diseases'!F2:F4303,'Diseases'!B2:B4303,A451,'Diseases'!C2:C4303,B451,'Diseases'!D2:D4303,C451)</f>
        <v>689</v>
      </c>
      <c r="E451" s="22" cm="1">
        <f t="array" ref="E451">_xlfn.IFERROR(IF(INDEX('Diseases'!G2:G4303,MATCH(C451,'Diseases'!D2:D4303,0))="","",INDEX('Diseases'!G2:G4303,MATCH(C451,'Diseases'!D2:D4303,0))),"")</f>
        <v>3342831</v>
      </c>
      <c r="F451" s="23" cm="1">
        <f t="array" ref="F451">_xlfn.IFERROR(IF(E451="","",D451/E451*100000),"")</f>
        <v>20.6112723018304</v>
      </c>
    </row>
    <row r="452" ht="13.65" customHeight="1">
      <c r="A452" t="s" s="31">
        <v>45</v>
      </c>
      <c r="B452" t="s" s="21">
        <v>31</v>
      </c>
      <c r="C452" t="s" s="21">
        <v>47</v>
      </c>
      <c r="D452" s="22" cm="1">
        <f t="array" ref="D452">_xlfn.SUMIFS('Diseases'!F2:F4303,'Diseases'!B2:B4303,A452,'Diseases'!C2:C4303,B452,'Diseases'!D2:D4303,C452)</f>
        <v>608</v>
      </c>
      <c r="E452" s="22" cm="1">
        <f t="array" ref="E452">_xlfn.IFERROR(IF(INDEX('Diseases'!G2:G4303,MATCH(C452,'Diseases'!D2:D4303,0))="","",INDEX('Diseases'!G2:G4303,MATCH(C452,'Diseases'!D2:D4303,0))),"")</f>
        <v>3342831</v>
      </c>
      <c r="F452" s="23" cm="1">
        <f t="array" ref="F452">_xlfn.IFERROR(IF(E452="","",D452/E452*100000),"")</f>
        <v>18.1881764289011</v>
      </c>
    </row>
    <row r="453" ht="13.65" customHeight="1">
      <c r="A453" t="s" s="20">
        <v>30</v>
      </c>
      <c r="B453" t="s" s="21">
        <v>60</v>
      </c>
      <c r="C453" t="s" s="21">
        <v>47</v>
      </c>
      <c r="D453" s="22" cm="1">
        <f t="array" ref="D453">_xlfn.SUMIFS('Diseases'!F2:F4303,'Diseases'!B2:B4303,A453,'Diseases'!C2:C4303,B453,'Diseases'!D2:D4303,C453)</f>
        <v>4972</v>
      </c>
      <c r="E453" s="22" cm="1">
        <f t="array" ref="E453">_xlfn.IFERROR(IF(INDEX('Diseases'!G2:G4303,MATCH(C453,'Diseases'!D2:D4303,0))="","",INDEX('Diseases'!G2:G4303,MATCH(C453,'Diseases'!D2:D4303,0))),"")</f>
        <v>3342831</v>
      </c>
      <c r="F453" s="23" cm="1">
        <f t="array" ref="F453">_xlfn.IFERROR(IF(E453="","",D453/E453*100000),"")</f>
        <v>148.736205928448</v>
      </c>
    </row>
    <row r="454" ht="13.65" customHeight="1">
      <c r="A454" t="s" s="25">
        <v>35</v>
      </c>
      <c r="B454" t="s" s="21">
        <v>60</v>
      </c>
      <c r="C454" t="s" s="21">
        <v>47</v>
      </c>
      <c r="D454" s="22" cm="1">
        <f t="array" ref="D454">_xlfn.SUMIFS('Diseases'!F2:F4303,'Diseases'!B2:B4303,A454,'Diseases'!C2:C4303,B454,'Diseases'!D2:D4303,C454)</f>
        <v>2845</v>
      </c>
      <c r="E454" s="22" cm="1">
        <f t="array" ref="E454">_xlfn.IFERROR(IF(INDEX('Diseases'!G2:G4303,MATCH(C454,'Diseases'!D2:D4303,0))="","",INDEX('Diseases'!G2:G4303,MATCH(C454,'Diseases'!D2:D4303,0))),"")</f>
        <v>3342831</v>
      </c>
      <c r="F454" s="23" cm="1">
        <f t="array" ref="F454">_xlfn.IFERROR(IF(E454="","",D454/E454*100000),"")</f>
        <v>85.10750319115741</v>
      </c>
    </row>
    <row r="455" ht="13.65" customHeight="1">
      <c r="A455" t="s" s="24">
        <v>34</v>
      </c>
      <c r="B455" t="s" s="21">
        <v>60</v>
      </c>
      <c r="C455" t="s" s="21">
        <v>47</v>
      </c>
      <c r="D455" s="22" cm="1">
        <f t="array" ref="D455">_xlfn.SUMIFS('Diseases'!F2:F4303,'Diseases'!B2:B4303,A455,'Diseases'!C2:C4303,B455,'Diseases'!D2:D4303,C455)</f>
        <v>1437</v>
      </c>
      <c r="E455" s="22" cm="1">
        <f t="array" ref="E455">_xlfn.IFERROR(IF(INDEX('Diseases'!G2:G4303,MATCH(C455,'Diseases'!D2:D4303,0))="","",INDEX('Diseases'!G2:G4303,MATCH(C455,'Diseases'!D2:D4303,0))),"")</f>
        <v>3342831</v>
      </c>
      <c r="F455" s="23" cm="1">
        <f t="array" ref="F455">_xlfn.IFERROR(IF(E455="","",D455/E455*100000),"")</f>
        <v>42.9875156715969</v>
      </c>
    </row>
    <row r="456" ht="13.65" customHeight="1">
      <c r="A456" t="s" s="30">
        <v>40</v>
      </c>
      <c r="B456" t="s" s="21">
        <v>60</v>
      </c>
      <c r="C456" t="s" s="21">
        <v>47</v>
      </c>
      <c r="D456" s="22" cm="1">
        <f t="array" ref="D456">_xlfn.SUMIFS('Diseases'!F2:F4303,'Diseases'!B2:B4303,A456,'Diseases'!C2:C4303,B456,'Diseases'!D2:D4303,C456)</f>
        <v>1315</v>
      </c>
      <c r="E456" s="22" cm="1">
        <f t="array" ref="E456">_xlfn.IFERROR(IF(INDEX('Diseases'!G2:G4303,MATCH(C456,'Diseases'!D2:D4303,0))="","",INDEX('Diseases'!G2:G4303,MATCH(C456,'Diseases'!D2:D4303,0))),"")</f>
        <v>3342831</v>
      </c>
      <c r="F456" s="23" cm="1">
        <f t="array" ref="F456">_xlfn.IFERROR(IF(E456="","",D456/E456*100000),"")</f>
        <v>39.3379144802714</v>
      </c>
    </row>
    <row r="457" ht="13.65" customHeight="1">
      <c r="A457" t="s" s="31">
        <v>45</v>
      </c>
      <c r="B457" t="s" s="21">
        <v>60</v>
      </c>
      <c r="C457" t="s" s="21">
        <v>47</v>
      </c>
      <c r="D457" s="22" cm="1">
        <f t="array" ref="D457">_xlfn.SUMIFS('Diseases'!F2:F4303,'Diseases'!B2:B4303,A457,'Diseases'!C2:C4303,B457,'Diseases'!D2:D4303,C457)</f>
        <v>720</v>
      </c>
      <c r="E457" s="22" cm="1">
        <f t="array" ref="E457">_xlfn.IFERROR(IF(INDEX('Diseases'!G2:G4303,MATCH(C457,'Diseases'!D2:D4303,0))="","",INDEX('Diseases'!G2:G4303,MATCH(C457,'Diseases'!D2:D4303,0))),"")</f>
        <v>3342831</v>
      </c>
      <c r="F457" s="23" cm="1">
        <f t="array" ref="F457">_xlfn.IFERROR(IF(E457="","",D457/E457*100000),"")</f>
        <v>21.5386299815934</v>
      </c>
    </row>
    <row r="458" ht="13.65" customHeight="1">
      <c r="A458" t="s" s="29">
        <v>39</v>
      </c>
      <c r="B458" t="s" s="21">
        <v>60</v>
      </c>
      <c r="C458" t="s" s="21">
        <v>47</v>
      </c>
      <c r="D458" s="22" cm="1">
        <f t="array" ref="D458">_xlfn.SUMIFS('Diseases'!F2:F4303,'Diseases'!B2:B4303,A458,'Diseases'!C2:C4303,B458,'Diseases'!D2:D4303,C458)</f>
        <v>708</v>
      </c>
      <c r="E458" s="22" cm="1">
        <f t="array" ref="E458">_xlfn.IFERROR(IF(INDEX('Diseases'!G2:G4303,MATCH(C458,'Diseases'!D2:D4303,0))="","",INDEX('Diseases'!G2:G4303,MATCH(C458,'Diseases'!D2:D4303,0))),"")</f>
        <v>3342831</v>
      </c>
      <c r="F458" s="23" cm="1">
        <f t="array" ref="F458">_xlfn.IFERROR(IF(E458="","",D458/E458*100000),"")</f>
        <v>21.1796528152336</v>
      </c>
    </row>
    <row r="459" ht="13.65" customHeight="1">
      <c r="A459" t="s" s="26">
        <v>36</v>
      </c>
      <c r="B459" t="s" s="21">
        <v>60</v>
      </c>
      <c r="C459" t="s" s="21">
        <v>47</v>
      </c>
      <c r="D459" s="22" cm="1">
        <f t="array" ref="D459">_xlfn.SUMIFS('Diseases'!F2:F4303,'Diseases'!B2:B4303,A459,'Diseases'!C2:C4303,B459,'Diseases'!D2:D4303,C459)</f>
        <v>523</v>
      </c>
      <c r="E459" s="22" cm="1">
        <f t="array" ref="E459">_xlfn.IFERROR(IF(INDEX('Diseases'!G2:G4303,MATCH(C459,'Diseases'!D2:D4303,0))="","",INDEX('Diseases'!G2:G4303,MATCH(C459,'Diseases'!D2:D4303,0))),"")</f>
        <v>3342831</v>
      </c>
      <c r="F459" s="23" cm="1">
        <f t="array" ref="F459">_xlfn.IFERROR(IF(E459="","",D459/E459*100000),"")</f>
        <v>15.6454215005186</v>
      </c>
    </row>
    <row r="460" ht="13.65" customHeight="1">
      <c r="A460" t="s" s="27">
        <v>37</v>
      </c>
      <c r="B460" t="s" s="21">
        <v>60</v>
      </c>
      <c r="C460" t="s" s="21">
        <v>47</v>
      </c>
      <c r="D460" s="22" cm="1">
        <f t="array" ref="D460">_xlfn.SUMIFS('Diseases'!F2:F4303,'Diseases'!B2:B4303,A460,'Diseases'!C2:C4303,B460,'Diseases'!D2:D4303,C460)</f>
        <v>468</v>
      </c>
      <c r="E460" s="22" cm="1">
        <f t="array" ref="E460">_xlfn.IFERROR(IF(INDEX('Diseases'!G2:G4303,MATCH(C460,'Diseases'!D2:D4303,0))="","",INDEX('Diseases'!G2:G4303,MATCH(C460,'Diseases'!D2:D4303,0))),"")</f>
        <v>3342831</v>
      </c>
      <c r="F460" s="23" cm="1">
        <f t="array" ref="F460">_xlfn.IFERROR(IF(E460="","",D460/E460*100000),"")</f>
        <v>14.0001094880357</v>
      </c>
    </row>
    <row r="461" ht="13.65" customHeight="1">
      <c r="A461" t="s" s="20">
        <v>30</v>
      </c>
      <c r="B461" t="s" s="21">
        <v>61</v>
      </c>
      <c r="C461" t="s" s="21">
        <v>47</v>
      </c>
      <c r="D461" s="22" cm="1">
        <f t="array" ref="D461">_xlfn.SUMIFS('Diseases'!F2:F4303,'Diseases'!B2:B4303,A461,'Diseases'!C2:C4303,B461,'Diseases'!D2:D4303,C461)</f>
        <v>8234</v>
      </c>
      <c r="E461" s="22" cm="1">
        <f t="array" ref="E461">_xlfn.IFERROR(IF(INDEX('Diseases'!G2:G4303,MATCH(C461,'Diseases'!D2:D4303,0))="","",INDEX('Diseases'!G2:G4303,MATCH(C461,'Diseases'!D2:D4303,0))),"")</f>
        <v>3342831</v>
      </c>
      <c r="F461" s="23" cm="1">
        <f t="array" ref="F461">_xlfn.IFERROR(IF(E461="","",D461/E461*100000),"")</f>
        <v>246.318165650612</v>
      </c>
    </row>
    <row r="462" ht="13.65" customHeight="1">
      <c r="A462" t="s" s="25">
        <v>35</v>
      </c>
      <c r="B462" t="s" s="21">
        <v>61</v>
      </c>
      <c r="C462" t="s" s="21">
        <v>47</v>
      </c>
      <c r="D462" s="22" cm="1">
        <f t="array" ref="D462">_xlfn.SUMIFS('Diseases'!F2:F4303,'Diseases'!B2:B4303,A462,'Diseases'!C2:C4303,B462,'Diseases'!D2:D4303,C462)</f>
        <v>2951</v>
      </c>
      <c r="E462" s="22" cm="1">
        <f t="array" ref="E462">_xlfn.IFERROR(IF(INDEX('Diseases'!G2:G4303,MATCH(C462,'Diseases'!D2:D4303,0))="","",INDEX('Diseases'!G2:G4303,MATCH(C462,'Diseases'!D2:D4303,0))),"")</f>
        <v>3342831</v>
      </c>
      <c r="F462" s="23" cm="1">
        <f t="array" ref="F462">_xlfn.IFERROR(IF(E462="","",D462/E462*100000),"")</f>
        <v>88.2784681606698</v>
      </c>
    </row>
    <row r="463" ht="13.65" customHeight="1">
      <c r="A463" t="s" s="24">
        <v>34</v>
      </c>
      <c r="B463" t="s" s="21">
        <v>61</v>
      </c>
      <c r="C463" t="s" s="21">
        <v>47</v>
      </c>
      <c r="D463" s="22" cm="1">
        <f t="array" ref="D463">_xlfn.SUMIFS('Diseases'!F2:F4303,'Diseases'!B2:B4303,A463,'Diseases'!C2:C4303,B463,'Diseases'!D2:D4303,C463)</f>
        <v>1422</v>
      </c>
      <c r="E463" s="22" cm="1">
        <f t="array" ref="E463">_xlfn.IFERROR(IF(INDEX('Diseases'!G2:G4303,MATCH(C463,'Diseases'!D2:D4303,0))="","",INDEX('Diseases'!G2:G4303,MATCH(C463,'Diseases'!D2:D4303,0))),"")</f>
        <v>3342831</v>
      </c>
      <c r="F463" s="23" cm="1">
        <f t="array" ref="F463">_xlfn.IFERROR(IF(E463="","",D463/E463*100000),"")</f>
        <v>42.5387942136471</v>
      </c>
    </row>
    <row r="464" ht="13.65" customHeight="1">
      <c r="A464" t="s" s="29">
        <v>39</v>
      </c>
      <c r="B464" t="s" s="21">
        <v>61</v>
      </c>
      <c r="C464" t="s" s="21">
        <v>47</v>
      </c>
      <c r="D464" s="22" cm="1">
        <f t="array" ref="D464">_xlfn.SUMIFS('Diseases'!F2:F4303,'Diseases'!B2:B4303,A464,'Diseases'!C2:C4303,B464,'Diseases'!D2:D4303,C464)</f>
        <v>1025</v>
      </c>
      <c r="E464" s="22" cm="1">
        <f t="array" ref="E464">_xlfn.IFERROR(IF(INDEX('Diseases'!G2:G4303,MATCH(C464,'Diseases'!D2:D4303,0))="","",INDEX('Diseases'!G2:G4303,MATCH(C464,'Diseases'!D2:D4303,0))),"")</f>
        <v>3342831</v>
      </c>
      <c r="F464" s="23" cm="1">
        <f t="array" ref="F464">_xlfn.IFERROR(IF(E464="","",D464/E464*100000),"")</f>
        <v>30.6626329599073</v>
      </c>
    </row>
    <row r="465" ht="13.65" customHeight="1">
      <c r="A465" t="s" s="31">
        <v>45</v>
      </c>
      <c r="B465" t="s" s="21">
        <v>61</v>
      </c>
      <c r="C465" t="s" s="21">
        <v>47</v>
      </c>
      <c r="D465" s="22" cm="1">
        <f t="array" ref="D465">_xlfn.SUMIFS('Diseases'!F2:F4303,'Diseases'!B2:B4303,A465,'Diseases'!C2:C4303,B465,'Diseases'!D2:D4303,C465)</f>
        <v>642</v>
      </c>
      <c r="E465" s="22" cm="1">
        <f t="array" ref="E465">_xlfn.IFERROR(IF(INDEX('Diseases'!G2:G4303,MATCH(C465,'Diseases'!D2:D4303,0))="","",INDEX('Diseases'!G2:G4303,MATCH(C465,'Diseases'!D2:D4303,0))),"")</f>
        <v>3342831</v>
      </c>
      <c r="F465" s="23" cm="1">
        <f t="array" ref="F465">_xlfn.IFERROR(IF(E465="","",D465/E465*100000),"")</f>
        <v>19.2052784002542</v>
      </c>
    </row>
    <row r="466" ht="13.65" customHeight="1">
      <c r="A466" t="s" s="30">
        <v>40</v>
      </c>
      <c r="B466" t="s" s="21">
        <v>61</v>
      </c>
      <c r="C466" t="s" s="21">
        <v>47</v>
      </c>
      <c r="D466" s="22" cm="1">
        <f t="array" ref="D466">_xlfn.SUMIFS('Diseases'!F2:F4303,'Diseases'!B2:B4303,A466,'Diseases'!C2:C4303,B466,'Diseases'!D2:D4303,C466)</f>
        <v>470</v>
      </c>
      <c r="E466" s="22" cm="1">
        <f t="array" ref="E466">_xlfn.IFERROR(IF(INDEX('Diseases'!G2:G4303,MATCH(C466,'Diseases'!D2:D4303,0))="","",INDEX('Diseases'!G2:G4303,MATCH(C466,'Diseases'!D2:D4303,0))),"")</f>
        <v>3342831</v>
      </c>
      <c r="F466" s="23" cm="1">
        <f t="array" ref="F466">_xlfn.IFERROR(IF(E466="","",D466/E466*100000),"")</f>
        <v>14.0599390157624</v>
      </c>
    </row>
    <row r="467" ht="13.65" customHeight="1">
      <c r="A467" t="s" s="27">
        <v>37</v>
      </c>
      <c r="B467" t="s" s="21">
        <v>61</v>
      </c>
      <c r="C467" t="s" s="21">
        <v>47</v>
      </c>
      <c r="D467" s="22" cm="1">
        <f t="array" ref="D467">_xlfn.SUMIFS('Diseases'!F2:F4303,'Diseases'!B2:B4303,A467,'Diseases'!C2:C4303,B467,'Diseases'!D2:D4303,C467)</f>
        <v>385</v>
      </c>
      <c r="E467" s="22" cm="1">
        <f t="array" ref="E467">_xlfn.IFERROR(IF(INDEX('Diseases'!G2:G4303,MATCH(C467,'Diseases'!D2:D4303,0))="","",INDEX('Diseases'!G2:G4303,MATCH(C467,'Diseases'!D2:D4303,0))),"")</f>
        <v>3342831</v>
      </c>
      <c r="F467" s="23" cm="1">
        <f t="array" ref="F467">_xlfn.IFERROR(IF(E467="","",D467/E467*100000),"")</f>
        <v>11.5171840873798</v>
      </c>
    </row>
    <row r="468" ht="13.65" customHeight="1">
      <c r="A468" t="s" s="20">
        <v>30</v>
      </c>
      <c r="B468" t="s" s="21">
        <v>62</v>
      </c>
      <c r="C468" t="s" s="21">
        <v>47</v>
      </c>
      <c r="D468" s="22" cm="1">
        <f t="array" ref="D468">_xlfn.SUMIFS('Diseases'!F2:F4303,'Diseases'!B2:B4303,A468,'Diseases'!C2:C4303,B468,'Diseases'!D2:D4303,C468)</f>
        <v>141627</v>
      </c>
      <c r="E468" s="22" cm="1">
        <f t="array" ref="E468">_xlfn.IFERROR(IF(INDEX('Diseases'!G2:G4303,MATCH(C468,'Diseases'!D2:D4303,0))="","",INDEX('Diseases'!G2:G4303,MATCH(C468,'Diseases'!D2:D4303,0))),"")</f>
        <v>3342831</v>
      </c>
      <c r="F468" s="23" cm="1">
        <f t="array" ref="F468">_xlfn.IFERROR(IF(E468="","",D468/E468*100000),"")</f>
        <v>4236.738261671020</v>
      </c>
    </row>
    <row r="469" ht="13.65" customHeight="1">
      <c r="A469" t="s" s="25">
        <v>35</v>
      </c>
      <c r="B469" t="s" s="21">
        <v>62</v>
      </c>
      <c r="C469" t="s" s="21">
        <v>47</v>
      </c>
      <c r="D469" s="22" cm="1">
        <f t="array" ref="D469">_xlfn.SUMIFS('Diseases'!F2:F4303,'Diseases'!B2:B4303,A469,'Diseases'!C2:C4303,B469,'Diseases'!D2:D4303,C469)</f>
        <v>75293</v>
      </c>
      <c r="E469" s="22" cm="1">
        <f t="array" ref="E469">_xlfn.IFERROR(IF(INDEX('Diseases'!G2:G4303,MATCH(C469,'Diseases'!D2:D4303,0))="","",INDEX('Diseases'!G2:G4303,MATCH(C469,'Diseases'!D2:D4303,0))),"")</f>
        <v>3342831</v>
      </c>
      <c r="F469" s="23" cm="1">
        <f t="array" ref="F469">_xlfn.IFERROR(IF(E469="","",D469/E469*100000),"")</f>
        <v>2252.372315561270</v>
      </c>
    </row>
    <row r="470" ht="13.65" customHeight="1">
      <c r="A470" t="s" s="24">
        <v>34</v>
      </c>
      <c r="B470" t="s" s="21">
        <v>62</v>
      </c>
      <c r="C470" t="s" s="21">
        <v>47</v>
      </c>
      <c r="D470" s="22" cm="1">
        <f t="array" ref="D470">_xlfn.SUMIFS('Diseases'!F2:F4303,'Diseases'!B2:B4303,A470,'Diseases'!C2:C4303,B470,'Diseases'!D2:D4303,C470)</f>
        <v>22661</v>
      </c>
      <c r="E470" s="22" cm="1">
        <f t="array" ref="E470">_xlfn.IFERROR(IF(INDEX('Diseases'!G2:G4303,MATCH(C470,'Diseases'!D2:D4303,0))="","",INDEX('Diseases'!G2:G4303,MATCH(C470,'Diseases'!D2:D4303,0))),"")</f>
        <v>3342831</v>
      </c>
      <c r="F470" s="23" cm="1">
        <f t="array" ref="F470">_xlfn.IFERROR(IF(E470="","",D470/E470*100000),"")</f>
        <v>677.898463906790</v>
      </c>
    </row>
    <row r="471" ht="13.65" customHeight="1">
      <c r="A471" t="s" s="29">
        <v>39</v>
      </c>
      <c r="B471" t="s" s="21">
        <v>62</v>
      </c>
      <c r="C471" t="s" s="21">
        <v>47</v>
      </c>
      <c r="D471" s="22" cm="1">
        <f t="array" ref="D471">_xlfn.SUMIFS('Diseases'!F2:F4303,'Diseases'!B2:B4303,A471,'Diseases'!C2:C4303,B471,'Diseases'!D2:D4303,C471)</f>
        <v>17323</v>
      </c>
      <c r="E471" s="22" cm="1">
        <f t="array" ref="E471">_xlfn.IFERROR(IF(INDEX('Diseases'!G2:G4303,MATCH(C471,'Diseases'!D2:D4303,0))="","",INDEX('Diseases'!G2:G4303,MATCH(C471,'Diseases'!D2:D4303,0))),"")</f>
        <v>3342831</v>
      </c>
      <c r="F471" s="23" cm="1">
        <f t="array" ref="F471">_xlfn.IFERROR(IF(E471="","",D471/E471*100000),"")</f>
        <v>518.213454404366</v>
      </c>
    </row>
    <row r="472" ht="13.65" customHeight="1">
      <c r="A472" t="s" s="31">
        <v>45</v>
      </c>
      <c r="B472" t="s" s="21">
        <v>62</v>
      </c>
      <c r="C472" t="s" s="21">
        <v>47</v>
      </c>
      <c r="D472" s="22" cm="1">
        <f t="array" ref="D472">_xlfn.SUMIFS('Diseases'!F2:F4303,'Diseases'!B2:B4303,A472,'Diseases'!C2:C4303,B472,'Diseases'!D2:D4303,C472)</f>
        <v>11526</v>
      </c>
      <c r="E472" s="22" cm="1">
        <f t="array" ref="E472">_xlfn.IFERROR(IF(INDEX('Diseases'!G2:G4303,MATCH(C472,'Diseases'!D2:D4303,0))="","",INDEX('Diseases'!G2:G4303,MATCH(C472,'Diseases'!D2:D4303,0))),"")</f>
        <v>3342831</v>
      </c>
      <c r="F472" s="23" cm="1">
        <f t="array" ref="F472">_xlfn.IFERROR(IF(E472="","",D472/E472*100000),"")</f>
        <v>344.797568288675</v>
      </c>
    </row>
    <row r="473" ht="13.65" customHeight="1">
      <c r="A473" t="s" s="26">
        <v>36</v>
      </c>
      <c r="B473" t="s" s="21">
        <v>62</v>
      </c>
      <c r="C473" t="s" s="21">
        <v>47</v>
      </c>
      <c r="D473" s="22" cm="1">
        <f t="array" ref="D473">_xlfn.SUMIFS('Diseases'!F2:F4303,'Diseases'!B2:B4303,A473,'Diseases'!C2:C4303,B473,'Diseases'!D2:D4303,C473)</f>
        <v>7684</v>
      </c>
      <c r="E473" s="22" cm="1">
        <f t="array" ref="E473">_xlfn.IFERROR(IF(INDEX('Diseases'!G2:G4303,MATCH(C473,'Diseases'!D2:D4303,0))="","",INDEX('Diseases'!G2:G4303,MATCH(C473,'Diseases'!D2:D4303,0))),"")</f>
        <v>3342831</v>
      </c>
      <c r="F473" s="23" cm="1">
        <f t="array" ref="F473">_xlfn.IFERROR(IF(E473="","",D473/E473*100000),"")</f>
        <v>229.865045525783</v>
      </c>
    </row>
    <row r="474" ht="13.65" customHeight="1">
      <c r="A474" t="s" s="20">
        <v>30</v>
      </c>
      <c r="B474" t="s" s="21">
        <v>63</v>
      </c>
      <c r="C474" t="s" s="21">
        <v>47</v>
      </c>
      <c r="D474" s="22" cm="1">
        <f t="array" ref="D474">_xlfn.SUMIFS('Diseases'!F2:F4303,'Diseases'!B2:B4303,A474,'Diseases'!C2:C4303,B474,'Diseases'!D2:D4303,C474)</f>
        <v>6736</v>
      </c>
      <c r="E474" s="22" cm="1">
        <f t="array" ref="E474">_xlfn.IFERROR(IF(INDEX('Diseases'!G2:G4303,MATCH(C474,'Diseases'!D2:D4303,0))="","",INDEX('Diseases'!G2:G4303,MATCH(C474,'Diseases'!D2:D4303,0))),"")</f>
        <v>3342831</v>
      </c>
      <c r="F474" s="23" cm="1">
        <f t="array" ref="F474">_xlfn.IFERROR(IF(E474="","",D474/E474*100000),"")</f>
        <v>201.505849383352</v>
      </c>
    </row>
    <row r="475" ht="13.65" customHeight="1">
      <c r="A475" t="s" s="25">
        <v>35</v>
      </c>
      <c r="B475" t="s" s="21">
        <v>63</v>
      </c>
      <c r="C475" t="s" s="21">
        <v>47</v>
      </c>
      <c r="D475" s="22" cm="1">
        <f t="array" ref="D475">_xlfn.SUMIFS('Diseases'!F2:F4303,'Diseases'!B2:B4303,A475,'Diseases'!C2:C4303,B475,'Diseases'!D2:D4303,C475)</f>
        <v>5267</v>
      </c>
      <c r="E475" s="22" cm="1">
        <f t="array" ref="E475">_xlfn.IFERROR(IF(INDEX('Diseases'!G2:G4303,MATCH(C475,'Diseases'!D2:D4303,0))="","",INDEX('Diseases'!G2:G4303,MATCH(C475,'Diseases'!D2:D4303,0))),"")</f>
        <v>3342831</v>
      </c>
      <c r="F475" s="23" cm="1">
        <f t="array" ref="F475">_xlfn.IFERROR(IF(E475="","",D475/E475*100000),"")</f>
        <v>157.561061268129</v>
      </c>
    </row>
    <row r="476" ht="13.65" customHeight="1">
      <c r="A476" t="s" s="24">
        <v>34</v>
      </c>
      <c r="B476" t="s" s="21">
        <v>63</v>
      </c>
      <c r="C476" t="s" s="21">
        <v>47</v>
      </c>
      <c r="D476" s="22" cm="1">
        <f t="array" ref="D476">_xlfn.SUMIFS('Diseases'!F2:F4303,'Diseases'!B2:B4303,A476,'Diseases'!C2:C4303,B476,'Diseases'!D2:D4303,C476)</f>
        <v>1477</v>
      </c>
      <c r="E476" s="22" cm="1">
        <f t="array" ref="E476">_xlfn.IFERROR(IF(INDEX('Diseases'!G2:G4303,MATCH(C476,'Diseases'!D2:D4303,0))="","",INDEX('Diseases'!G2:G4303,MATCH(C476,'Diseases'!D2:D4303,0))),"")</f>
        <v>3342831</v>
      </c>
      <c r="F476" s="23" cm="1">
        <f t="array" ref="F476">_xlfn.IFERROR(IF(E476="","",D476/E476*100000),"")</f>
        <v>44.1841062261299</v>
      </c>
    </row>
    <row r="477" ht="13.65" customHeight="1">
      <c r="A477" t="s" s="31">
        <v>45</v>
      </c>
      <c r="B477" t="s" s="21">
        <v>63</v>
      </c>
      <c r="C477" t="s" s="21">
        <v>47</v>
      </c>
      <c r="D477" s="22" cm="1">
        <f t="array" ref="D477">_xlfn.SUMIFS('Diseases'!F2:F4303,'Diseases'!B2:B4303,A477,'Diseases'!C2:C4303,B477,'Diseases'!D2:D4303,C477)</f>
        <v>1125</v>
      </c>
      <c r="E477" s="22" cm="1">
        <f t="array" ref="E477">_xlfn.IFERROR(IF(INDEX('Diseases'!G2:G4303,MATCH(C477,'Diseases'!D2:D4303,0))="","",INDEX('Diseases'!G2:G4303,MATCH(C477,'Diseases'!D2:D4303,0))),"")</f>
        <v>3342831</v>
      </c>
      <c r="F477" s="23" cm="1">
        <f t="array" ref="F477">_xlfn.IFERROR(IF(E477="","",D477/E477*100000),"")</f>
        <v>33.6541093462398</v>
      </c>
    </row>
    <row r="478" ht="13.65" customHeight="1">
      <c r="A478" t="s" s="29">
        <v>39</v>
      </c>
      <c r="B478" t="s" s="21">
        <v>63</v>
      </c>
      <c r="C478" t="s" s="21">
        <v>47</v>
      </c>
      <c r="D478" s="22" cm="1">
        <f t="array" ref="D478">_xlfn.SUMIFS('Diseases'!F2:F4303,'Diseases'!B2:B4303,A478,'Diseases'!C2:C4303,B478,'Diseases'!D2:D4303,C478)</f>
        <v>896</v>
      </c>
      <c r="E478" s="22" cm="1">
        <f t="array" ref="E478">_xlfn.IFERROR(IF(INDEX('Diseases'!G2:G4303,MATCH(C478,'Diseases'!D2:D4303,0))="","",INDEX('Diseases'!G2:G4303,MATCH(C478,'Diseases'!D2:D4303,0))),"")</f>
        <v>3342831</v>
      </c>
      <c r="F478" s="23" cm="1">
        <f t="array" ref="F478">_xlfn.IFERROR(IF(E478="","",D478/E478*100000),"")</f>
        <v>26.8036284215385</v>
      </c>
    </row>
    <row r="479" ht="13.65" customHeight="1">
      <c r="A479" t="s" s="26">
        <v>36</v>
      </c>
      <c r="B479" t="s" s="21">
        <v>63</v>
      </c>
      <c r="C479" t="s" s="21">
        <v>47</v>
      </c>
      <c r="D479" s="22" cm="1">
        <f t="array" ref="D479">_xlfn.SUMIFS('Diseases'!F2:F4303,'Diseases'!B2:B4303,A479,'Diseases'!C2:C4303,B479,'Diseases'!D2:D4303,C479)</f>
        <v>880</v>
      </c>
      <c r="E479" s="22" cm="1">
        <f t="array" ref="E479">_xlfn.IFERROR(IF(INDEX('Diseases'!G2:G4303,MATCH(C479,'Diseases'!D2:D4303,0))="","",INDEX('Diseases'!G2:G4303,MATCH(C479,'Diseases'!D2:D4303,0))),"")</f>
        <v>3342831</v>
      </c>
      <c r="F479" s="23" cm="1">
        <f t="array" ref="F479">_xlfn.IFERROR(IF(E479="","",D479/E479*100000),"")</f>
        <v>26.3249921997253</v>
      </c>
    </row>
    <row r="480" ht="13.65" customHeight="1">
      <c r="A480" t="s" s="25">
        <v>35</v>
      </c>
      <c r="B480" t="s" s="21">
        <v>64</v>
      </c>
      <c r="C480" t="s" s="21">
        <v>47</v>
      </c>
      <c r="D480" s="22" cm="1">
        <f t="array" ref="D480">_xlfn.SUMIFS('Diseases'!F2:F4303,'Diseases'!B2:B4303,A480,'Diseases'!C2:C4303,B480,'Diseases'!D2:D4303,C480)</f>
        <v>8472</v>
      </c>
      <c r="E480" s="22" cm="1">
        <f t="array" ref="E480">_xlfn.IFERROR(IF(INDEX('Diseases'!G2:G4303,MATCH(C480,'Diseases'!D2:D4303,0))="","",INDEX('Diseases'!G2:G4303,MATCH(C480,'Diseases'!D2:D4303,0))),"")</f>
        <v>3342831</v>
      </c>
      <c r="F480" s="23" cm="1">
        <f t="array" ref="F480">_xlfn.IFERROR(IF(E480="","",D480/E480*100000),"")</f>
        <v>253.437879450083</v>
      </c>
    </row>
    <row r="481" ht="13.65" customHeight="1">
      <c r="A481" t="s" s="20">
        <v>30</v>
      </c>
      <c r="B481" t="s" s="21">
        <v>64</v>
      </c>
      <c r="C481" t="s" s="21">
        <v>47</v>
      </c>
      <c r="D481" s="22" cm="1">
        <f t="array" ref="D481">_xlfn.SUMIFS('Diseases'!F2:F4303,'Diseases'!B2:B4303,A481,'Diseases'!C2:C4303,B481,'Diseases'!D2:D4303,C481)</f>
        <v>5346</v>
      </c>
      <c r="E481" s="22" cm="1">
        <f t="array" ref="E481">_xlfn.IFERROR(IF(INDEX('Diseases'!G2:G4303,MATCH(C481,'Diseases'!D2:D4303,0))="","",INDEX('Diseases'!G2:G4303,MATCH(C481,'Diseases'!D2:D4303,0))),"")</f>
        <v>3342831</v>
      </c>
      <c r="F481" s="23" cm="1">
        <f t="array" ref="F481">_xlfn.IFERROR(IF(E481="","",D481/E481*100000),"")</f>
        <v>159.924327613331</v>
      </c>
    </row>
    <row r="482" ht="13.65" customHeight="1">
      <c r="A482" t="s" s="24">
        <v>34</v>
      </c>
      <c r="B482" t="s" s="21">
        <v>64</v>
      </c>
      <c r="C482" t="s" s="21">
        <v>47</v>
      </c>
      <c r="D482" s="22" cm="1">
        <f t="array" ref="D482">_xlfn.SUMIFS('Diseases'!F2:F4303,'Diseases'!B2:B4303,A482,'Diseases'!C2:C4303,B482,'Diseases'!D2:D4303,C482)</f>
        <v>1415</v>
      </c>
      <c r="E482" s="22" cm="1">
        <f t="array" ref="E482">_xlfn.IFERROR(IF(INDEX('Diseases'!G2:G4303,MATCH(C482,'Diseases'!D2:D4303,0))="","",INDEX('Diseases'!G2:G4303,MATCH(C482,'Diseases'!D2:D4303,0))),"")</f>
        <v>3342831</v>
      </c>
      <c r="F482" s="23" cm="1">
        <f t="array" ref="F482">_xlfn.IFERROR(IF(E482="","",D482/E482*100000),"")</f>
        <v>42.3293908666038</v>
      </c>
    </row>
    <row r="483" ht="13.65" customHeight="1">
      <c r="A483" t="s" s="29">
        <v>39</v>
      </c>
      <c r="B483" t="s" s="21">
        <v>64</v>
      </c>
      <c r="C483" t="s" s="21">
        <v>47</v>
      </c>
      <c r="D483" s="22" cm="1">
        <f t="array" ref="D483">_xlfn.SUMIFS('Diseases'!F2:F4303,'Diseases'!B2:B4303,A483,'Diseases'!C2:C4303,B483,'Diseases'!D2:D4303,C483)</f>
        <v>1220</v>
      </c>
      <c r="E483" s="22" cm="1">
        <f t="array" ref="E483">_xlfn.IFERROR(IF(INDEX('Diseases'!G2:G4303,MATCH(C483,'Diseases'!D2:D4303,0))="","",INDEX('Diseases'!G2:G4303,MATCH(C483,'Diseases'!D2:D4303,0))),"")</f>
        <v>3342831</v>
      </c>
      <c r="F483" s="23" cm="1">
        <f t="array" ref="F483">_xlfn.IFERROR(IF(E483="","",D483/E483*100000),"")</f>
        <v>36.4960119132556</v>
      </c>
    </row>
    <row r="484" ht="13.65" customHeight="1">
      <c r="A484" t="s" s="26">
        <v>36</v>
      </c>
      <c r="B484" t="s" s="21">
        <v>64</v>
      </c>
      <c r="C484" t="s" s="21">
        <v>47</v>
      </c>
      <c r="D484" s="22" cm="1">
        <f t="array" ref="D484">_xlfn.SUMIFS('Diseases'!F2:F4303,'Diseases'!B2:B4303,A484,'Diseases'!C2:C4303,B484,'Diseases'!D2:D4303,C484)</f>
        <v>1070</v>
      </c>
      <c r="E484" s="22" cm="1">
        <f t="array" ref="E484">_xlfn.IFERROR(IF(INDEX('Diseases'!G2:G4303,MATCH(C484,'Diseases'!D2:D4303,0))="","",INDEX('Diseases'!G2:G4303,MATCH(C484,'Diseases'!D2:D4303,0))),"")</f>
        <v>3342831</v>
      </c>
      <c r="F484" s="23" cm="1">
        <f t="array" ref="F484">_xlfn.IFERROR(IF(E484="","",D484/E484*100000),"")</f>
        <v>32.0087973337569</v>
      </c>
    </row>
    <row r="485" ht="13.65" customHeight="1">
      <c r="A485" t="s" s="31">
        <v>45</v>
      </c>
      <c r="B485" t="s" s="21">
        <v>64</v>
      </c>
      <c r="C485" t="s" s="21">
        <v>47</v>
      </c>
      <c r="D485" s="22" cm="1">
        <f t="array" ref="D485">_xlfn.SUMIFS('Diseases'!F2:F4303,'Diseases'!B2:B4303,A485,'Diseases'!C2:C4303,B485,'Diseases'!D2:D4303,C485)</f>
        <v>751</v>
      </c>
      <c r="E485" s="22" cm="1">
        <f t="array" ref="E485">_xlfn.IFERROR(IF(INDEX('Diseases'!G2:G4303,MATCH(C485,'Diseases'!D2:D4303,0))="","",INDEX('Diseases'!G2:G4303,MATCH(C485,'Diseases'!D2:D4303,0))),"")</f>
        <v>3342831</v>
      </c>
      <c r="F485" s="23" cm="1">
        <f t="array" ref="F485">_xlfn.IFERROR(IF(E485="","",D485/E485*100000),"")</f>
        <v>22.4659876613565</v>
      </c>
    </row>
    <row r="486" ht="13.65" customHeight="1">
      <c r="A486" t="s" s="27">
        <v>37</v>
      </c>
      <c r="B486" t="s" s="21">
        <v>64</v>
      </c>
      <c r="C486" t="s" s="21">
        <v>47</v>
      </c>
      <c r="D486" s="22" cm="1">
        <f t="array" ref="D486">_xlfn.SUMIFS('Diseases'!F2:F4303,'Diseases'!B2:B4303,A486,'Diseases'!C2:C4303,B486,'Diseases'!D2:D4303,C486)</f>
        <v>452</v>
      </c>
      <c r="E486" s="22" cm="1">
        <f t="array" ref="E486">_xlfn.IFERROR(IF(INDEX('Diseases'!G2:G4303,MATCH(C486,'Diseases'!D2:D4303,0))="","",INDEX('Diseases'!G2:G4303,MATCH(C486,'Diseases'!D2:D4303,0))),"")</f>
        <v>3342831</v>
      </c>
      <c r="F486" s="23" cm="1">
        <f t="array" ref="F486">_xlfn.IFERROR(IF(E486="","",D486/E486*100000),"")</f>
        <v>13.5214732662226</v>
      </c>
    </row>
    <row r="487" ht="13.65" customHeight="1">
      <c r="A487" t="s" s="20">
        <v>30</v>
      </c>
      <c r="B487" t="s" s="21">
        <v>65</v>
      </c>
      <c r="C487" t="s" s="21">
        <v>47</v>
      </c>
      <c r="D487" s="22" cm="1">
        <f t="array" ref="D487">_xlfn.SUMIFS('Diseases'!F2:F4303,'Diseases'!B2:B4303,A487,'Diseases'!C2:C4303,B487,'Diseases'!D2:D4303,C487)</f>
        <v>6460</v>
      </c>
      <c r="E487" s="22" cm="1">
        <f t="array" ref="E487">_xlfn.IFERROR(IF(INDEX('Diseases'!G2:G4303,MATCH(C487,'Diseases'!D2:D4303,0))="","",INDEX('Diseases'!G2:G4303,MATCH(C487,'Diseases'!D2:D4303,0))),"")</f>
        <v>3342831</v>
      </c>
      <c r="F487" s="23" cm="1">
        <f t="array" ref="F487">_xlfn.IFERROR(IF(E487="","",D487/E487*100000),"")</f>
        <v>193.249374557075</v>
      </c>
    </row>
    <row r="488" ht="13.65" customHeight="1">
      <c r="A488" t="s" s="25">
        <v>35</v>
      </c>
      <c r="B488" t="s" s="21">
        <v>65</v>
      </c>
      <c r="C488" t="s" s="21">
        <v>47</v>
      </c>
      <c r="D488" s="22" cm="1">
        <f t="array" ref="D488">_xlfn.SUMIFS('Diseases'!F2:F4303,'Diseases'!B2:B4303,A488,'Diseases'!C2:C4303,B488,'Diseases'!D2:D4303,C488)</f>
        <v>6230</v>
      </c>
      <c r="E488" s="22" cm="1">
        <f t="array" ref="E488">_xlfn.IFERROR(IF(INDEX('Diseases'!G2:G4303,MATCH(C488,'Diseases'!D2:D4303,0))="","",INDEX('Diseases'!G2:G4303,MATCH(C488,'Diseases'!D2:D4303,0))),"")</f>
        <v>3342831</v>
      </c>
      <c r="F488" s="23" cm="1">
        <f t="array" ref="F488">_xlfn.IFERROR(IF(E488="","",D488/E488*100000),"")</f>
        <v>186.368978868510</v>
      </c>
    </row>
    <row r="489" ht="13.65" customHeight="1">
      <c r="A489" t="s" s="24">
        <v>34</v>
      </c>
      <c r="B489" t="s" s="21">
        <v>65</v>
      </c>
      <c r="C489" t="s" s="21">
        <v>47</v>
      </c>
      <c r="D489" s="22" cm="1">
        <f t="array" ref="D489">_xlfn.SUMIFS('Diseases'!F2:F4303,'Diseases'!B2:B4303,A489,'Diseases'!C2:C4303,B489,'Diseases'!D2:D4303,C489)</f>
        <v>1492</v>
      </c>
      <c r="E489" s="22" cm="1">
        <f t="array" ref="E489">_xlfn.IFERROR(IF(INDEX('Diseases'!G2:G4303,MATCH(C489,'Diseases'!D2:D4303,0))="","",INDEX('Diseases'!G2:G4303,MATCH(C489,'Diseases'!D2:D4303,0))),"")</f>
        <v>3342831</v>
      </c>
      <c r="F489" s="23" cm="1">
        <f t="array" ref="F489">_xlfn.IFERROR(IF(E489="","",D489/E489*100000),"")</f>
        <v>44.6328276840798</v>
      </c>
    </row>
    <row r="490" ht="13.65" customHeight="1">
      <c r="A490" t="s" s="31">
        <v>45</v>
      </c>
      <c r="B490" t="s" s="21">
        <v>65</v>
      </c>
      <c r="C490" t="s" s="21">
        <v>47</v>
      </c>
      <c r="D490" s="22" cm="1">
        <f t="array" ref="D490">_xlfn.SUMIFS('Diseases'!F2:F4303,'Diseases'!B2:B4303,A490,'Diseases'!C2:C4303,B490,'Diseases'!D2:D4303,C490)</f>
        <v>1218</v>
      </c>
      <c r="E490" s="22" cm="1">
        <f t="array" ref="E490">_xlfn.IFERROR(IF(INDEX('Diseases'!G2:G4303,MATCH(C490,'Diseases'!D2:D4303,0))="","",INDEX('Diseases'!G2:G4303,MATCH(C490,'Diseases'!D2:D4303,0))),"")</f>
        <v>3342831</v>
      </c>
      <c r="F490" s="23" cm="1">
        <f t="array" ref="F490">_xlfn.IFERROR(IF(E490="","",D490/E490*100000),"")</f>
        <v>36.4361823855289</v>
      </c>
    </row>
    <row r="491" ht="13.65" customHeight="1">
      <c r="A491" t="s" s="29">
        <v>39</v>
      </c>
      <c r="B491" t="s" s="21">
        <v>65</v>
      </c>
      <c r="C491" t="s" s="21">
        <v>47</v>
      </c>
      <c r="D491" s="22" cm="1">
        <f t="array" ref="D491">_xlfn.SUMIFS('Diseases'!F2:F4303,'Diseases'!B2:B4303,A491,'Diseases'!C2:C4303,B491,'Diseases'!D2:D4303,C491)</f>
        <v>1158</v>
      </c>
      <c r="E491" s="22" cm="1">
        <f t="array" ref="E491">_xlfn.IFERROR(IF(INDEX('Diseases'!G2:G4303,MATCH(C491,'Diseases'!D2:D4303,0))="","",INDEX('Diseases'!G2:G4303,MATCH(C491,'Diseases'!D2:D4303,0))),"")</f>
        <v>3342831</v>
      </c>
      <c r="F491" s="23" cm="1">
        <f t="array" ref="F491">_xlfn.IFERROR(IF(E491="","",D491/E491*100000),"")</f>
        <v>34.6412965537295</v>
      </c>
    </row>
    <row r="492" ht="13.65" customHeight="1">
      <c r="A492" t="s" s="26">
        <v>36</v>
      </c>
      <c r="B492" t="s" s="21">
        <v>65</v>
      </c>
      <c r="C492" t="s" s="21">
        <v>47</v>
      </c>
      <c r="D492" s="22" cm="1">
        <f t="array" ref="D492">_xlfn.SUMIFS('Diseases'!F2:F4303,'Diseases'!B2:B4303,A492,'Diseases'!C2:C4303,B492,'Diseases'!D2:D4303,C492)</f>
        <v>1057</v>
      </c>
      <c r="E492" s="22" cm="1">
        <f t="array" ref="E492">_xlfn.IFERROR(IF(INDEX('Diseases'!G2:G4303,MATCH(C492,'Diseases'!D2:D4303,0))="","",INDEX('Diseases'!G2:G4303,MATCH(C492,'Diseases'!D2:D4303,0))),"")</f>
        <v>3342831</v>
      </c>
      <c r="F492" s="23" cm="1">
        <f t="array" ref="F492">_xlfn.IFERROR(IF(E492="","",D492/E492*100000),"")</f>
        <v>31.6199054035337</v>
      </c>
    </row>
    <row r="493" ht="13.65" customHeight="1">
      <c r="A493" t="s" s="20">
        <v>30</v>
      </c>
      <c r="B493" t="s" s="21">
        <v>66</v>
      </c>
      <c r="C493" t="s" s="21">
        <v>47</v>
      </c>
      <c r="D493" s="22" cm="1">
        <f t="array" ref="D493">_xlfn.SUMIFS('Diseases'!F2:F4303,'Diseases'!B2:B4303,A493,'Diseases'!C2:C4303,B493,'Diseases'!D2:D4303,C493)</f>
        <v>7185</v>
      </c>
      <c r="E493" s="22" cm="1">
        <f t="array" ref="E493">_xlfn.IFERROR(IF(INDEX('Diseases'!G2:G4303,MATCH(C493,'Diseases'!D2:D4303,0))="","",INDEX('Diseases'!G2:G4303,MATCH(C493,'Diseases'!D2:D4303,0))),"")</f>
        <v>3342831</v>
      </c>
      <c r="F493" s="23" cm="1">
        <f t="array" ref="F493">_xlfn.IFERROR(IF(E493="","",D493/E493*100000),"")</f>
        <v>214.937578357985</v>
      </c>
    </row>
    <row r="494" ht="13.65" customHeight="1">
      <c r="A494" t="s" s="25">
        <v>35</v>
      </c>
      <c r="B494" t="s" s="21">
        <v>66</v>
      </c>
      <c r="C494" t="s" s="21">
        <v>47</v>
      </c>
      <c r="D494" s="22" cm="1">
        <f t="array" ref="D494">_xlfn.SUMIFS('Diseases'!F2:F4303,'Diseases'!B2:B4303,A494,'Diseases'!C2:C4303,B494,'Diseases'!D2:D4303,C494)</f>
        <v>4848</v>
      </c>
      <c r="E494" s="22" cm="1">
        <f t="array" ref="E494">_xlfn.IFERROR(IF(INDEX('Diseases'!G2:G4303,MATCH(C494,'Diseases'!D2:D4303,0))="","",INDEX('Diseases'!G2:G4303,MATCH(C494,'Diseases'!D2:D4303,0))),"")</f>
        <v>3342831</v>
      </c>
      <c r="F494" s="23" cm="1">
        <f t="array" ref="F494">_xlfn.IFERROR(IF(E494="","",D494/E494*100000),"")</f>
        <v>145.026775209396</v>
      </c>
    </row>
    <row r="495" ht="13.65" customHeight="1">
      <c r="A495" t="s" s="24">
        <v>34</v>
      </c>
      <c r="B495" t="s" s="21">
        <v>66</v>
      </c>
      <c r="C495" t="s" s="21">
        <v>47</v>
      </c>
      <c r="D495" s="22" cm="1">
        <f t="array" ref="D495">_xlfn.SUMIFS('Diseases'!F2:F4303,'Diseases'!B2:B4303,A495,'Diseases'!C2:C4303,B495,'Diseases'!D2:D4303,C495)</f>
        <v>1433</v>
      </c>
      <c r="E495" s="22" cm="1">
        <f t="array" ref="E495">_xlfn.IFERROR(IF(INDEX('Diseases'!G2:G4303,MATCH(C495,'Diseases'!D2:D4303,0))="","",INDEX('Diseases'!G2:G4303,MATCH(C495,'Diseases'!D2:D4303,0))),"")</f>
        <v>3342831</v>
      </c>
      <c r="F495" s="23" cm="1">
        <f t="array" ref="F495">_xlfn.IFERROR(IF(E495="","",D495/E495*100000),"")</f>
        <v>42.8678566161436</v>
      </c>
    </row>
    <row r="496" ht="13.65" customHeight="1">
      <c r="A496" t="s" s="29">
        <v>39</v>
      </c>
      <c r="B496" t="s" s="21">
        <v>66</v>
      </c>
      <c r="C496" t="s" s="21">
        <v>47</v>
      </c>
      <c r="D496" s="22" cm="1">
        <f t="array" ref="D496">_xlfn.SUMIFS('Diseases'!F2:F4303,'Diseases'!B2:B4303,A496,'Diseases'!C2:C4303,B496,'Diseases'!D2:D4303,C496)</f>
        <v>1192</v>
      </c>
      <c r="E496" s="22" cm="1">
        <f t="array" ref="E496">_xlfn.IFERROR(IF(INDEX('Diseases'!G2:G4303,MATCH(C496,'Diseases'!D2:D4303,0))="","",INDEX('Diseases'!G2:G4303,MATCH(C496,'Diseases'!D2:D4303,0))),"")</f>
        <v>3342831</v>
      </c>
      <c r="F496" s="23" cm="1">
        <f t="array" ref="F496">_xlfn.IFERROR(IF(E496="","",D496/E496*100000),"")</f>
        <v>35.6583985250825</v>
      </c>
    </row>
    <row r="497" ht="13.65" customHeight="1">
      <c r="A497" t="s" s="31">
        <v>45</v>
      </c>
      <c r="B497" t="s" s="21">
        <v>66</v>
      </c>
      <c r="C497" t="s" s="21">
        <v>47</v>
      </c>
      <c r="D497" s="22" cm="1">
        <f t="array" ref="D497">_xlfn.SUMIFS('Diseases'!F2:F4303,'Diseases'!B2:B4303,A497,'Diseases'!C2:C4303,B497,'Diseases'!D2:D4303,C497)</f>
        <v>1078</v>
      </c>
      <c r="E497" s="22" cm="1">
        <f t="array" ref="E497">_xlfn.IFERROR(IF(INDEX('Diseases'!G2:G4303,MATCH(C497,'Diseases'!D2:D4303,0))="","",INDEX('Diseases'!G2:G4303,MATCH(C497,'Diseases'!D2:D4303,0))),"")</f>
        <v>3342831</v>
      </c>
      <c r="F497" s="23" cm="1">
        <f t="array" ref="F497">_xlfn.IFERROR(IF(E497="","",D497/E497*100000),"")</f>
        <v>32.2481154446635</v>
      </c>
    </row>
    <row r="498" ht="13.65" customHeight="1">
      <c r="A498" t="s" s="28">
        <v>41</v>
      </c>
      <c r="B498" t="s" s="21">
        <v>66</v>
      </c>
      <c r="C498" t="s" s="21">
        <v>47</v>
      </c>
      <c r="D498" s="22" cm="1">
        <f t="array" ref="D498">_xlfn.SUMIFS('Diseases'!F2:F4303,'Diseases'!B2:B4303,A498,'Diseases'!C2:C4303,B498,'Diseases'!D2:D4303,C498)</f>
        <v>449</v>
      </c>
      <c r="E498" s="22" cm="1">
        <f t="array" ref="E498">_xlfn.IFERROR(IF(INDEX('Diseases'!G2:G4303,MATCH(C498,'Diseases'!D2:D4303,0))="","",INDEX('Diseases'!G2:G4303,MATCH(C498,'Diseases'!D2:D4303,0))),"")</f>
        <v>3342831</v>
      </c>
      <c r="F498" s="23" cm="1">
        <f t="array" ref="F498">_xlfn.IFERROR(IF(E498="","",D498/E498*100000),"")</f>
        <v>13.4317289746326</v>
      </c>
    </row>
    <row r="499" ht="13.65" customHeight="1">
      <c r="A499" t="s" s="20">
        <v>30</v>
      </c>
      <c r="B499" t="s" s="21">
        <v>67</v>
      </c>
      <c r="C499" t="s" s="21">
        <v>47</v>
      </c>
      <c r="D499" s="22" cm="1">
        <f t="array" ref="D499">_xlfn.SUMIFS('Diseases'!F2:F4303,'Diseases'!B2:B4303,A499,'Diseases'!C2:C4303,B499,'Diseases'!D2:D4303,C499)</f>
        <v>6868</v>
      </c>
      <c r="E499" s="22" cm="1">
        <f t="array" ref="E499">_xlfn.IFERROR(IF(INDEX('Diseases'!G2:G4303,MATCH(C499,'Diseases'!D2:D4303,0))="","",INDEX('Diseases'!G2:G4303,MATCH(C499,'Diseases'!D2:D4303,0))),"")</f>
        <v>3342831</v>
      </c>
      <c r="F499" s="23" cm="1">
        <f t="array" ref="F499">_xlfn.IFERROR(IF(E499="","",D499/E499*100000),"")</f>
        <v>205.454598213311</v>
      </c>
    </row>
    <row r="500" ht="13.65" customHeight="1">
      <c r="A500" t="s" s="25">
        <v>35</v>
      </c>
      <c r="B500" t="s" s="21">
        <v>67</v>
      </c>
      <c r="C500" t="s" s="21">
        <v>47</v>
      </c>
      <c r="D500" s="22" cm="1">
        <f t="array" ref="D500">_xlfn.SUMIFS('Diseases'!F2:F4303,'Diseases'!B2:B4303,A500,'Diseases'!C2:C4303,B500,'Diseases'!D2:D4303,C500)</f>
        <v>4768</v>
      </c>
      <c r="E500" s="22" cm="1">
        <f t="array" ref="E500">_xlfn.IFERROR(IF(INDEX('Diseases'!G2:G4303,MATCH(C500,'Diseases'!D2:D4303,0))="","",INDEX('Diseases'!G2:G4303,MATCH(C500,'Diseases'!D2:D4303,0))),"")</f>
        <v>3342831</v>
      </c>
      <c r="F500" s="23" cm="1">
        <f t="array" ref="F500">_xlfn.IFERROR(IF(E500="","",D500/E500*100000),"")</f>
        <v>142.633594100330</v>
      </c>
    </row>
    <row r="501" ht="13.65" customHeight="1">
      <c r="A501" t="s" s="24">
        <v>34</v>
      </c>
      <c r="B501" t="s" s="21">
        <v>67</v>
      </c>
      <c r="C501" t="s" s="21">
        <v>47</v>
      </c>
      <c r="D501" s="22" cm="1">
        <f t="array" ref="D501">_xlfn.SUMIFS('Diseases'!F2:F4303,'Diseases'!B2:B4303,A501,'Diseases'!C2:C4303,B501,'Diseases'!D2:D4303,C501)</f>
        <v>1108</v>
      </c>
      <c r="E501" s="22" cm="1">
        <f t="array" ref="E501">_xlfn.IFERROR(IF(INDEX('Diseases'!G2:G4303,MATCH(C501,'Diseases'!D2:D4303,0))="","",INDEX('Diseases'!G2:G4303,MATCH(C501,'Diseases'!D2:D4303,0))),"")</f>
        <v>3342831</v>
      </c>
      <c r="F501" s="23" cm="1">
        <f t="array" ref="F501">_xlfn.IFERROR(IF(E501="","",D501/E501*100000),"")</f>
        <v>33.1455583605632</v>
      </c>
    </row>
    <row r="502" ht="13.65" customHeight="1">
      <c r="A502" t="s" s="29">
        <v>39</v>
      </c>
      <c r="B502" t="s" s="21">
        <v>67</v>
      </c>
      <c r="C502" t="s" s="21">
        <v>47</v>
      </c>
      <c r="D502" s="22" cm="1">
        <f t="array" ref="D502">_xlfn.SUMIFS('Diseases'!F2:F4303,'Diseases'!B2:B4303,A502,'Diseases'!C2:C4303,B502,'Diseases'!D2:D4303,C502)</f>
        <v>965</v>
      </c>
      <c r="E502" s="22" cm="1">
        <f t="array" ref="E502">_xlfn.IFERROR(IF(INDEX('Diseases'!G2:G4303,MATCH(C502,'Diseases'!D2:D4303,0))="","",INDEX('Diseases'!G2:G4303,MATCH(C502,'Diseases'!D2:D4303,0))),"")</f>
        <v>3342831</v>
      </c>
      <c r="F502" s="23" cm="1">
        <f t="array" ref="F502">_xlfn.IFERROR(IF(E502="","",D502/E502*100000),"")</f>
        <v>28.8677471281079</v>
      </c>
    </row>
    <row r="503" ht="13.65" customHeight="1">
      <c r="A503" t="s" s="31">
        <v>45</v>
      </c>
      <c r="B503" t="s" s="21">
        <v>67</v>
      </c>
      <c r="C503" t="s" s="21">
        <v>47</v>
      </c>
      <c r="D503" s="22" cm="1">
        <f t="array" ref="D503">_xlfn.SUMIFS('Diseases'!F2:F4303,'Diseases'!B2:B4303,A503,'Diseases'!C2:C4303,B503,'Diseases'!D2:D4303,C503)</f>
        <v>598</v>
      </c>
      <c r="E503" s="22" cm="1">
        <f t="array" ref="E503">_xlfn.IFERROR(IF(INDEX('Diseases'!G2:G4303,MATCH(C503,'Diseases'!D2:D4303,0))="","",INDEX('Diseases'!G2:G4303,MATCH(C503,'Diseases'!D2:D4303,0))),"")</f>
        <v>3342831</v>
      </c>
      <c r="F503" s="23" cm="1">
        <f t="array" ref="F503">_xlfn.IFERROR(IF(E503="","",D503/E503*100000),"")</f>
        <v>17.8890287902679</v>
      </c>
    </row>
    <row r="504" ht="13.65" customHeight="1">
      <c r="A504" t="s" s="28">
        <v>41</v>
      </c>
      <c r="B504" t="s" s="21">
        <v>67</v>
      </c>
      <c r="C504" t="s" s="21">
        <v>47</v>
      </c>
      <c r="D504" s="22" cm="1">
        <f t="array" ref="D504">_xlfn.SUMIFS('Diseases'!F2:F4303,'Diseases'!B2:B4303,A504,'Diseases'!C2:C4303,B504,'Diseases'!D2:D4303,C504)</f>
        <v>541</v>
      </c>
      <c r="E504" s="22" cm="1">
        <f t="array" ref="E504">_xlfn.IFERROR(IF(INDEX('Diseases'!G2:G4303,MATCH(C504,'Diseases'!D2:D4303,0))="","",INDEX('Diseases'!G2:G4303,MATCH(C504,'Diseases'!D2:D4303,0))),"")</f>
        <v>3342831</v>
      </c>
      <c r="F504" s="23" cm="1">
        <f t="array" ref="F504">_xlfn.IFERROR(IF(E504="","",D504/E504*100000),"")</f>
        <v>16.1838872500584</v>
      </c>
    </row>
    <row r="505" ht="13.65" customHeight="1">
      <c r="A505" t="s" s="27">
        <v>37</v>
      </c>
      <c r="B505" t="s" s="21">
        <v>67</v>
      </c>
      <c r="C505" t="s" s="21">
        <v>47</v>
      </c>
      <c r="D505" s="22" cm="1">
        <f t="array" ref="D505">_xlfn.SUMIFS('Diseases'!F2:F4303,'Diseases'!B2:B4303,A505,'Diseases'!C2:C4303,B505,'Diseases'!D2:D4303,C505)</f>
        <v>370</v>
      </c>
      <c r="E505" s="22" cm="1">
        <f t="array" ref="E505">_xlfn.IFERROR(IF(INDEX('Diseases'!G2:G4303,MATCH(C505,'Diseases'!D2:D4303,0))="","",INDEX('Diseases'!G2:G4303,MATCH(C505,'Diseases'!D2:D4303,0))),"")</f>
        <v>3342831</v>
      </c>
      <c r="F505" s="23" cm="1">
        <f t="array" ref="F505">_xlfn.IFERROR(IF(E505="","",D505/E505*100000),"")</f>
        <v>11.068462629430</v>
      </c>
    </row>
    <row r="506" ht="13.65" customHeight="1">
      <c r="A506" t="s" s="20">
        <v>30</v>
      </c>
      <c r="B506" t="s" s="21">
        <v>68</v>
      </c>
      <c r="C506" t="s" s="21">
        <v>47</v>
      </c>
      <c r="D506" s="22" cm="1">
        <f t="array" ref="D506">_xlfn.SUMIFS('Diseases'!F2:F4303,'Diseases'!B2:B4303,A506,'Diseases'!C2:C4303,B506,'Diseases'!D2:D4303,C506)</f>
        <v>11184</v>
      </c>
      <c r="E506" s="22" cm="1">
        <f t="array" ref="E506">_xlfn.IFERROR(IF(INDEX('Diseases'!G2:G4303,MATCH(C506,'Diseases'!D2:D4303,0))="","",INDEX('Diseases'!G2:G4303,MATCH(C506,'Diseases'!D2:D4303,0))),"")</f>
        <v>3342831</v>
      </c>
      <c r="F506" s="23" cm="1">
        <f t="array" ref="F506">_xlfn.IFERROR(IF(E506="","",D506/E506*100000),"")</f>
        <v>334.566719047418</v>
      </c>
    </row>
    <row r="507" ht="13.65" customHeight="1">
      <c r="A507" t="s" s="25">
        <v>35</v>
      </c>
      <c r="B507" t="s" s="21">
        <v>68</v>
      </c>
      <c r="C507" t="s" s="21">
        <v>47</v>
      </c>
      <c r="D507" s="22" cm="1">
        <f t="array" ref="D507">_xlfn.SUMIFS('Diseases'!F2:F4303,'Diseases'!B2:B4303,A507,'Diseases'!C2:C4303,B507,'Diseases'!D2:D4303,C507)</f>
        <v>4428</v>
      </c>
      <c r="E507" s="22" cm="1">
        <f t="array" ref="E507">_xlfn.IFERROR(IF(INDEX('Diseases'!G2:G4303,MATCH(C507,'Diseases'!D2:D4303,0))="","",INDEX('Diseases'!G2:G4303,MATCH(C507,'Diseases'!D2:D4303,0))),"")</f>
        <v>3342831</v>
      </c>
      <c r="F507" s="23" cm="1">
        <f t="array" ref="F507">_xlfn.IFERROR(IF(E507="","",D507/E507*100000),"")</f>
        <v>132.4625743868</v>
      </c>
    </row>
    <row r="508" ht="13.65" customHeight="1">
      <c r="A508" t="s" s="24">
        <v>34</v>
      </c>
      <c r="B508" t="s" s="21">
        <v>68</v>
      </c>
      <c r="C508" t="s" s="21">
        <v>47</v>
      </c>
      <c r="D508" s="22" cm="1">
        <f t="array" ref="D508">_xlfn.SUMIFS('Diseases'!F2:F4303,'Diseases'!B2:B4303,A508,'Diseases'!C2:C4303,B508,'Diseases'!D2:D4303,C508)</f>
        <v>1881</v>
      </c>
      <c r="E508" s="22" cm="1">
        <f t="array" ref="E508">_xlfn.IFERROR(IF(INDEX('Diseases'!G2:G4303,MATCH(C508,'Diseases'!D2:D4303,0))="","",INDEX('Diseases'!G2:G4303,MATCH(C508,'Diseases'!D2:D4303,0))),"")</f>
        <v>3342831</v>
      </c>
      <c r="F508" s="23" cm="1">
        <f t="array" ref="F508">_xlfn.IFERROR(IF(E508="","",D508/E508*100000),"")</f>
        <v>56.2696708269129</v>
      </c>
    </row>
    <row r="509" ht="13.65" customHeight="1">
      <c r="A509" t="s" s="29">
        <v>39</v>
      </c>
      <c r="B509" t="s" s="21">
        <v>68</v>
      </c>
      <c r="C509" t="s" s="21">
        <v>47</v>
      </c>
      <c r="D509" s="22" cm="1">
        <f t="array" ref="D509">_xlfn.SUMIFS('Diseases'!F2:F4303,'Diseases'!B2:B4303,A509,'Diseases'!C2:C4303,B509,'Diseases'!D2:D4303,C509)</f>
        <v>1276</v>
      </c>
      <c r="E509" s="22" cm="1">
        <f t="array" ref="E509">_xlfn.IFERROR(IF(INDEX('Diseases'!G2:G4303,MATCH(C509,'Diseases'!D2:D4303,0))="","",INDEX('Diseases'!G2:G4303,MATCH(C509,'Diseases'!D2:D4303,0))),"")</f>
        <v>3342831</v>
      </c>
      <c r="F509" s="23" cm="1">
        <f t="array" ref="F509">_xlfn.IFERROR(IF(E509="","",D509/E509*100000),"")</f>
        <v>38.1712386896017</v>
      </c>
    </row>
    <row r="510" ht="13.65" customHeight="1">
      <c r="A510" t="s" s="31">
        <v>45</v>
      </c>
      <c r="B510" t="s" s="21">
        <v>68</v>
      </c>
      <c r="C510" t="s" s="21">
        <v>47</v>
      </c>
      <c r="D510" s="22" cm="1">
        <f t="array" ref="D510">_xlfn.SUMIFS('Diseases'!F2:F4303,'Diseases'!B2:B4303,A510,'Diseases'!C2:C4303,B510,'Diseases'!D2:D4303,C510)</f>
        <v>1009</v>
      </c>
      <c r="E510" s="22" cm="1">
        <f t="array" ref="E510">_xlfn.IFERROR(IF(INDEX('Diseases'!G2:G4303,MATCH(C510,'Diseases'!D2:D4303,0))="","",INDEX('Diseases'!G2:G4303,MATCH(C510,'Diseases'!D2:D4303,0))),"")</f>
        <v>3342831</v>
      </c>
      <c r="F510" s="23" cm="1">
        <f t="array" ref="F510">_xlfn.IFERROR(IF(E510="","",D510/E510*100000),"")</f>
        <v>30.1839967380941</v>
      </c>
    </row>
    <row r="511" ht="13.65" customHeight="1">
      <c r="A511" t="s" s="20">
        <v>30</v>
      </c>
      <c r="B511" t="s" s="21">
        <v>69</v>
      </c>
      <c r="C511" t="s" s="21">
        <v>47</v>
      </c>
      <c r="D511" s="22" cm="1">
        <f t="array" ref="D511">_xlfn.SUMIFS('Diseases'!F2:F4303,'Diseases'!B2:B4303,A511,'Diseases'!C2:C4303,B511,'Diseases'!D2:D4303,C511)</f>
        <v>7540</v>
      </c>
      <c r="E511" s="22" cm="1">
        <f t="array" ref="E511">_xlfn.IFERROR(IF(INDEX('Diseases'!G2:G4303,MATCH(C511,'Diseases'!D2:D4303,0))="","",INDEX('Diseases'!G2:G4303,MATCH(C511,'Diseases'!D2:D4303,0))),"")</f>
        <v>3342831</v>
      </c>
      <c r="F511" s="23" cm="1">
        <f t="array" ref="F511">_xlfn.IFERROR(IF(E511="","",D511/E511*100000),"")</f>
        <v>225.557319529465</v>
      </c>
    </row>
    <row r="512" ht="13.65" customHeight="1">
      <c r="A512" t="s" s="25">
        <v>35</v>
      </c>
      <c r="B512" t="s" s="21">
        <v>69</v>
      </c>
      <c r="C512" t="s" s="21">
        <v>47</v>
      </c>
      <c r="D512" s="22" cm="1">
        <f t="array" ref="D512">_xlfn.SUMIFS('Diseases'!F2:F4303,'Diseases'!B2:B4303,A512,'Diseases'!C2:C4303,B512,'Diseases'!D2:D4303,C512)</f>
        <v>3150</v>
      </c>
      <c r="E512" s="22" cm="1">
        <f t="array" ref="E512">_xlfn.IFERROR(IF(INDEX('Diseases'!G2:G4303,MATCH(C512,'Diseases'!D2:D4303,0))="","",INDEX('Diseases'!G2:G4303,MATCH(C512,'Diseases'!D2:D4303,0))),"")</f>
        <v>3342831</v>
      </c>
      <c r="F512" s="23" cm="1">
        <f t="array" ref="F512">_xlfn.IFERROR(IF(E512="","",D512/E512*100000),"")</f>
        <v>94.2315061694713</v>
      </c>
    </row>
    <row r="513" ht="13.65" customHeight="1">
      <c r="A513" t="s" s="24">
        <v>34</v>
      </c>
      <c r="B513" t="s" s="21">
        <v>69</v>
      </c>
      <c r="C513" t="s" s="21">
        <v>47</v>
      </c>
      <c r="D513" s="22" cm="1">
        <f t="array" ref="D513">_xlfn.SUMIFS('Diseases'!F2:F4303,'Diseases'!B2:B4303,A513,'Diseases'!C2:C4303,B513,'Diseases'!D2:D4303,C513)</f>
        <v>1288</v>
      </c>
      <c r="E513" s="22" cm="1">
        <f t="array" ref="E513">_xlfn.IFERROR(IF(INDEX('Diseases'!G2:G4303,MATCH(C513,'Diseases'!D2:D4303,0))="","",INDEX('Diseases'!G2:G4303,MATCH(C513,'Diseases'!D2:D4303,0))),"")</f>
        <v>3342831</v>
      </c>
      <c r="F513" s="23" cm="1">
        <f t="array" ref="F513">_xlfn.IFERROR(IF(E513="","",D513/E513*100000),"")</f>
        <v>38.5302158559616</v>
      </c>
    </row>
    <row r="514" ht="13.65" customHeight="1">
      <c r="A514" t="s" s="29">
        <v>39</v>
      </c>
      <c r="B514" t="s" s="21">
        <v>69</v>
      </c>
      <c r="C514" t="s" s="21">
        <v>47</v>
      </c>
      <c r="D514" s="22" cm="1">
        <f t="array" ref="D514">_xlfn.SUMIFS('Diseases'!F2:F4303,'Diseases'!B2:B4303,A514,'Diseases'!C2:C4303,B514,'Diseases'!D2:D4303,C514)</f>
        <v>712</v>
      </c>
      <c r="E514" s="22" cm="1">
        <f t="array" ref="E514">_xlfn.IFERROR(IF(INDEX('Diseases'!G2:G4303,MATCH(C514,'Diseases'!D2:D4303,0))="","",INDEX('Diseases'!G2:G4303,MATCH(C514,'Diseases'!D2:D4303,0))),"")</f>
        <v>3342831</v>
      </c>
      <c r="F514" s="23" cm="1">
        <f t="array" ref="F514">_xlfn.IFERROR(IF(E514="","",D514/E514*100000),"")</f>
        <v>21.2993118706869</v>
      </c>
    </row>
    <row r="515" ht="13.65" customHeight="1">
      <c r="A515" t="s" s="31">
        <v>45</v>
      </c>
      <c r="B515" t="s" s="21">
        <v>69</v>
      </c>
      <c r="C515" t="s" s="21">
        <v>47</v>
      </c>
      <c r="D515" s="22" cm="1">
        <f t="array" ref="D515">_xlfn.SUMIFS('Diseases'!F2:F4303,'Diseases'!B2:B4303,A515,'Diseases'!C2:C4303,B515,'Diseases'!D2:D4303,C515)</f>
        <v>536</v>
      </c>
      <c r="E515" s="22" cm="1">
        <f t="array" ref="E515">_xlfn.IFERROR(IF(INDEX('Diseases'!G2:G4303,MATCH(C515,'Diseases'!D2:D4303,0))="","",INDEX('Diseases'!G2:G4303,MATCH(C515,'Diseases'!D2:D4303,0))),"")</f>
        <v>3342831</v>
      </c>
      <c r="F515" s="23" cm="1">
        <f t="array" ref="F515">_xlfn.IFERROR(IF(E515="","",D515/E515*100000),"")</f>
        <v>16.0343134307418</v>
      </c>
    </row>
    <row r="516" ht="13.65" customHeight="1">
      <c r="A516" t="s" s="28">
        <v>41</v>
      </c>
      <c r="B516" t="s" s="21">
        <v>69</v>
      </c>
      <c r="C516" t="s" s="21">
        <v>47</v>
      </c>
      <c r="D516" s="22" cm="1">
        <f t="array" ref="D516">_xlfn.SUMIFS('Diseases'!F2:F4303,'Diseases'!B2:B4303,A516,'Diseases'!C2:C4303,B516,'Diseases'!D2:D4303,C516)</f>
        <v>458</v>
      </c>
      <c r="E516" s="22" cm="1">
        <f t="array" ref="E516">_xlfn.IFERROR(IF(INDEX('Diseases'!G2:G4303,MATCH(C516,'Diseases'!D2:D4303,0))="","",INDEX('Diseases'!G2:G4303,MATCH(C516,'Diseases'!D2:D4303,0))),"")</f>
        <v>3342831</v>
      </c>
      <c r="F516" s="23" cm="1">
        <f t="array" ref="F516">_xlfn.IFERROR(IF(E516="","",D516/E516*100000),"")</f>
        <v>13.7009618494025</v>
      </c>
    </row>
    <row r="517" ht="13.65" customHeight="1">
      <c r="A517" t="s" s="20">
        <v>30</v>
      </c>
      <c r="B517" t="s" s="21">
        <v>70</v>
      </c>
      <c r="C517" t="s" s="21">
        <v>47</v>
      </c>
      <c r="D517" s="22" cm="1">
        <f t="array" ref="D517">_xlfn.SUMIFS('Diseases'!F2:F4303,'Diseases'!B2:B4303,A517,'Diseases'!C2:C4303,B517,'Diseases'!D2:D4303,C517)</f>
        <v>9019</v>
      </c>
      <c r="E517" s="22" cm="1">
        <f t="array" ref="E517">_xlfn.IFERROR(IF(INDEX('Diseases'!G2:G4303,MATCH(C517,'Diseases'!D2:D4303,0))="","",INDEX('Diseases'!G2:G4303,MATCH(C517,'Diseases'!D2:D4303,0))),"")</f>
        <v>3342831</v>
      </c>
      <c r="F517" s="23" cm="1">
        <f t="array" ref="F517">_xlfn.IFERROR(IF(E517="","",D517/E517*100000),"")</f>
        <v>269.801255283321</v>
      </c>
    </row>
    <row r="518" ht="13.65" customHeight="1">
      <c r="A518" t="s" s="25">
        <v>35</v>
      </c>
      <c r="B518" t="s" s="21">
        <v>70</v>
      </c>
      <c r="C518" t="s" s="21">
        <v>47</v>
      </c>
      <c r="D518" s="22" cm="1">
        <f t="array" ref="D518">_xlfn.SUMIFS('Diseases'!F2:F4303,'Diseases'!B2:B4303,A518,'Diseases'!C2:C4303,B518,'Diseases'!D2:D4303,C518)</f>
        <v>5068</v>
      </c>
      <c r="E518" s="22" cm="1">
        <f t="array" ref="E518">_xlfn.IFERROR(IF(INDEX('Diseases'!G2:G4303,MATCH(C518,'Diseases'!D2:D4303,0))="","",INDEX('Diseases'!G2:G4303,MATCH(C518,'Diseases'!D2:D4303,0))),"")</f>
        <v>3342831</v>
      </c>
      <c r="F518" s="23" cm="1">
        <f t="array" ref="F518">_xlfn.IFERROR(IF(E518="","",D518/E518*100000),"")</f>
        <v>151.608023259327</v>
      </c>
    </row>
    <row r="519" ht="13.65" customHeight="1">
      <c r="A519" t="s" s="24">
        <v>34</v>
      </c>
      <c r="B519" t="s" s="21">
        <v>70</v>
      </c>
      <c r="C519" t="s" s="21">
        <v>47</v>
      </c>
      <c r="D519" s="22" cm="1">
        <f t="array" ref="D519">_xlfn.SUMIFS('Diseases'!F2:F4303,'Diseases'!B2:B4303,A519,'Diseases'!C2:C4303,B519,'Diseases'!D2:D4303,C519)</f>
        <v>1109</v>
      </c>
      <c r="E519" s="22" cm="1">
        <f t="array" ref="E519">_xlfn.IFERROR(IF(INDEX('Diseases'!G2:G4303,MATCH(C519,'Diseases'!D2:D4303,0))="","",INDEX('Diseases'!G2:G4303,MATCH(C519,'Diseases'!D2:D4303,0))),"")</f>
        <v>3342831</v>
      </c>
      <c r="F519" s="23" cm="1">
        <f t="array" ref="F519">_xlfn.IFERROR(IF(E519="","",D519/E519*100000),"")</f>
        <v>33.1754731244266</v>
      </c>
    </row>
    <row r="520" ht="13.65" customHeight="1">
      <c r="A520" t="s" s="31">
        <v>45</v>
      </c>
      <c r="B520" t="s" s="21">
        <v>70</v>
      </c>
      <c r="C520" t="s" s="21">
        <v>47</v>
      </c>
      <c r="D520" s="22" cm="1">
        <f t="array" ref="D520">_xlfn.SUMIFS('Diseases'!F2:F4303,'Diseases'!B2:B4303,A520,'Diseases'!C2:C4303,B520,'Diseases'!D2:D4303,C520)</f>
        <v>862</v>
      </c>
      <c r="E520" s="22" cm="1">
        <f t="array" ref="E520">_xlfn.IFERROR(IF(INDEX('Diseases'!G2:G4303,MATCH(C520,'Diseases'!D2:D4303,0))="","",INDEX('Diseases'!G2:G4303,MATCH(C520,'Diseases'!D2:D4303,0))),"")</f>
        <v>3342831</v>
      </c>
      <c r="F520" s="23" cm="1">
        <f t="array" ref="F520">_xlfn.IFERROR(IF(E520="","",D520/E520*100000),"")</f>
        <v>25.7865264501855</v>
      </c>
    </row>
    <row r="521" ht="13.65" customHeight="1">
      <c r="A521" t="s" s="29">
        <v>39</v>
      </c>
      <c r="B521" t="s" s="21">
        <v>70</v>
      </c>
      <c r="C521" t="s" s="21">
        <v>47</v>
      </c>
      <c r="D521" s="22" cm="1">
        <f t="array" ref="D521">_xlfn.SUMIFS('Diseases'!F2:F4303,'Diseases'!B2:B4303,A521,'Diseases'!C2:C4303,B521,'Diseases'!D2:D4303,C521)</f>
        <v>840</v>
      </c>
      <c r="E521" s="22" cm="1">
        <f t="array" ref="E521">_xlfn.IFERROR(IF(INDEX('Diseases'!G2:G4303,MATCH(C521,'Diseases'!D2:D4303,0))="","",INDEX('Diseases'!G2:G4303,MATCH(C521,'Diseases'!D2:D4303,0))),"")</f>
        <v>3342831</v>
      </c>
      <c r="F521" s="23" cm="1">
        <f t="array" ref="F521">_xlfn.IFERROR(IF(E521="","",D521/E521*100000),"")</f>
        <v>25.1284016451924</v>
      </c>
    </row>
    <row r="522" ht="13.65" customHeight="1">
      <c r="A522" t="s" s="28">
        <v>41</v>
      </c>
      <c r="B522" t="s" s="21">
        <v>70</v>
      </c>
      <c r="C522" t="s" s="21">
        <v>47</v>
      </c>
      <c r="D522" s="22" cm="1">
        <f t="array" ref="D522">_xlfn.SUMIFS('Diseases'!F2:F4303,'Diseases'!B2:B4303,A522,'Diseases'!C2:C4303,B522,'Diseases'!D2:D4303,C522)</f>
        <v>429</v>
      </c>
      <c r="E522" s="22" cm="1">
        <f t="array" ref="E522">_xlfn.IFERROR(IF(INDEX('Diseases'!G2:G4303,MATCH(C522,'Diseases'!D2:D4303,0))="","",INDEX('Diseases'!G2:G4303,MATCH(C522,'Diseases'!D2:D4303,0))),"")</f>
        <v>3342831</v>
      </c>
      <c r="F522" s="23" cm="1">
        <f t="array" ref="F522">_xlfn.IFERROR(IF(E522="","",D522/E522*100000),"")</f>
        <v>12.8334336973661</v>
      </c>
    </row>
    <row r="523" ht="13.65" customHeight="1">
      <c r="A523" t="s" s="32">
        <v>48</v>
      </c>
      <c r="B523" t="s" s="21">
        <v>31</v>
      </c>
      <c r="C523" t="s" s="21">
        <v>49</v>
      </c>
      <c r="D523" s="22" cm="1">
        <f t="array" ref="D523">_xlfn.SUMIFS('Diseases'!F2:F4303,'Diseases'!B2:B4303,A523,'Diseases'!C2:C4303,B523,'Diseases'!D2:D4303,C523)</f>
        <v>0</v>
      </c>
      <c r="E523" s="22" cm="1">
        <f t="array" ref="E523">_xlfn.IFERROR(IF(INDEX('Diseases'!G2:G4303,MATCH(C523,'Diseases'!D2:D4303,0))="","",INDEX('Diseases'!G2:G4303,MATCH(C523,'Diseases'!D2:D4303,0))),"")</f>
        <v>6397690</v>
      </c>
      <c r="F523" s="23" cm="1">
        <f t="array" ref="F523">_xlfn.IFERROR(IF(E523="","",D523/E523*100000),"")</f>
        <v>0</v>
      </c>
    </row>
    <row r="524" ht="13.65" customHeight="1">
      <c r="A524" t="s" s="32">
        <v>48</v>
      </c>
      <c r="B524" t="s" s="21">
        <v>60</v>
      </c>
      <c r="C524" t="s" s="21">
        <v>49</v>
      </c>
      <c r="D524" s="22" cm="1">
        <f t="array" ref="D524">_xlfn.SUMIFS('Diseases'!F2:F4303,'Diseases'!B2:B4303,A524,'Diseases'!C2:C4303,B524,'Diseases'!D2:D4303,C524)</f>
        <v>0</v>
      </c>
      <c r="E524" s="22" cm="1">
        <f t="array" ref="E524">_xlfn.IFERROR(IF(INDEX('Diseases'!G2:G4303,MATCH(C524,'Diseases'!D2:D4303,0))="","",INDEX('Diseases'!G2:G4303,MATCH(C524,'Diseases'!D2:D4303,0))),"")</f>
        <v>6397690</v>
      </c>
      <c r="F524" s="23" cm="1">
        <f t="array" ref="F524">_xlfn.IFERROR(IF(E524="","",D524/E524*100000),"")</f>
        <v>0</v>
      </c>
    </row>
    <row r="525" ht="13.65" customHeight="1">
      <c r="A525" t="s" s="20">
        <v>30</v>
      </c>
      <c r="B525" t="s" s="21">
        <v>61</v>
      </c>
      <c r="C525" t="s" s="21">
        <v>49</v>
      </c>
      <c r="D525" s="22" cm="1">
        <f t="array" ref="D525">_xlfn.SUMIFS('Diseases'!F2:F4303,'Diseases'!B2:B4303,A525,'Diseases'!C2:C4303,B525,'Diseases'!D2:D4303,C525)</f>
        <v>20373</v>
      </c>
      <c r="E525" s="22" cm="1">
        <f t="array" ref="E525">_xlfn.IFERROR(IF(INDEX('Diseases'!G2:G4303,MATCH(C525,'Diseases'!D2:D4303,0))="","",INDEX('Diseases'!G2:G4303,MATCH(C525,'Diseases'!D2:D4303,0))),"")</f>
        <v>6397690</v>
      </c>
      <c r="F525" s="23" cm="1">
        <f t="array" ref="F525">_xlfn.IFERROR(IF(E525="","",D525/E525*100000),"")</f>
        <v>318.443063043067</v>
      </c>
    </row>
    <row r="526" ht="13.65" customHeight="1">
      <c r="A526" t="s" s="24">
        <v>34</v>
      </c>
      <c r="B526" t="s" s="21">
        <v>61</v>
      </c>
      <c r="C526" t="s" s="21">
        <v>49</v>
      </c>
      <c r="D526" s="22" cm="1">
        <f t="array" ref="D526">_xlfn.SUMIFS('Diseases'!F2:F4303,'Diseases'!B2:B4303,A526,'Diseases'!C2:C4303,B526,'Diseases'!D2:D4303,C526)</f>
        <v>7407</v>
      </c>
      <c r="E526" s="22" cm="1">
        <f t="array" ref="E526">_xlfn.IFERROR(IF(INDEX('Diseases'!G2:G4303,MATCH(C526,'Diseases'!D2:D4303,0))="","",INDEX('Diseases'!G2:G4303,MATCH(C526,'Diseases'!D2:D4303,0))),"")</f>
        <v>6397690</v>
      </c>
      <c r="F526" s="23" cm="1">
        <f t="array" ref="F526">_xlfn.IFERROR(IF(E526="","",D526/E526*100000),"")</f>
        <v>115.776162958818</v>
      </c>
    </row>
    <row r="527" ht="13.65" customHeight="1">
      <c r="A527" t="s" s="25">
        <v>35</v>
      </c>
      <c r="B527" t="s" s="21">
        <v>61</v>
      </c>
      <c r="C527" t="s" s="21">
        <v>49</v>
      </c>
      <c r="D527" s="22" cm="1">
        <f t="array" ref="D527">_xlfn.SUMIFS('Diseases'!F2:F4303,'Diseases'!B2:B4303,A527,'Diseases'!C2:C4303,B527,'Diseases'!D2:D4303,C527)</f>
        <v>3978</v>
      </c>
      <c r="E527" s="22" cm="1">
        <f t="array" ref="E527">_xlfn.IFERROR(IF(INDEX('Diseases'!G2:G4303,MATCH(C527,'Diseases'!D2:D4303,0))="","",INDEX('Diseases'!G2:G4303,MATCH(C527,'Diseases'!D2:D4303,0))),"")</f>
        <v>6397690</v>
      </c>
      <c r="F527" s="23" cm="1">
        <f t="array" ref="F527">_xlfn.IFERROR(IF(E527="","",D527/E527*100000),"")</f>
        <v>62.1786926218682</v>
      </c>
    </row>
    <row r="528" ht="13.65" customHeight="1">
      <c r="A528" t="s" s="28">
        <v>41</v>
      </c>
      <c r="B528" t="s" s="21">
        <v>61</v>
      </c>
      <c r="C528" t="s" s="21">
        <v>49</v>
      </c>
      <c r="D528" s="22" cm="1">
        <f t="array" ref="D528">_xlfn.SUMIFS('Diseases'!F2:F4303,'Diseases'!B2:B4303,A528,'Diseases'!C2:C4303,B528,'Diseases'!D2:D4303,C528)</f>
        <v>3215</v>
      </c>
      <c r="E528" s="22" cm="1">
        <f t="array" ref="E528">_xlfn.IFERROR(IF(INDEX('Diseases'!G2:G4303,MATCH(C528,'Diseases'!D2:D4303,0))="","",INDEX('Diseases'!G2:G4303,MATCH(C528,'Diseases'!D2:D4303,0))),"")</f>
        <v>6397690</v>
      </c>
      <c r="F528" s="23" cm="1">
        <f t="array" ref="F528">_xlfn.IFERROR(IF(E528="","",D528/E528*100000),"")</f>
        <v>50.2525130164169</v>
      </c>
    </row>
    <row r="529" ht="13.65" customHeight="1">
      <c r="A529" t="s" s="29">
        <v>39</v>
      </c>
      <c r="B529" t="s" s="21">
        <v>61</v>
      </c>
      <c r="C529" t="s" s="21">
        <v>49</v>
      </c>
      <c r="D529" s="22" cm="1">
        <f t="array" ref="D529">_xlfn.SUMIFS('Diseases'!F2:F4303,'Diseases'!B2:B4303,A529,'Diseases'!C2:C4303,B529,'Diseases'!D2:D4303,C529)</f>
        <v>2602</v>
      </c>
      <c r="E529" s="22" cm="1">
        <f t="array" ref="E529">_xlfn.IFERROR(IF(INDEX('Diseases'!G2:G4303,MATCH(C529,'Diseases'!D2:D4303,0))="","",INDEX('Diseases'!G2:G4303,MATCH(C529,'Diseases'!D2:D4303,0))),"")</f>
        <v>6397690</v>
      </c>
      <c r="F529" s="23" cm="1">
        <f t="array" ref="F529">_xlfn.IFERROR(IF(E529="","",D529/E529*100000),"")</f>
        <v>40.6709296636755</v>
      </c>
    </row>
    <row r="530" ht="13.65" customHeight="1">
      <c r="A530" t="s" s="30">
        <v>40</v>
      </c>
      <c r="B530" t="s" s="21">
        <v>61</v>
      </c>
      <c r="C530" t="s" s="21">
        <v>49</v>
      </c>
      <c r="D530" s="22" cm="1">
        <f t="array" ref="D530">_xlfn.SUMIFS('Diseases'!F2:F4303,'Diseases'!B2:B4303,A530,'Diseases'!C2:C4303,B530,'Diseases'!D2:D4303,C530)</f>
        <v>2482</v>
      </c>
      <c r="E530" s="22" cm="1">
        <f t="array" ref="E530">_xlfn.IFERROR(IF(INDEX('Diseases'!G2:G4303,MATCH(C530,'Diseases'!D2:D4303,0))="","",INDEX('Diseases'!G2:G4303,MATCH(C530,'Diseases'!D2:D4303,0))),"")</f>
        <v>6397690</v>
      </c>
      <c r="F530" s="23" cm="1">
        <f t="array" ref="F530">_xlfn.IFERROR(IF(E530="","",D530/E530*100000),"")</f>
        <v>38.7952526615075</v>
      </c>
    </row>
    <row r="531" ht="13.65" customHeight="1">
      <c r="A531" t="s" s="27">
        <v>37</v>
      </c>
      <c r="B531" t="s" s="21">
        <v>61</v>
      </c>
      <c r="C531" t="s" s="21">
        <v>49</v>
      </c>
      <c r="D531" s="22" cm="1">
        <f t="array" ref="D531">_xlfn.SUMIFS('Diseases'!F2:F4303,'Diseases'!B2:B4303,A531,'Diseases'!C2:C4303,B531,'Diseases'!D2:D4303,C531)</f>
        <v>2474</v>
      </c>
      <c r="E531" s="22" cm="1">
        <f t="array" ref="E531">_xlfn.IFERROR(IF(INDEX('Diseases'!G2:G4303,MATCH(C531,'Diseases'!D2:D4303,0))="","",INDEX('Diseases'!G2:G4303,MATCH(C531,'Diseases'!D2:D4303,0))),"")</f>
        <v>6397690</v>
      </c>
      <c r="F531" s="23" cm="1">
        <f t="array" ref="F531">_xlfn.IFERROR(IF(E531="","",D531/E531*100000),"")</f>
        <v>38.6702075280296</v>
      </c>
    </row>
    <row r="532" ht="13.65" customHeight="1">
      <c r="A532" t="s" s="20">
        <v>30</v>
      </c>
      <c r="B532" t="s" s="21">
        <v>62</v>
      </c>
      <c r="C532" t="s" s="21">
        <v>49</v>
      </c>
      <c r="D532" s="22" cm="1">
        <f t="array" ref="D532">_xlfn.SUMIFS('Diseases'!F2:F4303,'Diseases'!B2:B4303,A532,'Diseases'!C2:C4303,B532,'Diseases'!D2:D4303,C532)</f>
        <v>204765</v>
      </c>
      <c r="E532" s="22" cm="1">
        <f t="array" ref="E532">_xlfn.IFERROR(IF(INDEX('Diseases'!G2:G4303,MATCH(C532,'Diseases'!D2:D4303,0))="","",INDEX('Diseases'!G2:G4303,MATCH(C532,'Diseases'!D2:D4303,0))),"")</f>
        <v>6397690</v>
      </c>
      <c r="F532" s="23" cm="1">
        <f t="array" ref="F532">_xlfn.IFERROR(IF(E532="","",D532/E532*100000),"")</f>
        <v>3200.608344574370</v>
      </c>
    </row>
    <row r="533" ht="13.65" customHeight="1">
      <c r="A533" t="s" s="24">
        <v>34</v>
      </c>
      <c r="B533" t="s" s="21">
        <v>62</v>
      </c>
      <c r="C533" t="s" s="21">
        <v>49</v>
      </c>
      <c r="D533" s="22" cm="1">
        <f t="array" ref="D533">_xlfn.SUMIFS('Diseases'!F2:F4303,'Diseases'!B2:B4303,A533,'Diseases'!C2:C4303,B533,'Diseases'!D2:D4303,C533)</f>
        <v>110790</v>
      </c>
      <c r="E533" s="22" cm="1">
        <f t="array" ref="E533">_xlfn.IFERROR(IF(INDEX('Diseases'!G2:G4303,MATCH(C533,'Diseases'!D2:D4303,0))="","",INDEX('Diseases'!G2:G4303,MATCH(C533,'Diseases'!D2:D4303,0))),"")</f>
        <v>6397690</v>
      </c>
      <c r="F533" s="23" cm="1">
        <f t="array" ref="F533">_xlfn.IFERROR(IF(E533="","",D533/E533*100000),"")</f>
        <v>1731.718792251580</v>
      </c>
    </row>
    <row r="534" ht="13.65" customHeight="1">
      <c r="A534" t="s" s="25">
        <v>35</v>
      </c>
      <c r="B534" t="s" s="21">
        <v>62</v>
      </c>
      <c r="C534" t="s" s="21">
        <v>49</v>
      </c>
      <c r="D534" s="22" cm="1">
        <f t="array" ref="D534">_xlfn.SUMIFS('Diseases'!F2:F4303,'Diseases'!B2:B4303,A534,'Diseases'!C2:C4303,B534,'Diseases'!D2:D4303,C534)</f>
        <v>59925</v>
      </c>
      <c r="E534" s="22" cm="1">
        <f t="array" ref="E534">_xlfn.IFERROR(IF(INDEX('Diseases'!G2:G4303,MATCH(C534,'Diseases'!D2:D4303,0))="","",INDEX('Diseases'!G2:G4303,MATCH(C534,'Diseases'!D2:D4303,0))),"")</f>
        <v>6397690</v>
      </c>
      <c r="F534" s="23" cm="1">
        <f t="array" ref="F534">_xlfn.IFERROR(IF(E534="","",D534/E534*100000),"")</f>
        <v>936.666202957630</v>
      </c>
    </row>
    <row r="535" ht="13.65" customHeight="1">
      <c r="A535" t="s" s="26">
        <v>36</v>
      </c>
      <c r="B535" t="s" s="21">
        <v>62</v>
      </c>
      <c r="C535" t="s" s="21">
        <v>49</v>
      </c>
      <c r="D535" s="22" cm="1">
        <f t="array" ref="D535">_xlfn.SUMIFS('Diseases'!F2:F4303,'Diseases'!B2:B4303,A535,'Diseases'!C2:C4303,B535,'Diseases'!D2:D4303,C535)</f>
        <v>35835</v>
      </c>
      <c r="E535" s="22" cm="1">
        <f t="array" ref="E535">_xlfn.IFERROR(IF(INDEX('Diseases'!G2:G4303,MATCH(C535,'Diseases'!D2:D4303,0))="","",INDEX('Diseases'!G2:G4303,MATCH(C535,'Diseases'!D2:D4303,0))),"")</f>
        <v>6397690</v>
      </c>
      <c r="F535" s="23" cm="1">
        <f t="array" ref="F535">_xlfn.IFERROR(IF(E535="","",D535/E535*100000),"")</f>
        <v>560.124044772410</v>
      </c>
    </row>
    <row r="536" ht="13.65" customHeight="1">
      <c r="A536" t="s" s="29">
        <v>39</v>
      </c>
      <c r="B536" t="s" s="21">
        <v>62</v>
      </c>
      <c r="C536" t="s" s="21">
        <v>49</v>
      </c>
      <c r="D536" s="22" cm="1">
        <f t="array" ref="D536">_xlfn.SUMIFS('Diseases'!F2:F4303,'Diseases'!B2:B4303,A536,'Diseases'!C2:C4303,B536,'Diseases'!D2:D4303,C536)</f>
        <v>28545</v>
      </c>
      <c r="E536" s="22" cm="1">
        <f t="array" ref="E536">_xlfn.IFERROR(IF(INDEX('Diseases'!G2:G4303,MATCH(C536,'Diseases'!D2:D4303,0))="","",INDEX('Diseases'!G2:G4303,MATCH(C536,'Diseases'!D2:D4303,0))),"")</f>
        <v>6397690</v>
      </c>
      <c r="F536" s="23" cm="1">
        <f t="array" ref="F536">_xlfn.IFERROR(IF(E536="","",D536/E536*100000),"")</f>
        <v>446.176666890706</v>
      </c>
    </row>
    <row r="537" ht="13.65" customHeight="1">
      <c r="A537" t="s" s="27">
        <v>37</v>
      </c>
      <c r="B537" t="s" s="21">
        <v>62</v>
      </c>
      <c r="C537" t="s" s="21">
        <v>49</v>
      </c>
      <c r="D537" s="22" cm="1">
        <f t="array" ref="D537">_xlfn.SUMIFS('Diseases'!F2:F4303,'Diseases'!B2:B4303,A537,'Diseases'!C2:C4303,B537,'Diseases'!D2:D4303,C537)</f>
        <v>23640</v>
      </c>
      <c r="E537" s="22" cm="1">
        <f t="array" ref="E537">_xlfn.IFERROR(IF(INDEX('Diseases'!G2:G4303,MATCH(C537,'Diseases'!D2:D4303,0))="","",INDEX('Diseases'!G2:G4303,MATCH(C537,'Diseases'!D2:D4303,0))),"")</f>
        <v>6397690</v>
      </c>
      <c r="F537" s="23" cm="1">
        <f t="array" ref="F537">_xlfn.IFERROR(IF(E537="","",D537/E537*100000),"")</f>
        <v>369.508369427090</v>
      </c>
    </row>
    <row r="538" ht="13.65" customHeight="1">
      <c r="A538" t="s" s="28">
        <v>41</v>
      </c>
      <c r="B538" t="s" s="21">
        <v>62</v>
      </c>
      <c r="C538" t="s" s="21">
        <v>49</v>
      </c>
      <c r="D538" s="22" cm="1">
        <f t="array" ref="D538">_xlfn.SUMIFS('Diseases'!F2:F4303,'Diseases'!B2:B4303,A538,'Diseases'!C2:C4303,B538,'Diseases'!D2:D4303,C538)</f>
        <v>22905</v>
      </c>
      <c r="E538" s="22" cm="1">
        <f t="array" ref="E538">_xlfn.IFERROR(IF(INDEX('Diseases'!G2:G4303,MATCH(C538,'Diseases'!D2:D4303,0))="","",INDEX('Diseases'!G2:G4303,MATCH(C538,'Diseases'!D2:D4303,0))),"")</f>
        <v>6397690</v>
      </c>
      <c r="F538" s="23" cm="1">
        <f t="array" ref="F538">_xlfn.IFERROR(IF(E538="","",D538/E538*100000),"")</f>
        <v>358.019847788811</v>
      </c>
    </row>
    <row r="539" ht="13.65" customHeight="1">
      <c r="A539" t="s" s="20">
        <v>30</v>
      </c>
      <c r="B539" t="s" s="21">
        <v>63</v>
      </c>
      <c r="C539" t="s" s="21">
        <v>49</v>
      </c>
      <c r="D539" s="22" cm="1">
        <f t="array" ref="D539">_xlfn.SUMIFS('Diseases'!F2:F4303,'Diseases'!B2:B4303,A539,'Diseases'!C2:C4303,B539,'Diseases'!D2:D4303,C539)</f>
        <v>15953</v>
      </c>
      <c r="E539" s="22" cm="1">
        <f t="array" ref="E539">_xlfn.IFERROR(IF(INDEX('Diseases'!G2:G4303,MATCH(C539,'Diseases'!D2:D4303,0))="","",INDEX('Diseases'!G2:G4303,MATCH(C539,'Diseases'!D2:D4303,0))),"")</f>
        <v>6397690</v>
      </c>
      <c r="F539" s="23" cm="1">
        <f t="array" ref="F539">_xlfn.IFERROR(IF(E539="","",D539/E539*100000),"")</f>
        <v>249.355626796547</v>
      </c>
    </row>
    <row r="540" ht="13.65" customHeight="1">
      <c r="A540" t="s" s="24">
        <v>34</v>
      </c>
      <c r="B540" t="s" s="21">
        <v>63</v>
      </c>
      <c r="C540" t="s" s="21">
        <v>49</v>
      </c>
      <c r="D540" s="22" cm="1">
        <f t="array" ref="D540">_xlfn.SUMIFS('Diseases'!F2:F4303,'Diseases'!B2:B4303,A540,'Diseases'!C2:C4303,B540,'Diseases'!D2:D4303,C540)</f>
        <v>7705</v>
      </c>
      <c r="E540" s="22" cm="1">
        <f t="array" ref="E540">_xlfn.IFERROR(IF(INDEX('Diseases'!G2:G4303,MATCH(C540,'Diseases'!D2:D4303,0))="","",INDEX('Diseases'!G2:G4303,MATCH(C540,'Diseases'!D2:D4303,0))),"")</f>
        <v>6397690</v>
      </c>
      <c r="F540" s="23" cm="1">
        <f t="array" ref="F540">_xlfn.IFERROR(IF(E540="","",D540/E540*100000),"")</f>
        <v>120.434094180868</v>
      </c>
    </row>
    <row r="541" ht="13.65" customHeight="1">
      <c r="A541" t="s" s="25">
        <v>35</v>
      </c>
      <c r="B541" t="s" s="21">
        <v>63</v>
      </c>
      <c r="C541" t="s" s="21">
        <v>49</v>
      </c>
      <c r="D541" s="22" cm="1">
        <f t="array" ref="D541">_xlfn.SUMIFS('Diseases'!F2:F4303,'Diseases'!B2:B4303,A541,'Diseases'!C2:C4303,B541,'Diseases'!D2:D4303,C541)</f>
        <v>4799</v>
      </c>
      <c r="E541" s="22" cm="1">
        <f t="array" ref="E541">_xlfn.IFERROR(IF(INDEX('Diseases'!G2:G4303,MATCH(C541,'Diseases'!D2:D4303,0))="","",INDEX('Diseases'!G2:G4303,MATCH(C541,'Diseases'!D2:D4303,0))),"")</f>
        <v>6397690</v>
      </c>
      <c r="F541" s="23" cm="1">
        <f t="array" ref="F541">_xlfn.IFERROR(IF(E541="","",D541/E541*100000),"")</f>
        <v>75.0114494450341</v>
      </c>
    </row>
    <row r="542" ht="13.65" customHeight="1">
      <c r="A542" t="s" s="26">
        <v>36</v>
      </c>
      <c r="B542" t="s" s="21">
        <v>63</v>
      </c>
      <c r="C542" t="s" s="21">
        <v>49</v>
      </c>
      <c r="D542" s="22" cm="1">
        <f t="array" ref="D542">_xlfn.SUMIFS('Diseases'!F2:F4303,'Diseases'!B2:B4303,A542,'Diseases'!C2:C4303,B542,'Diseases'!D2:D4303,C542)</f>
        <v>3386</v>
      </c>
      <c r="E542" s="22" cm="1">
        <f t="array" ref="E542">_xlfn.IFERROR(IF(INDEX('Diseases'!G2:G4303,MATCH(C542,'Diseases'!D2:D4303,0))="","",INDEX('Diseases'!G2:G4303,MATCH(C542,'Diseases'!D2:D4303,0))),"")</f>
        <v>6397690</v>
      </c>
      <c r="F542" s="23" cm="1">
        <f t="array" ref="F542">_xlfn.IFERROR(IF(E542="","",D542/E542*100000),"")</f>
        <v>52.9253527445062</v>
      </c>
    </row>
    <row r="543" ht="13.65" customHeight="1">
      <c r="A543" t="s" s="29">
        <v>39</v>
      </c>
      <c r="B543" t="s" s="21">
        <v>63</v>
      </c>
      <c r="C543" t="s" s="21">
        <v>49</v>
      </c>
      <c r="D543" s="22" cm="1">
        <f t="array" ref="D543">_xlfn.SUMIFS('Diseases'!F2:F4303,'Diseases'!B2:B4303,A543,'Diseases'!C2:C4303,B543,'Diseases'!D2:D4303,C543)</f>
        <v>1833</v>
      </c>
      <c r="E543" s="22" cm="1">
        <f t="array" ref="E543">_xlfn.IFERROR(IF(INDEX('Diseases'!G2:G4303,MATCH(C543,'Diseases'!D2:D4303,0))="","",INDEX('Diseases'!G2:G4303,MATCH(C543,'Diseases'!D2:D4303,0))),"")</f>
        <v>6397690</v>
      </c>
      <c r="F543" s="23" cm="1">
        <f t="array" ref="F543">_xlfn.IFERROR(IF(E543="","",D543/E543*100000),"")</f>
        <v>28.6509662081157</v>
      </c>
    </row>
    <row r="544" ht="13.65" customHeight="1">
      <c r="A544" t="s" s="27">
        <v>37</v>
      </c>
      <c r="B544" t="s" s="21">
        <v>63</v>
      </c>
      <c r="C544" t="s" s="21">
        <v>49</v>
      </c>
      <c r="D544" s="22" cm="1">
        <f t="array" ref="D544">_xlfn.SUMIFS('Diseases'!F2:F4303,'Diseases'!B2:B4303,A544,'Diseases'!C2:C4303,B544,'Diseases'!D2:D4303,C544)</f>
        <v>1740</v>
      </c>
      <c r="E544" s="22" cm="1">
        <f t="array" ref="E544">_xlfn.IFERROR(IF(INDEX('Diseases'!G2:G4303,MATCH(C544,'Diseases'!D2:D4303,0))="","",INDEX('Diseases'!G2:G4303,MATCH(C544,'Diseases'!D2:D4303,0))),"")</f>
        <v>6397690</v>
      </c>
      <c r="F544" s="23" cm="1">
        <f t="array" ref="F544">_xlfn.IFERROR(IF(E544="","",D544/E544*100000),"")</f>
        <v>27.1973165314356</v>
      </c>
    </row>
    <row r="545" ht="13.65" customHeight="1">
      <c r="A545" t="s" s="20">
        <v>30</v>
      </c>
      <c r="B545" t="s" s="21">
        <v>64</v>
      </c>
      <c r="C545" t="s" s="21">
        <v>49</v>
      </c>
      <c r="D545" s="22" cm="1">
        <f t="array" ref="D545">_xlfn.SUMIFS('Diseases'!F2:F4303,'Diseases'!B2:B4303,A545,'Diseases'!C2:C4303,B545,'Diseases'!D2:D4303,C545)</f>
        <v>15371</v>
      </c>
      <c r="E545" s="22" cm="1">
        <f t="array" ref="E545">_xlfn.IFERROR(IF(INDEX('Diseases'!G2:G4303,MATCH(C545,'Diseases'!D2:D4303,0))="","",INDEX('Diseases'!G2:G4303,MATCH(C545,'Diseases'!D2:D4303,0))),"")</f>
        <v>6397690</v>
      </c>
      <c r="F545" s="23" cm="1">
        <f t="array" ref="F545">_xlfn.IFERROR(IF(E545="","",D545/E545*100000),"")</f>
        <v>240.258593336032</v>
      </c>
    </row>
    <row r="546" ht="13.65" customHeight="1">
      <c r="A546" t="s" s="25">
        <v>35</v>
      </c>
      <c r="B546" t="s" s="21">
        <v>64</v>
      </c>
      <c r="C546" t="s" s="21">
        <v>49</v>
      </c>
      <c r="D546" s="22" cm="1">
        <f t="array" ref="D546">_xlfn.SUMIFS('Diseases'!F2:F4303,'Diseases'!B2:B4303,A546,'Diseases'!C2:C4303,B546,'Diseases'!D2:D4303,C546)</f>
        <v>10038</v>
      </c>
      <c r="E546" s="22" cm="1">
        <f t="array" ref="E546">_xlfn.IFERROR(IF(INDEX('Diseases'!G2:G4303,MATCH(C546,'Diseases'!D2:D4303,0))="","",INDEX('Diseases'!G2:G4303,MATCH(C546,'Diseases'!D2:D4303,0))),"")</f>
        <v>6397690</v>
      </c>
      <c r="F546" s="23" cm="1">
        <f t="array" ref="F546">_xlfn.IFERROR(IF(E546="","",D546/E546*100000),"")</f>
        <v>156.900381231351</v>
      </c>
    </row>
    <row r="547" ht="13.65" customHeight="1">
      <c r="A547" t="s" s="24">
        <v>34</v>
      </c>
      <c r="B547" t="s" s="21">
        <v>64</v>
      </c>
      <c r="C547" t="s" s="21">
        <v>49</v>
      </c>
      <c r="D547" s="22" cm="1">
        <f t="array" ref="D547">_xlfn.SUMIFS('Diseases'!F2:F4303,'Diseases'!B2:B4303,A547,'Diseases'!C2:C4303,B547,'Diseases'!D2:D4303,C547)</f>
        <v>7558</v>
      </c>
      <c r="E547" s="22" cm="1">
        <f t="array" ref="E547">_xlfn.IFERROR(IF(INDEX('Diseases'!G2:G4303,MATCH(C547,'Diseases'!D2:D4303,0))="","",INDEX('Diseases'!G2:G4303,MATCH(C547,'Diseases'!D2:D4303,0))),"")</f>
        <v>6397690</v>
      </c>
      <c r="F547" s="23" cm="1">
        <f t="array" ref="F547">_xlfn.IFERROR(IF(E547="","",D547/E547*100000),"")</f>
        <v>118.136389853213</v>
      </c>
    </row>
    <row r="548" ht="13.65" customHeight="1">
      <c r="A548" t="s" s="26">
        <v>36</v>
      </c>
      <c r="B548" t="s" s="21">
        <v>64</v>
      </c>
      <c r="C548" t="s" s="21">
        <v>49</v>
      </c>
      <c r="D548" s="22" cm="1">
        <f t="array" ref="D548">_xlfn.SUMIFS('Diseases'!F2:F4303,'Diseases'!B2:B4303,A548,'Diseases'!C2:C4303,B548,'Diseases'!D2:D4303,C548)</f>
        <v>3977</v>
      </c>
      <c r="E548" s="22" cm="1">
        <f t="array" ref="E548">_xlfn.IFERROR(IF(INDEX('Diseases'!G2:G4303,MATCH(C548,'Diseases'!D2:D4303,0))="","",INDEX('Diseases'!G2:G4303,MATCH(C548,'Diseases'!D2:D4303,0))),"")</f>
        <v>6397690</v>
      </c>
      <c r="F548" s="23" cm="1">
        <f t="array" ref="F548">_xlfn.IFERROR(IF(E548="","",D548/E548*100000),"")</f>
        <v>62.1630619801835</v>
      </c>
    </row>
    <row r="549" ht="13.65" customHeight="1">
      <c r="A549" t="s" s="29">
        <v>39</v>
      </c>
      <c r="B549" t="s" s="21">
        <v>64</v>
      </c>
      <c r="C549" t="s" s="21">
        <v>49</v>
      </c>
      <c r="D549" s="22" cm="1">
        <f t="array" ref="D549">_xlfn.SUMIFS('Diseases'!F2:F4303,'Diseases'!B2:B4303,A549,'Diseases'!C2:C4303,B549,'Diseases'!D2:D4303,C549)</f>
        <v>2719</v>
      </c>
      <c r="E549" s="22" cm="1">
        <f t="array" ref="E549">_xlfn.IFERROR(IF(INDEX('Diseases'!G2:G4303,MATCH(C549,'Diseases'!D2:D4303,0))="","",INDEX('Diseases'!G2:G4303,MATCH(C549,'Diseases'!D2:D4303,0))),"")</f>
        <v>6397690</v>
      </c>
      <c r="F549" s="23" cm="1">
        <f t="array" ref="F549">_xlfn.IFERROR(IF(E549="","",D549/E549*100000),"")</f>
        <v>42.4997147407893</v>
      </c>
    </row>
    <row r="550" ht="13.65" customHeight="1">
      <c r="A550" t="s" s="27">
        <v>37</v>
      </c>
      <c r="B550" t="s" s="21">
        <v>64</v>
      </c>
      <c r="C550" t="s" s="21">
        <v>49</v>
      </c>
      <c r="D550" s="22" cm="1">
        <f t="array" ref="D550">_xlfn.SUMIFS('Diseases'!F2:F4303,'Diseases'!B2:B4303,A550,'Diseases'!C2:C4303,B550,'Diseases'!D2:D4303,C550)</f>
        <v>1689</v>
      </c>
      <c r="E550" s="22" cm="1">
        <f t="array" ref="E550">_xlfn.IFERROR(IF(INDEX('Diseases'!G2:G4303,MATCH(C550,'Diseases'!D2:D4303,0))="","",INDEX('Diseases'!G2:G4303,MATCH(C550,'Diseases'!D2:D4303,0))),"")</f>
        <v>6397690</v>
      </c>
      <c r="F550" s="23" cm="1">
        <f t="array" ref="F550">_xlfn.IFERROR(IF(E550="","",D550/E550*100000),"")</f>
        <v>26.4001538055142</v>
      </c>
    </row>
    <row r="551" ht="13.65" customHeight="1">
      <c r="A551" t="s" s="20">
        <v>30</v>
      </c>
      <c r="B551" t="s" s="21">
        <v>65</v>
      </c>
      <c r="C551" t="s" s="21">
        <v>49</v>
      </c>
      <c r="D551" s="22" cm="1">
        <f t="array" ref="D551">_xlfn.SUMIFS('Diseases'!F2:F4303,'Diseases'!B2:B4303,A551,'Diseases'!C2:C4303,B551,'Diseases'!D2:D4303,C551)</f>
        <v>14845</v>
      </c>
      <c r="E551" s="22" cm="1">
        <f t="array" ref="E551">_xlfn.IFERROR(IF(INDEX('Diseases'!G2:G4303,MATCH(C551,'Diseases'!D2:D4303,0))="","",INDEX('Diseases'!G2:G4303,MATCH(C551,'Diseases'!D2:D4303,0))),"")</f>
        <v>6397690</v>
      </c>
      <c r="F551" s="23" cm="1">
        <f t="array" ref="F551">_xlfn.IFERROR(IF(E551="","",D551/E551*100000),"")</f>
        <v>232.036875809863</v>
      </c>
    </row>
    <row r="552" ht="13.65" customHeight="1">
      <c r="A552" t="s" s="25">
        <v>35</v>
      </c>
      <c r="B552" t="s" s="21">
        <v>65</v>
      </c>
      <c r="C552" t="s" s="21">
        <v>49</v>
      </c>
      <c r="D552" s="22" cm="1">
        <f t="array" ref="D552">_xlfn.SUMIFS('Diseases'!F2:F4303,'Diseases'!B2:B4303,A552,'Diseases'!C2:C4303,B552,'Diseases'!D2:D4303,C552)</f>
        <v>7722</v>
      </c>
      <c r="E552" s="22" cm="1">
        <f t="array" ref="E552">_xlfn.IFERROR(IF(INDEX('Diseases'!G2:G4303,MATCH(C552,'Diseases'!D2:D4303,0))="","",INDEX('Diseases'!G2:G4303,MATCH(C552,'Diseases'!D2:D4303,0))),"")</f>
        <v>6397690</v>
      </c>
      <c r="F552" s="23" cm="1">
        <f t="array" ref="F552">_xlfn.IFERROR(IF(E552="","",D552/E552*100000),"")</f>
        <v>120.699815089509</v>
      </c>
    </row>
    <row r="553" ht="13.65" customHeight="1">
      <c r="A553" t="s" s="24">
        <v>34</v>
      </c>
      <c r="B553" t="s" s="21">
        <v>65</v>
      </c>
      <c r="C553" t="s" s="21">
        <v>49</v>
      </c>
      <c r="D553" s="22" cm="1">
        <f t="array" ref="D553">_xlfn.SUMIFS('Diseases'!F2:F4303,'Diseases'!B2:B4303,A553,'Diseases'!C2:C4303,B553,'Diseases'!D2:D4303,C553)</f>
        <v>6999</v>
      </c>
      <c r="E553" s="22" cm="1">
        <f t="array" ref="E553">_xlfn.IFERROR(IF(INDEX('Diseases'!G2:G4303,MATCH(C553,'Diseases'!D2:D4303,0))="","",INDEX('Diseases'!G2:G4303,MATCH(C553,'Diseases'!D2:D4303,0))),"")</f>
        <v>6397690</v>
      </c>
      <c r="F553" s="23" cm="1">
        <f t="array" ref="F553">_xlfn.IFERROR(IF(E553="","",D553/E553*100000),"")</f>
        <v>109.398861151447</v>
      </c>
    </row>
    <row r="554" ht="13.65" customHeight="1">
      <c r="A554" t="s" s="26">
        <v>36</v>
      </c>
      <c r="B554" t="s" s="21">
        <v>65</v>
      </c>
      <c r="C554" t="s" s="21">
        <v>49</v>
      </c>
      <c r="D554" s="22" cm="1">
        <f t="array" ref="D554">_xlfn.SUMIFS('Diseases'!F2:F4303,'Diseases'!B2:B4303,A554,'Diseases'!C2:C4303,B554,'Diseases'!D2:D4303,C554)</f>
        <v>4388</v>
      </c>
      <c r="E554" s="22" cm="1">
        <f t="array" ref="E554">_xlfn.IFERROR(IF(INDEX('Diseases'!G2:G4303,MATCH(C554,'Diseases'!D2:D4303,0))="","",INDEX('Diseases'!G2:G4303,MATCH(C554,'Diseases'!D2:D4303,0))),"")</f>
        <v>6397690</v>
      </c>
      <c r="F554" s="23" cm="1">
        <f t="array" ref="F554">_xlfn.IFERROR(IF(E554="","",D554/E554*100000),"")</f>
        <v>68.58725571260879</v>
      </c>
    </row>
    <row r="555" ht="13.65" customHeight="1">
      <c r="A555" t="s" s="29">
        <v>39</v>
      </c>
      <c r="B555" t="s" s="21">
        <v>65</v>
      </c>
      <c r="C555" t="s" s="21">
        <v>49</v>
      </c>
      <c r="D555" s="22" cm="1">
        <f t="array" ref="D555">_xlfn.SUMIFS('Diseases'!F2:F4303,'Diseases'!B2:B4303,A555,'Diseases'!C2:C4303,B555,'Diseases'!D2:D4303,C555)</f>
        <v>2812</v>
      </c>
      <c r="E555" s="22" cm="1">
        <f t="array" ref="E555">_xlfn.IFERROR(IF(INDEX('Diseases'!G2:G4303,MATCH(C555,'Diseases'!D2:D4303,0))="","",INDEX('Diseases'!G2:G4303,MATCH(C555,'Diseases'!D2:D4303,0))),"")</f>
        <v>6397690</v>
      </c>
      <c r="F555" s="23" cm="1">
        <f t="array" ref="F555">_xlfn.IFERROR(IF(E555="","",D555/E555*100000),"")</f>
        <v>43.9533644174694</v>
      </c>
    </row>
    <row r="556" ht="13.65" customHeight="1">
      <c r="A556" t="s" s="27">
        <v>37</v>
      </c>
      <c r="B556" t="s" s="21">
        <v>65</v>
      </c>
      <c r="C556" t="s" s="21">
        <v>49</v>
      </c>
      <c r="D556" s="22" cm="1">
        <f t="array" ref="D556">_xlfn.SUMIFS('Diseases'!F2:F4303,'Diseases'!B2:B4303,A556,'Diseases'!C2:C4303,B556,'Diseases'!D2:D4303,C556)</f>
        <v>2122</v>
      </c>
      <c r="E556" s="22" cm="1">
        <f t="array" ref="E556">_xlfn.IFERROR(IF(INDEX('Diseases'!G2:G4303,MATCH(C556,'Diseases'!D2:D4303,0))="","",INDEX('Diseases'!G2:G4303,MATCH(C556,'Diseases'!D2:D4303,0))),"")</f>
        <v>6397690</v>
      </c>
      <c r="F556" s="23" cm="1">
        <f t="array" ref="F556">_xlfn.IFERROR(IF(E556="","",D556/E556*100000),"")</f>
        <v>33.1682216550036</v>
      </c>
    </row>
    <row r="557" ht="13.65" customHeight="1">
      <c r="A557" t="s" s="20">
        <v>30</v>
      </c>
      <c r="B557" t="s" s="21">
        <v>66</v>
      </c>
      <c r="C557" t="s" s="21">
        <v>49</v>
      </c>
      <c r="D557" s="22" cm="1">
        <f t="array" ref="D557">_xlfn.SUMIFS('Diseases'!F2:F4303,'Diseases'!B2:B4303,A557,'Diseases'!C2:C4303,B557,'Diseases'!D2:D4303,C557)</f>
        <v>13294</v>
      </c>
      <c r="E557" s="22" cm="1">
        <f t="array" ref="E557">_xlfn.IFERROR(IF(INDEX('Diseases'!G2:G4303,MATCH(C557,'Diseases'!D2:D4303,0))="","",INDEX('Diseases'!G2:G4303,MATCH(C557,'Diseases'!D2:D4303,0))),"")</f>
        <v>6397690</v>
      </c>
      <c r="F557" s="23" cm="1">
        <f t="array" ref="F557">_xlfn.IFERROR(IF(E557="","",D557/E557*100000),"")</f>
        <v>207.793750556842</v>
      </c>
    </row>
    <row r="558" ht="13.65" customHeight="1">
      <c r="A558" t="s" s="24">
        <v>34</v>
      </c>
      <c r="B558" t="s" s="21">
        <v>66</v>
      </c>
      <c r="C558" t="s" s="21">
        <v>49</v>
      </c>
      <c r="D558" s="22" cm="1">
        <f t="array" ref="D558">_xlfn.SUMIFS('Diseases'!F2:F4303,'Diseases'!B2:B4303,A558,'Diseases'!C2:C4303,B558,'Diseases'!D2:D4303,C558)</f>
        <v>7576</v>
      </c>
      <c r="E558" s="22" cm="1">
        <f t="array" ref="E558">_xlfn.IFERROR(IF(INDEX('Diseases'!G2:G4303,MATCH(C558,'Diseases'!D2:D4303,0))="","",INDEX('Diseases'!G2:G4303,MATCH(C558,'Diseases'!D2:D4303,0))),"")</f>
        <v>6397690</v>
      </c>
      <c r="F558" s="23" cm="1">
        <f t="array" ref="F558">_xlfn.IFERROR(IF(E558="","",D558/E558*100000),"")</f>
        <v>118.417741403538</v>
      </c>
    </row>
    <row r="559" ht="13.65" customHeight="1">
      <c r="A559" t="s" s="25">
        <v>35</v>
      </c>
      <c r="B559" t="s" s="21">
        <v>66</v>
      </c>
      <c r="C559" t="s" s="21">
        <v>49</v>
      </c>
      <c r="D559" s="22" cm="1">
        <f t="array" ref="D559">_xlfn.SUMIFS('Diseases'!F2:F4303,'Diseases'!B2:B4303,A559,'Diseases'!C2:C4303,B559,'Diseases'!D2:D4303,C559)</f>
        <v>4228</v>
      </c>
      <c r="E559" s="22" cm="1">
        <f t="array" ref="E559">_xlfn.IFERROR(IF(INDEX('Diseases'!G2:G4303,MATCH(C559,'Diseases'!D2:D4303,0))="","",INDEX('Diseases'!G2:G4303,MATCH(C559,'Diseases'!D2:D4303,0))),"")</f>
        <v>6397690</v>
      </c>
      <c r="F559" s="23" cm="1">
        <f t="array" ref="F559">_xlfn.IFERROR(IF(E559="","",D559/E559*100000),"")</f>
        <v>66.0863530430515</v>
      </c>
    </row>
    <row r="560" ht="13.65" customHeight="1">
      <c r="A560" t="s" s="26">
        <v>36</v>
      </c>
      <c r="B560" t="s" s="21">
        <v>66</v>
      </c>
      <c r="C560" t="s" s="21">
        <v>49</v>
      </c>
      <c r="D560" s="22" cm="1">
        <f t="array" ref="D560">_xlfn.SUMIFS('Diseases'!F2:F4303,'Diseases'!B2:B4303,A560,'Diseases'!C2:C4303,B560,'Diseases'!D2:D4303,C560)</f>
        <v>3464</v>
      </c>
      <c r="E560" s="22" cm="1">
        <f t="array" ref="E560">_xlfn.IFERROR(IF(INDEX('Diseases'!G2:G4303,MATCH(C560,'Diseases'!D2:D4303,0))="","",INDEX('Diseases'!G2:G4303,MATCH(C560,'Diseases'!D2:D4303,0))),"")</f>
        <v>6397690</v>
      </c>
      <c r="F560" s="23" cm="1">
        <f t="array" ref="F560">_xlfn.IFERROR(IF(E560="","",D560/E560*100000),"")</f>
        <v>54.1445427959154</v>
      </c>
    </row>
    <row r="561" ht="13.65" customHeight="1">
      <c r="A561" t="s" s="29">
        <v>39</v>
      </c>
      <c r="B561" t="s" s="21">
        <v>66</v>
      </c>
      <c r="C561" t="s" s="21">
        <v>49</v>
      </c>
      <c r="D561" s="22" cm="1">
        <f t="array" ref="D561">_xlfn.SUMIFS('Diseases'!F2:F4303,'Diseases'!B2:B4303,A561,'Diseases'!C2:C4303,B561,'Diseases'!D2:D4303,C561)</f>
        <v>2701</v>
      </c>
      <c r="E561" s="22" cm="1">
        <f t="array" ref="E561">_xlfn.IFERROR(IF(INDEX('Diseases'!G2:G4303,MATCH(C561,'Diseases'!D2:D4303,0))="","",INDEX('Diseases'!G2:G4303,MATCH(C561,'Diseases'!D2:D4303,0))),"")</f>
        <v>6397690</v>
      </c>
      <c r="F561" s="23" cm="1">
        <f t="array" ref="F561">_xlfn.IFERROR(IF(E561="","",D561/E561*100000),"")</f>
        <v>42.2183631904641</v>
      </c>
    </row>
    <row r="562" ht="13.65" customHeight="1">
      <c r="A562" t="s" s="27">
        <v>37</v>
      </c>
      <c r="B562" t="s" s="21">
        <v>66</v>
      </c>
      <c r="C562" t="s" s="21">
        <v>49</v>
      </c>
      <c r="D562" s="22" cm="1">
        <f t="array" ref="D562">_xlfn.SUMIFS('Diseases'!F2:F4303,'Diseases'!B2:B4303,A562,'Diseases'!C2:C4303,B562,'Diseases'!D2:D4303,C562)</f>
        <v>1682</v>
      </c>
      <c r="E562" s="22" cm="1">
        <f t="array" ref="E562">_xlfn.IFERROR(IF(INDEX('Diseases'!G2:G4303,MATCH(C562,'Diseases'!D2:D4303,0))="","",INDEX('Diseases'!G2:G4303,MATCH(C562,'Diseases'!D2:D4303,0))),"")</f>
        <v>6397690</v>
      </c>
      <c r="F562" s="23" cm="1">
        <f t="array" ref="F562">_xlfn.IFERROR(IF(E562="","",D562/E562*100000),"")</f>
        <v>26.290739313721</v>
      </c>
    </row>
    <row r="563" ht="13.65" customHeight="1">
      <c r="A563" t="s" s="28">
        <v>41</v>
      </c>
      <c r="B563" t="s" s="21">
        <v>66</v>
      </c>
      <c r="C563" t="s" s="21">
        <v>49</v>
      </c>
      <c r="D563" s="22" cm="1">
        <f t="array" ref="D563">_xlfn.SUMIFS('Diseases'!F2:F4303,'Diseases'!B2:B4303,A563,'Diseases'!C2:C4303,B563,'Diseases'!D2:D4303,C563)</f>
        <v>1621</v>
      </c>
      <c r="E563" s="22" cm="1">
        <f t="array" ref="E563">_xlfn.IFERROR(IF(INDEX('Diseases'!G2:G4303,MATCH(C563,'Diseases'!D2:D4303,0))="","",INDEX('Diseases'!G2:G4303,MATCH(C563,'Diseases'!D2:D4303,0))),"")</f>
        <v>6397690</v>
      </c>
      <c r="F563" s="23" cm="1">
        <f t="array" ref="F563">_xlfn.IFERROR(IF(E563="","",D563/E563*100000),"")</f>
        <v>25.3372701709523</v>
      </c>
    </row>
    <row r="564" ht="13.65" customHeight="1">
      <c r="A564" t="s" s="20">
        <v>30</v>
      </c>
      <c r="B564" t="s" s="21">
        <v>67</v>
      </c>
      <c r="C564" t="s" s="21">
        <v>49</v>
      </c>
      <c r="D564" s="22" cm="1">
        <f t="array" ref="D564">_xlfn.SUMIFS('Diseases'!F2:F4303,'Diseases'!B2:B4303,A564,'Diseases'!C2:C4303,B564,'Diseases'!D2:D4303,C564)</f>
        <v>15951</v>
      </c>
      <c r="E564" s="22" cm="1">
        <f t="array" ref="E564">_xlfn.IFERROR(IF(INDEX('Diseases'!G2:G4303,MATCH(C564,'Diseases'!D2:D4303,0))="","",INDEX('Diseases'!G2:G4303,MATCH(C564,'Diseases'!D2:D4303,0))),"")</f>
        <v>6397690</v>
      </c>
      <c r="F564" s="23" cm="1">
        <f t="array" ref="F564">_xlfn.IFERROR(IF(E564="","",D564/E564*100000),"")</f>
        <v>249.324365513177</v>
      </c>
    </row>
    <row r="565" ht="13.65" customHeight="1">
      <c r="A565" t="s" s="24">
        <v>34</v>
      </c>
      <c r="B565" t="s" s="21">
        <v>67</v>
      </c>
      <c r="C565" t="s" s="21">
        <v>49</v>
      </c>
      <c r="D565" s="22" cm="1">
        <f t="array" ref="D565">_xlfn.SUMIFS('Diseases'!F2:F4303,'Diseases'!B2:B4303,A565,'Diseases'!C2:C4303,B565,'Diseases'!D2:D4303,C565)</f>
        <v>8019</v>
      </c>
      <c r="E565" s="22" cm="1">
        <f t="array" ref="E565">_xlfn.IFERROR(IF(INDEX('Diseases'!G2:G4303,MATCH(C565,'Diseases'!D2:D4303,0))="","",INDEX('Diseases'!G2:G4303,MATCH(C565,'Diseases'!D2:D4303,0))),"")</f>
        <v>6397690</v>
      </c>
      <c r="F565" s="23" cm="1">
        <f t="array" ref="F565">_xlfn.IFERROR(IF(E565="","",D565/E565*100000),"")</f>
        <v>125.342115669875</v>
      </c>
    </row>
    <row r="566" ht="13.65" customHeight="1">
      <c r="A566" t="s" s="25">
        <v>35</v>
      </c>
      <c r="B566" t="s" s="21">
        <v>67</v>
      </c>
      <c r="C566" t="s" s="21">
        <v>49</v>
      </c>
      <c r="D566" s="22" cm="1">
        <f t="array" ref="D566">_xlfn.SUMIFS('Diseases'!F2:F4303,'Diseases'!B2:B4303,A566,'Diseases'!C2:C4303,B566,'Diseases'!D2:D4303,C566)</f>
        <v>4048</v>
      </c>
      <c r="E566" s="22" cm="1">
        <f t="array" ref="E566">_xlfn.IFERROR(IF(INDEX('Diseases'!G2:G4303,MATCH(C566,'Diseases'!D2:D4303,0))="","",INDEX('Diseases'!G2:G4303,MATCH(C566,'Diseases'!D2:D4303,0))),"")</f>
        <v>6397690</v>
      </c>
      <c r="F566" s="23" cm="1">
        <f t="array" ref="F566">_xlfn.IFERROR(IF(E566="","",D566/E566*100000),"")</f>
        <v>63.2728375397995</v>
      </c>
    </row>
    <row r="567" ht="13.65" customHeight="1">
      <c r="A567" t="s" s="26">
        <v>36</v>
      </c>
      <c r="B567" t="s" s="21">
        <v>67</v>
      </c>
      <c r="C567" t="s" s="21">
        <v>49</v>
      </c>
      <c r="D567" s="22" cm="1">
        <f t="array" ref="D567">_xlfn.SUMIFS('Diseases'!F2:F4303,'Diseases'!B2:B4303,A567,'Diseases'!C2:C4303,B567,'Diseases'!D2:D4303,C567)</f>
        <v>3358</v>
      </c>
      <c r="E567" s="22" cm="1">
        <f t="array" ref="E567">_xlfn.IFERROR(IF(INDEX('Diseases'!G2:G4303,MATCH(C567,'Diseases'!D2:D4303,0))="","",INDEX('Diseases'!G2:G4303,MATCH(C567,'Diseases'!D2:D4303,0))),"")</f>
        <v>6397690</v>
      </c>
      <c r="F567" s="23" cm="1">
        <f t="array" ref="F567">_xlfn.IFERROR(IF(E567="","",D567/E567*100000),"")</f>
        <v>52.4876947773337</v>
      </c>
    </row>
    <row r="568" ht="13.65" customHeight="1">
      <c r="A568" t="s" s="27">
        <v>37</v>
      </c>
      <c r="B568" t="s" s="21">
        <v>67</v>
      </c>
      <c r="C568" t="s" s="21">
        <v>49</v>
      </c>
      <c r="D568" s="22" cm="1">
        <f t="array" ref="D568">_xlfn.SUMIFS('Diseases'!F2:F4303,'Diseases'!B2:B4303,A568,'Diseases'!C2:C4303,B568,'Diseases'!D2:D4303,C568)</f>
        <v>2661</v>
      </c>
      <c r="E568" s="22" cm="1">
        <f t="array" ref="E568">_xlfn.IFERROR(IF(INDEX('Diseases'!G2:G4303,MATCH(C568,'Diseases'!D2:D4303,0))="","",INDEX('Diseases'!G2:G4303,MATCH(C568,'Diseases'!D2:D4303,0))),"")</f>
        <v>6397690</v>
      </c>
      <c r="F568" s="23" cm="1">
        <f t="array" ref="F568">_xlfn.IFERROR(IF(E568="","",D568/E568*100000),"")</f>
        <v>41.5931375230747</v>
      </c>
    </row>
    <row r="569" ht="13.65" customHeight="1">
      <c r="A569" t="s" s="29">
        <v>39</v>
      </c>
      <c r="B569" t="s" s="21">
        <v>67</v>
      </c>
      <c r="C569" t="s" s="21">
        <v>49</v>
      </c>
      <c r="D569" s="22" cm="1">
        <f t="array" ref="D569">_xlfn.SUMIFS('Diseases'!F2:F4303,'Diseases'!B2:B4303,A569,'Diseases'!C2:C4303,B569,'Diseases'!D2:D4303,C569)</f>
        <v>2473</v>
      </c>
      <c r="E569" s="22" cm="1">
        <f t="array" ref="E569">_xlfn.IFERROR(IF(INDEX('Diseases'!G2:G4303,MATCH(C569,'Diseases'!D2:D4303,0))="","",INDEX('Diseases'!G2:G4303,MATCH(C569,'Diseases'!D2:D4303,0))),"")</f>
        <v>6397690</v>
      </c>
      <c r="F569" s="23" cm="1">
        <f t="array" ref="F569">_xlfn.IFERROR(IF(E569="","",D569/E569*100000),"")</f>
        <v>38.6545768863449</v>
      </c>
    </row>
    <row r="570" ht="13.65" customHeight="1">
      <c r="A570" t="s" s="28">
        <v>41</v>
      </c>
      <c r="B570" t="s" s="21">
        <v>67</v>
      </c>
      <c r="C570" t="s" s="21">
        <v>49</v>
      </c>
      <c r="D570" s="22" cm="1">
        <f t="array" ref="D570">_xlfn.SUMIFS('Diseases'!F2:F4303,'Diseases'!B2:B4303,A570,'Diseases'!C2:C4303,B570,'Diseases'!D2:D4303,C570)</f>
        <v>1533</v>
      </c>
      <c r="E570" s="22" cm="1">
        <f t="array" ref="E570">_xlfn.IFERROR(IF(INDEX('Diseases'!G2:G4303,MATCH(C570,'Diseases'!D2:D4303,0))="","",INDEX('Diseases'!G2:G4303,MATCH(C570,'Diseases'!D2:D4303,0))),"")</f>
        <v>6397690</v>
      </c>
      <c r="F570" s="23" cm="1">
        <f t="array" ref="F570">_xlfn.IFERROR(IF(E570="","",D570/E570*100000),"")</f>
        <v>23.9617737026958</v>
      </c>
    </row>
    <row r="571" ht="13.65" customHeight="1">
      <c r="A571" t="s" s="20">
        <v>30</v>
      </c>
      <c r="B571" t="s" s="21">
        <v>68</v>
      </c>
      <c r="C571" t="s" s="21">
        <v>49</v>
      </c>
      <c r="D571" s="22" cm="1">
        <f t="array" ref="D571">_xlfn.SUMIFS('Diseases'!F2:F4303,'Diseases'!B2:B4303,A571,'Diseases'!C2:C4303,B571,'Diseases'!D2:D4303,C571)</f>
        <v>31746</v>
      </c>
      <c r="E571" s="22" cm="1">
        <f t="array" ref="E571">_xlfn.IFERROR(IF(INDEX('Diseases'!G2:G4303,MATCH(C571,'Diseases'!D2:D4303,0))="","",INDEX('Diseases'!G2:G4303,MATCH(C571,'Diseases'!D2:D4303,0))),"")</f>
        <v>6397690</v>
      </c>
      <c r="F571" s="23" cm="1">
        <f t="array" ref="F571">_xlfn.IFERROR(IF(E571="","",D571/E571*100000),"")</f>
        <v>496.210350923536</v>
      </c>
    </row>
    <row r="572" ht="13.65" customHeight="1">
      <c r="A572" t="s" s="24">
        <v>34</v>
      </c>
      <c r="B572" t="s" s="21">
        <v>68</v>
      </c>
      <c r="C572" t="s" s="21">
        <v>49</v>
      </c>
      <c r="D572" s="22" cm="1">
        <f t="array" ref="D572">_xlfn.SUMIFS('Diseases'!F2:F4303,'Diseases'!B2:B4303,A572,'Diseases'!C2:C4303,B572,'Diseases'!D2:D4303,C572)</f>
        <v>8049</v>
      </c>
      <c r="E572" s="22" cm="1">
        <f t="array" ref="E572">_xlfn.IFERROR(IF(INDEX('Diseases'!G2:G4303,MATCH(C572,'Diseases'!D2:D4303,0))="","",INDEX('Diseases'!G2:G4303,MATCH(C572,'Diseases'!D2:D4303,0))),"")</f>
        <v>6397690</v>
      </c>
      <c r="F572" s="23" cm="1">
        <f t="array" ref="F572">_xlfn.IFERROR(IF(E572="","",D572/E572*100000),"")</f>
        <v>125.811034920417</v>
      </c>
    </row>
    <row r="573" ht="13.65" customHeight="1">
      <c r="A573" t="s" s="29">
        <v>39</v>
      </c>
      <c r="B573" t="s" s="21">
        <v>68</v>
      </c>
      <c r="C573" t="s" s="21">
        <v>49</v>
      </c>
      <c r="D573" s="22" cm="1">
        <f t="array" ref="D573">_xlfn.SUMIFS('Diseases'!F2:F4303,'Diseases'!B2:B4303,A573,'Diseases'!C2:C4303,B573,'Diseases'!D2:D4303,C573)</f>
        <v>3106</v>
      </c>
      <c r="E573" s="22" cm="1">
        <f t="array" ref="E573">_xlfn.IFERROR(IF(INDEX('Diseases'!G2:G4303,MATCH(C573,'Diseases'!D2:D4303,0))="","",INDEX('Diseases'!G2:G4303,MATCH(C573,'Diseases'!D2:D4303,0))),"")</f>
        <v>6397690</v>
      </c>
      <c r="F573" s="23" cm="1">
        <f t="array" ref="F573">_xlfn.IFERROR(IF(E573="","",D573/E573*100000),"")</f>
        <v>48.548773072781</v>
      </c>
    </row>
    <row r="574" ht="13.65" customHeight="1">
      <c r="A574" t="s" s="25">
        <v>35</v>
      </c>
      <c r="B574" t="s" s="21">
        <v>68</v>
      </c>
      <c r="C574" t="s" s="21">
        <v>49</v>
      </c>
      <c r="D574" s="22" cm="1">
        <f t="array" ref="D574">_xlfn.SUMIFS('Diseases'!F2:F4303,'Diseases'!B2:B4303,A574,'Diseases'!C2:C4303,B574,'Diseases'!D2:D4303,C574)</f>
        <v>3016</v>
      </c>
      <c r="E574" s="22" cm="1">
        <f t="array" ref="E574">_xlfn.IFERROR(IF(INDEX('Diseases'!G2:G4303,MATCH(C574,'Diseases'!D2:D4303,0))="","",INDEX('Diseases'!G2:G4303,MATCH(C574,'Diseases'!D2:D4303,0))),"")</f>
        <v>6397690</v>
      </c>
      <c r="F574" s="23" cm="1">
        <f t="array" ref="F574">_xlfn.IFERROR(IF(E574="","",D574/E574*100000),"")</f>
        <v>47.142015321155</v>
      </c>
    </row>
    <row r="575" ht="13.65" customHeight="1">
      <c r="A575" t="s" s="26">
        <v>36</v>
      </c>
      <c r="B575" t="s" s="21">
        <v>68</v>
      </c>
      <c r="C575" t="s" s="21">
        <v>49</v>
      </c>
      <c r="D575" s="22" cm="1">
        <f t="array" ref="D575">_xlfn.SUMIFS('Diseases'!F2:F4303,'Diseases'!B2:B4303,A575,'Diseases'!C2:C4303,B575,'Diseases'!D2:D4303,C575)</f>
        <v>1782</v>
      </c>
      <c r="E575" s="22" cm="1">
        <f t="array" ref="E575">_xlfn.IFERROR(IF(INDEX('Diseases'!G2:G4303,MATCH(C575,'Diseases'!D2:D4303,0))="","",INDEX('Diseases'!G2:G4303,MATCH(C575,'Diseases'!D2:D4303,0))),"")</f>
        <v>6397690</v>
      </c>
      <c r="F575" s="23" cm="1">
        <f t="array" ref="F575">_xlfn.IFERROR(IF(E575="","",D575/E575*100000),"")</f>
        <v>27.8538034821944</v>
      </c>
    </row>
    <row r="576" ht="13.65" customHeight="1">
      <c r="A576" t="s" s="27">
        <v>37</v>
      </c>
      <c r="B576" t="s" s="21">
        <v>68</v>
      </c>
      <c r="C576" t="s" s="21">
        <v>49</v>
      </c>
      <c r="D576" s="22" cm="1">
        <f t="array" ref="D576">_xlfn.SUMIFS('Diseases'!F2:F4303,'Diseases'!B2:B4303,A576,'Diseases'!C2:C4303,B576,'Diseases'!D2:D4303,C576)</f>
        <v>1618</v>
      </c>
      <c r="E576" s="22" cm="1">
        <f t="array" ref="E576">_xlfn.IFERROR(IF(INDEX('Diseases'!G2:G4303,MATCH(C576,'Diseases'!D2:D4303,0))="","",INDEX('Diseases'!G2:G4303,MATCH(C576,'Diseases'!D2:D4303,0))),"")</f>
        <v>6397690</v>
      </c>
      <c r="F576" s="23" cm="1">
        <f t="array" ref="F576">_xlfn.IFERROR(IF(E576="","",D576/E576*100000),"")</f>
        <v>25.2903782458981</v>
      </c>
    </row>
    <row r="577" ht="13.65" customHeight="1">
      <c r="A577" t="s" s="20">
        <v>30</v>
      </c>
      <c r="B577" t="s" s="21">
        <v>69</v>
      </c>
      <c r="C577" t="s" s="21">
        <v>49</v>
      </c>
      <c r="D577" s="22" cm="1">
        <f t="array" ref="D577">_xlfn.SUMIFS('Diseases'!F2:F4303,'Diseases'!B2:B4303,A577,'Diseases'!C2:C4303,B577,'Diseases'!D2:D4303,C577)</f>
        <v>10071</v>
      </c>
      <c r="E577" s="22" cm="1">
        <f t="array" ref="E577">_xlfn.IFERROR(IF(INDEX('Diseases'!G2:G4303,MATCH(C577,'Diseases'!D2:D4303,0))="","",INDEX('Diseases'!G2:G4303,MATCH(C577,'Diseases'!D2:D4303,0))),"")</f>
        <v>6397690</v>
      </c>
      <c r="F577" s="23" cm="1">
        <f t="array" ref="F577">_xlfn.IFERROR(IF(E577="","",D577/E577*100000),"")</f>
        <v>157.416192406947</v>
      </c>
    </row>
    <row r="578" ht="13.65" customHeight="1">
      <c r="A578" t="s" s="25">
        <v>35</v>
      </c>
      <c r="B578" t="s" s="21">
        <v>69</v>
      </c>
      <c r="C578" t="s" s="21">
        <v>49</v>
      </c>
      <c r="D578" s="22" cm="1">
        <f t="array" ref="D578">_xlfn.SUMIFS('Diseases'!F2:F4303,'Diseases'!B2:B4303,A578,'Diseases'!C2:C4303,B578,'Diseases'!D2:D4303,C578)</f>
        <v>3704</v>
      </c>
      <c r="E578" s="22" cm="1">
        <f t="array" ref="E578">_xlfn.IFERROR(IF(INDEX('Diseases'!G2:G4303,MATCH(C578,'Diseases'!D2:D4303,0))="","",INDEX('Diseases'!G2:G4303,MATCH(C578,'Diseases'!D2:D4303,0))),"")</f>
        <v>6397690</v>
      </c>
      <c r="F578" s="23" cm="1">
        <f t="array" ref="F578">_xlfn.IFERROR(IF(E578="","",D578/E578*100000),"")</f>
        <v>57.8958968002513</v>
      </c>
    </row>
    <row r="579" ht="13.65" customHeight="1">
      <c r="A579" t="s" s="24">
        <v>34</v>
      </c>
      <c r="B579" t="s" s="21">
        <v>69</v>
      </c>
      <c r="C579" t="s" s="21">
        <v>49</v>
      </c>
      <c r="D579" s="22" cm="1">
        <f t="array" ref="D579">_xlfn.SUMIFS('Diseases'!F2:F4303,'Diseases'!B2:B4303,A579,'Diseases'!C2:C4303,B579,'Diseases'!D2:D4303,C579)</f>
        <v>2818</v>
      </c>
      <c r="E579" s="22" cm="1">
        <f t="array" ref="E579">_xlfn.IFERROR(IF(INDEX('Diseases'!G2:G4303,MATCH(C579,'Diseases'!D2:D4303,0))="","",INDEX('Diseases'!G2:G4303,MATCH(C579,'Diseases'!D2:D4303,0))),"")</f>
        <v>6397690</v>
      </c>
      <c r="F579" s="23" cm="1">
        <f t="array" ref="F579">_xlfn.IFERROR(IF(E579="","",D579/E579*100000),"")</f>
        <v>44.0471482675778</v>
      </c>
    </row>
    <row r="580" ht="13.65" customHeight="1">
      <c r="A580" t="s" s="26">
        <v>36</v>
      </c>
      <c r="B580" t="s" s="21">
        <v>69</v>
      </c>
      <c r="C580" t="s" s="21">
        <v>49</v>
      </c>
      <c r="D580" s="22" cm="1">
        <f t="array" ref="D580">_xlfn.SUMIFS('Diseases'!F2:F4303,'Diseases'!B2:B4303,A580,'Diseases'!C2:C4303,B580,'Diseases'!D2:D4303,C580)</f>
        <v>1508</v>
      </c>
      <c r="E580" s="22" cm="1">
        <f t="array" ref="E580">_xlfn.IFERROR(IF(INDEX('Diseases'!G2:G4303,MATCH(C580,'Diseases'!D2:D4303,0))="","",INDEX('Diseases'!G2:G4303,MATCH(C580,'Diseases'!D2:D4303,0))),"")</f>
        <v>6397690</v>
      </c>
      <c r="F580" s="23" cm="1">
        <f t="array" ref="F580">_xlfn.IFERROR(IF(E580="","",D580/E580*100000),"")</f>
        <v>23.5710076605775</v>
      </c>
    </row>
    <row r="581" ht="13.65" customHeight="1">
      <c r="A581" t="s" s="29">
        <v>39</v>
      </c>
      <c r="B581" t="s" s="21">
        <v>69</v>
      </c>
      <c r="C581" t="s" s="21">
        <v>49</v>
      </c>
      <c r="D581" s="22" cm="1">
        <f t="array" ref="D581">_xlfn.SUMIFS('Diseases'!F2:F4303,'Diseases'!B2:B4303,A581,'Diseases'!C2:C4303,B581,'Diseases'!D2:D4303,C581)</f>
        <v>983</v>
      </c>
      <c r="E581" s="22" cm="1">
        <f t="array" ref="E581">_xlfn.IFERROR(IF(INDEX('Diseases'!G2:G4303,MATCH(C581,'Diseases'!D2:D4303,0))="","",INDEX('Diseases'!G2:G4303,MATCH(C581,'Diseases'!D2:D4303,0))),"")</f>
        <v>6397690</v>
      </c>
      <c r="F581" s="23" cm="1">
        <f t="array" ref="F581">_xlfn.IFERROR(IF(E581="","",D581/E581*100000),"")</f>
        <v>15.3649207760926</v>
      </c>
    </row>
    <row r="582" ht="13.65" customHeight="1">
      <c r="A582" t="s" s="28">
        <v>41</v>
      </c>
      <c r="B582" t="s" s="21">
        <v>69</v>
      </c>
      <c r="C582" t="s" s="21">
        <v>49</v>
      </c>
      <c r="D582" s="22" cm="1">
        <f t="array" ref="D582">_xlfn.SUMIFS('Diseases'!F2:F4303,'Diseases'!B2:B4303,A582,'Diseases'!C2:C4303,B582,'Diseases'!D2:D4303,C582)</f>
        <v>851</v>
      </c>
      <c r="E582" s="22" cm="1">
        <f t="array" ref="E582">_xlfn.IFERROR(IF(INDEX('Diseases'!G2:G4303,MATCH(C582,'Diseases'!D2:D4303,0))="","",INDEX('Diseases'!G2:G4303,MATCH(C582,'Diseases'!D2:D4303,0))),"")</f>
        <v>6397690</v>
      </c>
      <c r="F582" s="23" cm="1">
        <f t="array" ref="F582">_xlfn.IFERROR(IF(E582="","",D582/E582*100000),"")</f>
        <v>13.3016760737079</v>
      </c>
    </row>
    <row r="583" ht="13.65" customHeight="1">
      <c r="A583" t="s" s="20">
        <v>30</v>
      </c>
      <c r="B583" t="s" s="21">
        <v>70</v>
      </c>
      <c r="C583" t="s" s="21">
        <v>49</v>
      </c>
      <c r="D583" s="22" cm="1">
        <f t="array" ref="D583">_xlfn.SUMIFS('Diseases'!F2:F4303,'Diseases'!B2:B4303,A583,'Diseases'!C2:C4303,B583,'Diseases'!D2:D4303,C583)</f>
        <v>16144</v>
      </c>
      <c r="E583" s="22" cm="1">
        <f t="array" ref="E583">_xlfn.IFERROR(IF(INDEX('Diseases'!G2:G4303,MATCH(C583,'Diseases'!D2:D4303,0))="","",INDEX('Diseases'!G2:G4303,MATCH(C583,'Diseases'!D2:D4303,0))),"")</f>
        <v>6397690</v>
      </c>
      <c r="F583" s="23" cm="1">
        <f t="array" ref="F583">_xlfn.IFERROR(IF(E583="","",D583/E583*100000),"")</f>
        <v>252.341079358331</v>
      </c>
    </row>
    <row r="584" ht="13.65" customHeight="1">
      <c r="A584" t="s" s="24">
        <v>34</v>
      </c>
      <c r="B584" t="s" s="21">
        <v>70</v>
      </c>
      <c r="C584" t="s" s="21">
        <v>49</v>
      </c>
      <c r="D584" s="22" cm="1">
        <f t="array" ref="D584">_xlfn.SUMIFS('Diseases'!F2:F4303,'Diseases'!B2:B4303,A584,'Diseases'!C2:C4303,B584,'Diseases'!D2:D4303,C584)</f>
        <v>5331</v>
      </c>
      <c r="E584" s="22" cm="1">
        <f t="array" ref="E584">_xlfn.IFERROR(IF(INDEX('Diseases'!G2:G4303,MATCH(C584,'Diseases'!D2:D4303,0))="","",INDEX('Diseases'!G2:G4303,MATCH(C584,'Diseases'!D2:D4303,0))),"")</f>
        <v>6397690</v>
      </c>
      <c r="F584" s="23" cm="1">
        <f t="array" ref="F584">_xlfn.IFERROR(IF(E584="","",D584/E584*100000),"")</f>
        <v>83.3269508213121</v>
      </c>
    </row>
    <row r="585" ht="13.65" customHeight="1">
      <c r="A585" t="s" s="25">
        <v>35</v>
      </c>
      <c r="B585" t="s" s="21">
        <v>70</v>
      </c>
      <c r="C585" t="s" s="21">
        <v>49</v>
      </c>
      <c r="D585" s="22" cm="1">
        <f t="array" ref="D585">_xlfn.SUMIFS('Diseases'!F2:F4303,'Diseases'!B2:B4303,A585,'Diseases'!C2:C4303,B585,'Diseases'!D2:D4303,C585)</f>
        <v>4818</v>
      </c>
      <c r="E585" s="22" cm="1">
        <f t="array" ref="E585">_xlfn.IFERROR(IF(INDEX('Diseases'!G2:G4303,MATCH(C585,'Diseases'!D2:D4303,0))="","",INDEX('Diseases'!G2:G4303,MATCH(C585,'Diseases'!D2:D4303,0))),"")</f>
        <v>6397690</v>
      </c>
      <c r="F585" s="23" cm="1">
        <f t="array" ref="F585">_xlfn.IFERROR(IF(E585="","",D585/E585*100000),"")</f>
        <v>75.308431637044</v>
      </c>
    </row>
    <row r="586" ht="13.65" customHeight="1">
      <c r="A586" t="s" s="29">
        <v>39</v>
      </c>
      <c r="B586" t="s" s="21">
        <v>70</v>
      </c>
      <c r="C586" t="s" s="21">
        <v>49</v>
      </c>
      <c r="D586" s="22" cm="1">
        <f t="array" ref="D586">_xlfn.SUMIFS('Diseases'!F2:F4303,'Diseases'!B2:B4303,A586,'Diseases'!C2:C4303,B586,'Diseases'!D2:D4303,C586)</f>
        <v>1718</v>
      </c>
      <c r="E586" s="22" cm="1">
        <f t="array" ref="E586">_xlfn.IFERROR(IF(INDEX('Diseases'!G2:G4303,MATCH(C586,'Diseases'!D2:D4303,0))="","",INDEX('Diseases'!G2:G4303,MATCH(C586,'Diseases'!D2:D4303,0))),"")</f>
        <v>6397690</v>
      </c>
      <c r="F586" s="23" cm="1">
        <f t="array" ref="F586">_xlfn.IFERROR(IF(E586="","",D586/E586*100000),"")</f>
        <v>26.8534424143714</v>
      </c>
    </row>
    <row r="587" ht="13.65" customHeight="1">
      <c r="A587" t="s" s="28">
        <v>41</v>
      </c>
      <c r="B587" t="s" s="21">
        <v>70</v>
      </c>
      <c r="C587" t="s" s="21">
        <v>49</v>
      </c>
      <c r="D587" s="22" cm="1">
        <f t="array" ref="D587">_xlfn.SUMIFS('Diseases'!F2:F4303,'Diseases'!B2:B4303,A587,'Diseases'!C2:C4303,B587,'Diseases'!D2:D4303,C587)</f>
        <v>1308</v>
      </c>
      <c r="E587" s="22" cm="1">
        <f t="array" ref="E587">_xlfn.IFERROR(IF(INDEX('Diseases'!G2:G4303,MATCH(C587,'Diseases'!D2:D4303,0))="","",INDEX('Diseases'!G2:G4303,MATCH(C587,'Diseases'!D2:D4303,0))),"")</f>
        <v>6397690</v>
      </c>
      <c r="F587" s="23" cm="1">
        <f t="array" ref="F587">_xlfn.IFERROR(IF(E587="","",D587/E587*100000),"")</f>
        <v>20.4448793236309</v>
      </c>
    </row>
    <row r="588" ht="13.65" customHeight="1">
      <c r="A588" t="s" s="26">
        <v>36</v>
      </c>
      <c r="B588" t="s" s="21">
        <v>70</v>
      </c>
      <c r="C588" t="s" s="21">
        <v>49</v>
      </c>
      <c r="D588" s="22" cm="1">
        <f t="array" ref="D588">_xlfn.SUMIFS('Diseases'!F2:F4303,'Diseases'!B2:B4303,A588,'Diseases'!C2:C4303,B588,'Diseases'!D2:D4303,C588)</f>
        <v>1224</v>
      </c>
      <c r="E588" s="22" cm="1">
        <f t="array" ref="E588">_xlfn.IFERROR(IF(INDEX('Diseases'!G2:G4303,MATCH(C588,'Diseases'!D2:D4303,0))="","",INDEX('Diseases'!G2:G4303,MATCH(C588,'Diseases'!D2:D4303,0))),"")</f>
        <v>6397690</v>
      </c>
      <c r="F588" s="23" cm="1">
        <f t="array" ref="F588">_xlfn.IFERROR(IF(E588="","",D588/E588*100000),"")</f>
        <v>19.1319054221133</v>
      </c>
    </row>
    <row r="589" ht="13.65" customHeight="1">
      <c r="A589" t="s" s="20">
        <v>30</v>
      </c>
      <c r="B589" t="s" s="21">
        <v>31</v>
      </c>
      <c r="C589" t="s" s="21">
        <v>51</v>
      </c>
      <c r="D589" s="22" cm="1">
        <f t="array" ref="D589">_xlfn.SUMIFS('Diseases'!F2:F4303,'Diseases'!B2:B4303,A589,'Diseases'!C2:C4303,B589,'Diseases'!D2:D4303,C589)</f>
        <v>5419</v>
      </c>
      <c r="E589" t="str" s="34" cm="1">
        <f t="array" ref="E589">_xlfn.IFERROR(IF(INDEX('Diseases'!G2:G4303,MATCH(C589,'Diseases'!D2:D4303,0))="","",INDEX('Diseases'!G2:G4303,MATCH(C589,'Diseases'!D2:D4303,0))),"")</f>
      </c>
      <c r="F589" t="str" s="34" cm="1">
        <f t="array" ref="F589">_xlfn.IFERROR(IF(E589="","",D589/E589*100000),"")</f>
      </c>
    </row>
    <row r="590" ht="13.65" customHeight="1">
      <c r="A590" t="s" s="24">
        <v>34</v>
      </c>
      <c r="B590" t="s" s="21">
        <v>31</v>
      </c>
      <c r="C590" t="s" s="21">
        <v>51</v>
      </c>
      <c r="D590" s="22" cm="1">
        <f t="array" ref="D590">_xlfn.SUMIFS('Diseases'!F2:F4303,'Diseases'!B2:B4303,A590,'Diseases'!C2:C4303,B590,'Diseases'!D2:D4303,C590)</f>
        <v>2422</v>
      </c>
      <c r="E590" t="str" s="34" cm="1">
        <f t="array" ref="E590">_xlfn.IFERROR(IF(INDEX('Diseases'!G2:G4303,MATCH(C590,'Diseases'!D2:D4303,0))="","",INDEX('Diseases'!G2:G4303,MATCH(C590,'Diseases'!D2:D4303,0))),"")</f>
      </c>
      <c r="F590" t="str" s="34" cm="1">
        <f t="array" ref="F590">_xlfn.IFERROR(IF(E590="","",D590/E590*100000),"")</f>
      </c>
    </row>
    <row r="591" ht="13.65" customHeight="1">
      <c r="A591" t="s" s="25">
        <v>35</v>
      </c>
      <c r="B591" t="s" s="21">
        <v>31</v>
      </c>
      <c r="C591" t="s" s="21">
        <v>51</v>
      </c>
      <c r="D591" s="22" cm="1">
        <f t="array" ref="D591">_xlfn.SUMIFS('Diseases'!F2:F4303,'Diseases'!B2:B4303,A591,'Diseases'!C2:C4303,B591,'Diseases'!D2:D4303,C591)</f>
        <v>1065</v>
      </c>
      <c r="E591" t="str" s="34" cm="1">
        <f t="array" ref="E591">_xlfn.IFERROR(IF(INDEX('Diseases'!G2:G4303,MATCH(C591,'Diseases'!D2:D4303,0))="","",INDEX('Diseases'!G2:G4303,MATCH(C591,'Diseases'!D2:D4303,0))),"")</f>
      </c>
      <c r="F591" t="str" s="34" cm="1">
        <f t="array" ref="F591">_xlfn.IFERROR(IF(E591="","",D591/E591*100000),"")</f>
      </c>
    </row>
    <row r="592" ht="13.65" customHeight="1">
      <c r="A592" t="s" s="29">
        <v>39</v>
      </c>
      <c r="B592" t="s" s="21">
        <v>31</v>
      </c>
      <c r="C592" t="s" s="21">
        <v>51</v>
      </c>
      <c r="D592" s="22" cm="1">
        <f t="array" ref="D592">_xlfn.SUMIFS('Diseases'!F2:F4303,'Diseases'!B2:B4303,A592,'Diseases'!C2:C4303,B592,'Diseases'!D2:D4303,C592)</f>
        <v>722</v>
      </c>
      <c r="E592" t="str" s="34" cm="1">
        <f t="array" ref="E592">_xlfn.IFERROR(IF(INDEX('Diseases'!G2:G4303,MATCH(C592,'Diseases'!D2:D4303,0))="","",INDEX('Diseases'!G2:G4303,MATCH(C592,'Diseases'!D2:D4303,0))),"")</f>
      </c>
      <c r="F592" t="str" s="34" cm="1">
        <f t="array" ref="F592">_xlfn.IFERROR(IF(E592="","",D592/E592*100000),"")</f>
      </c>
    </row>
    <row r="593" ht="13.65" customHeight="1">
      <c r="A593" t="s" s="26">
        <v>36</v>
      </c>
      <c r="B593" t="s" s="21">
        <v>31</v>
      </c>
      <c r="C593" t="s" s="21">
        <v>51</v>
      </c>
      <c r="D593" s="22" cm="1">
        <f t="array" ref="D593">_xlfn.SUMIFS('Diseases'!F2:F4303,'Diseases'!B2:B4303,A593,'Diseases'!C2:C4303,B593,'Diseases'!D2:D4303,C593)</f>
        <v>112</v>
      </c>
      <c r="E593" t="str" s="34" cm="1">
        <f t="array" ref="E593">_xlfn.IFERROR(IF(INDEX('Diseases'!G2:G4303,MATCH(C593,'Diseases'!D2:D4303,0))="","",INDEX('Diseases'!G2:G4303,MATCH(C593,'Diseases'!D2:D4303,0))),"")</f>
      </c>
      <c r="F593" t="str" s="34" cm="1">
        <f t="array" ref="F593">_xlfn.IFERROR(IF(E593="","",D593/E593*100000),"")</f>
      </c>
    </row>
    <row r="594" ht="13.65" customHeight="1">
      <c r="A594" t="s" s="27">
        <v>37</v>
      </c>
      <c r="B594" t="s" s="21">
        <v>31</v>
      </c>
      <c r="C594" t="s" s="21">
        <v>51</v>
      </c>
      <c r="D594" s="22" cm="1">
        <f t="array" ref="D594">_xlfn.SUMIFS('Diseases'!F2:F4303,'Diseases'!B2:B4303,A594,'Diseases'!C2:C4303,B594,'Diseases'!D2:D4303,C594)</f>
        <v>70</v>
      </c>
      <c r="E594" t="str" s="34" cm="1">
        <f t="array" ref="E594">_xlfn.IFERROR(IF(INDEX('Diseases'!G2:G4303,MATCH(C594,'Diseases'!D2:D4303,0))="","",INDEX('Diseases'!G2:G4303,MATCH(C594,'Diseases'!D2:D4303,0))),"")</f>
      </c>
      <c r="F594" t="str" s="34" cm="1">
        <f t="array" ref="F594">_xlfn.IFERROR(IF(E594="","",D594/E594*100000),"")</f>
      </c>
    </row>
    <row r="595" ht="13.65" customHeight="1">
      <c r="A595" t="s" s="20">
        <v>30</v>
      </c>
      <c r="B595" t="s" s="21">
        <v>60</v>
      </c>
      <c r="C595" t="s" s="21">
        <v>51</v>
      </c>
      <c r="D595" s="22" cm="1">
        <f t="array" ref="D595">_xlfn.SUMIFS('Diseases'!F2:F4303,'Diseases'!B2:B4303,A595,'Diseases'!C2:C4303,B595,'Diseases'!D2:D4303,C595)</f>
        <v>6148</v>
      </c>
      <c r="E595" t="str" s="34" cm="1">
        <f t="array" ref="E595">_xlfn.IFERROR(IF(INDEX('Diseases'!G2:G4303,MATCH(C595,'Diseases'!D2:D4303,0))="","",INDEX('Diseases'!G2:G4303,MATCH(C595,'Diseases'!D2:D4303,0))),"")</f>
      </c>
      <c r="F595" t="str" s="34" cm="1">
        <f t="array" ref="F595">_xlfn.IFERROR(IF(E595="","",D595/E595*100000),"")</f>
      </c>
    </row>
    <row r="596" ht="13.65" customHeight="1">
      <c r="A596" t="s" s="24">
        <v>34</v>
      </c>
      <c r="B596" t="s" s="21">
        <v>60</v>
      </c>
      <c r="C596" t="s" s="21">
        <v>51</v>
      </c>
      <c r="D596" s="22" cm="1">
        <f t="array" ref="D596">_xlfn.SUMIFS('Diseases'!F2:F4303,'Diseases'!B2:B4303,A596,'Diseases'!C2:C4303,B596,'Diseases'!D2:D4303,C596)</f>
        <v>2322</v>
      </c>
      <c r="E596" t="str" s="34" cm="1">
        <f t="array" ref="E596">_xlfn.IFERROR(IF(INDEX('Diseases'!G2:G4303,MATCH(C596,'Diseases'!D2:D4303,0))="","",INDEX('Diseases'!G2:G4303,MATCH(C596,'Diseases'!D2:D4303,0))),"")</f>
      </c>
      <c r="F596" t="str" s="34" cm="1">
        <f t="array" ref="F596">_xlfn.IFERROR(IF(E596="","",D596/E596*100000),"")</f>
      </c>
    </row>
    <row r="597" ht="13.65" customHeight="1">
      <c r="A597" t="s" s="25">
        <v>35</v>
      </c>
      <c r="B597" t="s" s="21">
        <v>60</v>
      </c>
      <c r="C597" t="s" s="21">
        <v>51</v>
      </c>
      <c r="D597" s="22" cm="1">
        <f t="array" ref="D597">_xlfn.SUMIFS('Diseases'!F2:F4303,'Diseases'!B2:B4303,A597,'Diseases'!C2:C4303,B597,'Diseases'!D2:D4303,C597)</f>
        <v>857</v>
      </c>
      <c r="E597" t="str" s="34" cm="1">
        <f t="array" ref="E597">_xlfn.IFERROR(IF(INDEX('Diseases'!G2:G4303,MATCH(C597,'Diseases'!D2:D4303,0))="","",INDEX('Diseases'!G2:G4303,MATCH(C597,'Diseases'!D2:D4303,0))),"")</f>
      </c>
      <c r="F597" t="str" s="34" cm="1">
        <f t="array" ref="F597">_xlfn.IFERROR(IF(E597="","",D597/E597*100000),"")</f>
      </c>
    </row>
    <row r="598" ht="13.65" customHeight="1">
      <c r="A598" t="s" s="29">
        <v>39</v>
      </c>
      <c r="B598" t="s" s="21">
        <v>60</v>
      </c>
      <c r="C598" t="s" s="21">
        <v>51</v>
      </c>
      <c r="D598" s="22" cm="1">
        <f t="array" ref="D598">_xlfn.SUMIFS('Diseases'!F2:F4303,'Diseases'!B2:B4303,A598,'Diseases'!C2:C4303,B598,'Diseases'!D2:D4303,C598)</f>
        <v>637</v>
      </c>
      <c r="E598" t="str" s="34" cm="1">
        <f t="array" ref="E598">_xlfn.IFERROR(IF(INDEX('Diseases'!G2:G4303,MATCH(C598,'Diseases'!D2:D4303,0))="","",INDEX('Diseases'!G2:G4303,MATCH(C598,'Diseases'!D2:D4303,0))),"")</f>
      </c>
      <c r="F598" t="str" s="34" cm="1">
        <f t="array" ref="F598">_xlfn.IFERROR(IF(E598="","",D598/E598*100000),"")</f>
      </c>
    </row>
    <row r="599" ht="13.65" customHeight="1">
      <c r="A599" t="s" s="20">
        <v>30</v>
      </c>
      <c r="B599" t="s" s="21">
        <v>61</v>
      </c>
      <c r="C599" t="s" s="21">
        <v>51</v>
      </c>
      <c r="D599" s="22" cm="1">
        <f t="array" ref="D599">_xlfn.SUMIFS('Diseases'!F2:F4303,'Diseases'!B2:B4303,A599,'Diseases'!C2:C4303,B599,'Diseases'!D2:D4303,C599)</f>
        <v>5154</v>
      </c>
      <c r="E599" t="str" s="34" cm="1">
        <f t="array" ref="E599">_xlfn.IFERROR(IF(INDEX('Diseases'!G2:G4303,MATCH(C599,'Diseases'!D2:D4303,0))="","",INDEX('Diseases'!G2:G4303,MATCH(C599,'Diseases'!D2:D4303,0))),"")</f>
      </c>
      <c r="F599" t="str" s="34" cm="1">
        <f t="array" ref="F599">_xlfn.IFERROR(IF(E599="","",D599/E599*100000),"")</f>
      </c>
    </row>
    <row r="600" ht="13.65" customHeight="1">
      <c r="A600" t="s" s="24">
        <v>34</v>
      </c>
      <c r="B600" t="s" s="21">
        <v>61</v>
      </c>
      <c r="C600" t="s" s="21">
        <v>51</v>
      </c>
      <c r="D600" s="22" cm="1">
        <f t="array" ref="D600">_xlfn.SUMIFS('Diseases'!F2:F4303,'Diseases'!B2:B4303,A600,'Diseases'!C2:C4303,B600,'Diseases'!D2:D4303,C600)</f>
        <v>3199</v>
      </c>
      <c r="E600" t="str" s="34" cm="1">
        <f t="array" ref="E600">_xlfn.IFERROR(IF(INDEX('Diseases'!G2:G4303,MATCH(C600,'Diseases'!D2:D4303,0))="","",INDEX('Diseases'!G2:G4303,MATCH(C600,'Diseases'!D2:D4303,0))),"")</f>
      </c>
      <c r="F600" t="str" s="34" cm="1">
        <f t="array" ref="F600">_xlfn.IFERROR(IF(E600="","",D600/E600*100000),"")</f>
      </c>
    </row>
    <row r="601" ht="13.65" customHeight="1">
      <c r="A601" t="s" s="25">
        <v>35</v>
      </c>
      <c r="B601" t="s" s="21">
        <v>61</v>
      </c>
      <c r="C601" t="s" s="21">
        <v>51</v>
      </c>
      <c r="D601" s="22" cm="1">
        <f t="array" ref="D601">_xlfn.SUMIFS('Diseases'!F2:F4303,'Diseases'!B2:B4303,A601,'Diseases'!C2:C4303,B601,'Diseases'!D2:D4303,C601)</f>
        <v>1425</v>
      </c>
      <c r="E601" t="str" s="34" cm="1">
        <f t="array" ref="E601">_xlfn.IFERROR(IF(INDEX('Diseases'!G2:G4303,MATCH(C601,'Diseases'!D2:D4303,0))="","",INDEX('Diseases'!G2:G4303,MATCH(C601,'Diseases'!D2:D4303,0))),"")</f>
      </c>
      <c r="F601" t="str" s="34" cm="1">
        <f t="array" ref="F601">_xlfn.IFERROR(IF(E601="","",D601/E601*100000),"")</f>
      </c>
    </row>
    <row r="602" ht="13.65" customHeight="1">
      <c r="A602" t="s" s="29">
        <v>39</v>
      </c>
      <c r="B602" t="s" s="21">
        <v>61</v>
      </c>
      <c r="C602" t="s" s="21">
        <v>51</v>
      </c>
      <c r="D602" s="22" cm="1">
        <f t="array" ref="D602">_xlfn.SUMIFS('Diseases'!F2:F4303,'Diseases'!B2:B4303,A602,'Diseases'!C2:C4303,B602,'Diseases'!D2:D4303,C602)</f>
        <v>512</v>
      </c>
      <c r="E602" t="str" s="34" cm="1">
        <f t="array" ref="E602">_xlfn.IFERROR(IF(INDEX('Diseases'!G2:G4303,MATCH(C602,'Diseases'!D2:D4303,0))="","",INDEX('Diseases'!G2:G4303,MATCH(C602,'Diseases'!D2:D4303,0))),"")</f>
      </c>
      <c r="F602" t="str" s="34" cm="1">
        <f t="array" ref="F602">_xlfn.IFERROR(IF(E602="","",D602/E602*100000),"")</f>
      </c>
    </row>
    <row r="603" ht="13.65" customHeight="1">
      <c r="A603" t="s" s="26">
        <v>36</v>
      </c>
      <c r="B603" t="s" s="21">
        <v>61</v>
      </c>
      <c r="C603" t="s" s="21">
        <v>51</v>
      </c>
      <c r="D603" s="22" cm="1">
        <f t="array" ref="D603">_xlfn.SUMIFS('Diseases'!F2:F4303,'Diseases'!B2:B4303,A603,'Diseases'!C2:C4303,B603,'Diseases'!D2:D4303,C603)</f>
        <v>146</v>
      </c>
      <c r="E603" t="str" s="34" cm="1">
        <f t="array" ref="E603">_xlfn.IFERROR(IF(INDEX('Diseases'!G2:G4303,MATCH(C603,'Diseases'!D2:D4303,0))="","",INDEX('Diseases'!G2:G4303,MATCH(C603,'Diseases'!D2:D4303,0))),"")</f>
      </c>
      <c r="F603" t="str" s="34" cm="1">
        <f t="array" ref="F603">_xlfn.IFERROR(IF(E603="","",D603/E603*100000),"")</f>
      </c>
    </row>
    <row r="604" ht="13.65" customHeight="1">
      <c r="A604" t="s" s="28">
        <v>41</v>
      </c>
      <c r="B604" t="s" s="21">
        <v>61</v>
      </c>
      <c r="C604" t="s" s="21">
        <v>51</v>
      </c>
      <c r="D604" s="22" cm="1">
        <f t="array" ref="D604">_xlfn.SUMIFS('Diseases'!F2:F4303,'Diseases'!B2:B4303,A604,'Diseases'!C2:C4303,B604,'Diseases'!D2:D4303,C604)</f>
        <v>94</v>
      </c>
      <c r="E604" t="str" s="34" cm="1">
        <f t="array" ref="E604">_xlfn.IFERROR(IF(INDEX('Diseases'!G2:G4303,MATCH(C604,'Diseases'!D2:D4303,0))="","",INDEX('Diseases'!G2:G4303,MATCH(C604,'Diseases'!D2:D4303,0))),"")</f>
      </c>
      <c r="F604" t="str" s="34" cm="1">
        <f t="array" ref="F604">_xlfn.IFERROR(IF(E604="","",D604/E604*100000),"")</f>
      </c>
    </row>
    <row r="605" ht="13.65" customHeight="1">
      <c r="A605" t="s" s="20">
        <v>30</v>
      </c>
      <c r="B605" t="s" s="21">
        <v>62</v>
      </c>
      <c r="C605" t="s" s="21">
        <v>51</v>
      </c>
      <c r="D605" s="22" cm="1">
        <f t="array" ref="D605">_xlfn.SUMIFS('Diseases'!F2:F4303,'Diseases'!B2:B4303,A605,'Diseases'!C2:C4303,B605,'Diseases'!D2:D4303,C605)</f>
        <v>92760</v>
      </c>
      <c r="E605" t="str" s="34" cm="1">
        <f t="array" ref="E605">_xlfn.IFERROR(IF(INDEX('Diseases'!G2:G4303,MATCH(C605,'Diseases'!D2:D4303,0))="","",INDEX('Diseases'!G2:G4303,MATCH(C605,'Diseases'!D2:D4303,0))),"")</f>
      </c>
      <c r="F605" t="str" s="34" cm="1">
        <f t="array" ref="F605">_xlfn.IFERROR(IF(E605="","",D605/E605*100000),"")</f>
      </c>
    </row>
    <row r="606" ht="13.65" customHeight="1">
      <c r="A606" t="s" s="24">
        <v>34</v>
      </c>
      <c r="B606" t="s" s="21">
        <v>62</v>
      </c>
      <c r="C606" t="s" s="21">
        <v>51</v>
      </c>
      <c r="D606" s="22" cm="1">
        <f t="array" ref="D606">_xlfn.SUMIFS('Diseases'!F2:F4303,'Diseases'!B2:B4303,A606,'Diseases'!C2:C4303,B606,'Diseases'!D2:D4303,C606)</f>
        <v>40065</v>
      </c>
      <c r="E606" t="str" s="34" cm="1">
        <f t="array" ref="E606">_xlfn.IFERROR(IF(INDEX('Diseases'!G2:G4303,MATCH(C606,'Diseases'!D2:D4303,0))="","",INDEX('Diseases'!G2:G4303,MATCH(C606,'Diseases'!D2:D4303,0))),"")</f>
      </c>
      <c r="F606" t="str" s="34" cm="1">
        <f t="array" ref="F606">_xlfn.IFERROR(IF(E606="","",D606/E606*100000),"")</f>
      </c>
    </row>
    <row r="607" ht="13.65" customHeight="1">
      <c r="A607" t="s" s="25">
        <v>35</v>
      </c>
      <c r="B607" t="s" s="21">
        <v>62</v>
      </c>
      <c r="C607" t="s" s="21">
        <v>51</v>
      </c>
      <c r="D607" s="22" cm="1">
        <f t="array" ref="D607">_xlfn.SUMIFS('Diseases'!F2:F4303,'Diseases'!B2:B4303,A607,'Diseases'!C2:C4303,B607,'Diseases'!D2:D4303,C607)</f>
        <v>39135</v>
      </c>
      <c r="E607" t="str" s="34" cm="1">
        <f t="array" ref="E607">_xlfn.IFERROR(IF(INDEX('Diseases'!G2:G4303,MATCH(C607,'Diseases'!D2:D4303,0))="","",INDEX('Diseases'!G2:G4303,MATCH(C607,'Diseases'!D2:D4303,0))),"")</f>
      </c>
      <c r="F607" t="str" s="34" cm="1">
        <f t="array" ref="F607">_xlfn.IFERROR(IF(E607="","",D607/E607*100000),"")</f>
      </c>
    </row>
    <row r="608" ht="13.65" customHeight="1">
      <c r="A608" t="s" s="29">
        <v>39</v>
      </c>
      <c r="B608" t="s" s="21">
        <v>62</v>
      </c>
      <c r="C608" t="s" s="21">
        <v>51</v>
      </c>
      <c r="D608" s="22" cm="1">
        <f t="array" ref="D608">_xlfn.SUMIFS('Diseases'!F2:F4303,'Diseases'!B2:B4303,A608,'Diseases'!C2:C4303,B608,'Diseases'!D2:D4303,C608)</f>
        <v>13620</v>
      </c>
      <c r="E608" t="str" s="34" cm="1">
        <f t="array" ref="E608">_xlfn.IFERROR(IF(INDEX('Diseases'!G2:G4303,MATCH(C608,'Diseases'!D2:D4303,0))="","",INDEX('Diseases'!G2:G4303,MATCH(C608,'Diseases'!D2:D4303,0))),"")</f>
      </c>
      <c r="F608" t="str" s="34" cm="1">
        <f t="array" ref="F608">_xlfn.IFERROR(IF(E608="","",D608/E608*100000),"")</f>
      </c>
    </row>
    <row r="609" ht="13.65" customHeight="1">
      <c r="A609" t="s" s="27">
        <v>37</v>
      </c>
      <c r="B609" t="s" s="21">
        <v>62</v>
      </c>
      <c r="C609" t="s" s="21">
        <v>51</v>
      </c>
      <c r="D609" s="22" cm="1">
        <f t="array" ref="D609">_xlfn.SUMIFS('Diseases'!F2:F4303,'Diseases'!B2:B4303,A609,'Diseases'!C2:C4303,B609,'Diseases'!D2:D4303,C609)</f>
        <v>10785</v>
      </c>
      <c r="E609" t="str" s="34" cm="1">
        <f t="array" ref="E609">_xlfn.IFERROR(IF(INDEX('Diseases'!G2:G4303,MATCH(C609,'Diseases'!D2:D4303,0))="","",INDEX('Diseases'!G2:G4303,MATCH(C609,'Diseases'!D2:D4303,0))),"")</f>
      </c>
      <c r="F609" t="str" s="34" cm="1">
        <f t="array" ref="F609">_xlfn.IFERROR(IF(E609="","",D609/E609*100000),"")</f>
      </c>
    </row>
    <row r="610" ht="13.65" customHeight="1">
      <c r="A610" t="s" s="28">
        <v>41</v>
      </c>
      <c r="B610" t="s" s="21">
        <v>62</v>
      </c>
      <c r="C610" t="s" s="21">
        <v>51</v>
      </c>
      <c r="D610" s="22" cm="1">
        <f t="array" ref="D610">_xlfn.SUMIFS('Diseases'!F2:F4303,'Diseases'!B2:B4303,A610,'Diseases'!C2:C4303,B610,'Diseases'!D2:D4303,C610)</f>
        <v>10155</v>
      </c>
      <c r="E610" t="str" s="34" cm="1">
        <f t="array" ref="E610">_xlfn.IFERROR(IF(INDEX('Diseases'!G2:G4303,MATCH(C610,'Diseases'!D2:D4303,0))="","",INDEX('Diseases'!G2:G4303,MATCH(C610,'Diseases'!D2:D4303,0))),"")</f>
      </c>
      <c r="F610" t="str" s="34" cm="1">
        <f t="array" ref="F610">_xlfn.IFERROR(IF(E610="","",D610/E610*100000),"")</f>
      </c>
    </row>
    <row r="611" ht="13.65" customHeight="1">
      <c r="A611" t="s" s="26">
        <v>36</v>
      </c>
      <c r="B611" t="s" s="21">
        <v>62</v>
      </c>
      <c r="C611" t="s" s="21">
        <v>51</v>
      </c>
      <c r="D611" s="22" cm="1">
        <f t="array" ref="D611">_xlfn.SUMIFS('Diseases'!F2:F4303,'Diseases'!B2:B4303,A611,'Diseases'!C2:C4303,B611,'Diseases'!D2:D4303,C611)</f>
        <v>8595</v>
      </c>
      <c r="E611" t="str" s="34" cm="1">
        <f t="array" ref="E611">_xlfn.IFERROR(IF(INDEX('Diseases'!G2:G4303,MATCH(C611,'Diseases'!D2:D4303,0))="","",INDEX('Diseases'!G2:G4303,MATCH(C611,'Diseases'!D2:D4303,0))),"")</f>
      </c>
      <c r="F611" t="str" s="34" cm="1">
        <f t="array" ref="F611">_xlfn.IFERROR(IF(E611="","",D611/E611*100000),"")</f>
      </c>
    </row>
    <row r="612" ht="13.65" customHeight="1">
      <c r="A612" t="s" s="20">
        <v>30</v>
      </c>
      <c r="B612" t="s" s="21">
        <v>63</v>
      </c>
      <c r="C612" t="s" s="21">
        <v>51</v>
      </c>
      <c r="D612" s="22" cm="1">
        <f t="array" ref="D612">_xlfn.SUMIFS('Diseases'!F2:F4303,'Diseases'!B2:B4303,A612,'Diseases'!C2:C4303,B612,'Diseases'!D2:D4303,C612)</f>
        <v>6177</v>
      </c>
      <c r="E612" t="str" s="34" cm="1">
        <f t="array" ref="E612">_xlfn.IFERROR(IF(INDEX('Diseases'!G2:G4303,MATCH(C612,'Diseases'!D2:D4303,0))="","",INDEX('Diseases'!G2:G4303,MATCH(C612,'Diseases'!D2:D4303,0))),"")</f>
      </c>
      <c r="F612" t="str" s="34" cm="1">
        <f t="array" ref="F612">_xlfn.IFERROR(IF(E612="","",D612/E612*100000),"")</f>
      </c>
    </row>
    <row r="613" ht="13.65" customHeight="1">
      <c r="A613" t="s" s="25">
        <v>35</v>
      </c>
      <c r="B613" t="s" s="21">
        <v>63</v>
      </c>
      <c r="C613" t="s" s="21">
        <v>51</v>
      </c>
      <c r="D613" s="22" cm="1">
        <f t="array" ref="D613">_xlfn.SUMIFS('Diseases'!F2:F4303,'Diseases'!B2:B4303,A613,'Diseases'!C2:C4303,B613,'Diseases'!D2:D4303,C613)</f>
        <v>3400</v>
      </c>
      <c r="E613" t="str" s="34" cm="1">
        <f t="array" ref="E613">_xlfn.IFERROR(IF(INDEX('Diseases'!G2:G4303,MATCH(C613,'Diseases'!D2:D4303,0))="","",INDEX('Diseases'!G2:G4303,MATCH(C613,'Diseases'!D2:D4303,0))),"")</f>
      </c>
      <c r="F613" t="str" s="34" cm="1">
        <f t="array" ref="F613">_xlfn.IFERROR(IF(E613="","",D613/E613*100000),"")</f>
      </c>
    </row>
    <row r="614" ht="13.65" customHeight="1">
      <c r="A614" t="s" s="24">
        <v>34</v>
      </c>
      <c r="B614" t="s" s="21">
        <v>63</v>
      </c>
      <c r="C614" t="s" s="21">
        <v>51</v>
      </c>
      <c r="D614" s="22" cm="1">
        <f t="array" ref="D614">_xlfn.SUMIFS('Diseases'!F2:F4303,'Diseases'!B2:B4303,A614,'Diseases'!C2:C4303,B614,'Diseases'!D2:D4303,C614)</f>
        <v>3374</v>
      </c>
      <c r="E614" t="str" s="34" cm="1">
        <f t="array" ref="E614">_xlfn.IFERROR(IF(INDEX('Diseases'!G2:G4303,MATCH(C614,'Diseases'!D2:D4303,0))="","",INDEX('Diseases'!G2:G4303,MATCH(C614,'Diseases'!D2:D4303,0))),"")</f>
      </c>
      <c r="F614" t="str" s="34" cm="1">
        <f t="array" ref="F614">_xlfn.IFERROR(IF(E614="","",D614/E614*100000),"")</f>
      </c>
    </row>
    <row r="615" ht="13.65" customHeight="1">
      <c r="A615" t="s" s="29">
        <v>39</v>
      </c>
      <c r="B615" t="s" s="21">
        <v>63</v>
      </c>
      <c r="C615" t="s" s="21">
        <v>51</v>
      </c>
      <c r="D615" s="22" cm="1">
        <f t="array" ref="D615">_xlfn.SUMIFS('Diseases'!F2:F4303,'Diseases'!B2:B4303,A615,'Diseases'!C2:C4303,B615,'Diseases'!D2:D4303,C615)</f>
        <v>965</v>
      </c>
      <c r="E615" t="str" s="34" cm="1">
        <f t="array" ref="E615">_xlfn.IFERROR(IF(INDEX('Diseases'!G2:G4303,MATCH(C615,'Diseases'!D2:D4303,0))="","",INDEX('Diseases'!G2:G4303,MATCH(C615,'Diseases'!D2:D4303,0))),"")</f>
      </c>
      <c r="F615" t="str" s="34" cm="1">
        <f t="array" ref="F615">_xlfn.IFERROR(IF(E615="","",D615/E615*100000),"")</f>
      </c>
    </row>
    <row r="616" ht="13.65" customHeight="1">
      <c r="A616" t="s" s="27">
        <v>37</v>
      </c>
      <c r="B616" t="s" s="21">
        <v>63</v>
      </c>
      <c r="C616" t="s" s="21">
        <v>51</v>
      </c>
      <c r="D616" s="22" cm="1">
        <f t="array" ref="D616">_xlfn.SUMIFS('Diseases'!F2:F4303,'Diseases'!B2:B4303,A616,'Diseases'!C2:C4303,B616,'Diseases'!D2:D4303,C616)</f>
        <v>872</v>
      </c>
      <c r="E616" t="str" s="34" cm="1">
        <f t="array" ref="E616">_xlfn.IFERROR(IF(INDEX('Diseases'!G2:G4303,MATCH(C616,'Diseases'!D2:D4303,0))="","",INDEX('Diseases'!G2:G4303,MATCH(C616,'Diseases'!D2:D4303,0))),"")</f>
      </c>
      <c r="F616" t="str" s="34" cm="1">
        <f t="array" ref="F616">_xlfn.IFERROR(IF(E616="","",D616/E616*100000),"")</f>
      </c>
    </row>
    <row r="617" ht="13.65" customHeight="1">
      <c r="A617" t="s" s="28">
        <v>41</v>
      </c>
      <c r="B617" t="s" s="21">
        <v>63</v>
      </c>
      <c r="C617" t="s" s="21">
        <v>51</v>
      </c>
      <c r="D617" s="22" cm="1">
        <f t="array" ref="D617">_xlfn.SUMIFS('Diseases'!F2:F4303,'Diseases'!B2:B4303,A617,'Diseases'!C2:C4303,B617,'Diseases'!D2:D4303,C617)</f>
        <v>735</v>
      </c>
      <c r="E617" t="str" s="34" cm="1">
        <f t="array" ref="E617">_xlfn.IFERROR(IF(INDEX('Diseases'!G2:G4303,MATCH(C617,'Diseases'!D2:D4303,0))="","",INDEX('Diseases'!G2:G4303,MATCH(C617,'Diseases'!D2:D4303,0))),"")</f>
      </c>
      <c r="F617" t="str" s="34" cm="1">
        <f t="array" ref="F617">_xlfn.IFERROR(IF(E617="","",D617/E617*100000),"")</f>
      </c>
    </row>
    <row r="618" ht="13.65" customHeight="1">
      <c r="A618" t="s" s="26">
        <v>36</v>
      </c>
      <c r="B618" t="s" s="21">
        <v>63</v>
      </c>
      <c r="C618" t="s" s="21">
        <v>51</v>
      </c>
      <c r="D618" s="22" cm="1">
        <f t="array" ref="D618">_xlfn.SUMIFS('Diseases'!F2:F4303,'Diseases'!B2:B4303,A618,'Diseases'!C2:C4303,B618,'Diseases'!D2:D4303,C618)</f>
        <v>660</v>
      </c>
      <c r="E618" t="str" s="34" cm="1">
        <f t="array" ref="E618">_xlfn.IFERROR(IF(INDEX('Diseases'!G2:G4303,MATCH(C618,'Diseases'!D2:D4303,0))="","",INDEX('Diseases'!G2:G4303,MATCH(C618,'Diseases'!D2:D4303,0))),"")</f>
      </c>
      <c r="F618" t="str" s="34" cm="1">
        <f t="array" ref="F618">_xlfn.IFERROR(IF(E618="","",D618/E618*100000),"")</f>
      </c>
    </row>
    <row r="619" ht="13.65" customHeight="1">
      <c r="A619" t="s" s="20">
        <v>30</v>
      </c>
      <c r="B619" t="s" s="21">
        <v>64</v>
      </c>
      <c r="C619" t="s" s="21">
        <v>51</v>
      </c>
      <c r="D619" s="22" cm="1">
        <f t="array" ref="D619">_xlfn.SUMIFS('Diseases'!F2:F4303,'Diseases'!B2:B4303,A619,'Diseases'!C2:C4303,B619,'Diseases'!D2:D4303,C619)</f>
        <v>5850</v>
      </c>
      <c r="E619" t="str" s="34" cm="1">
        <f t="array" ref="E619">_xlfn.IFERROR(IF(INDEX('Diseases'!G2:G4303,MATCH(C619,'Diseases'!D2:D4303,0))="","",INDEX('Diseases'!G2:G4303,MATCH(C619,'Diseases'!D2:D4303,0))),"")</f>
      </c>
      <c r="F619" t="str" s="34" cm="1">
        <f t="array" ref="F619">_xlfn.IFERROR(IF(E619="","",D619/E619*100000),"")</f>
      </c>
    </row>
    <row r="620" ht="13.65" customHeight="1">
      <c r="A620" t="s" s="25">
        <v>35</v>
      </c>
      <c r="B620" t="s" s="21">
        <v>64</v>
      </c>
      <c r="C620" t="s" s="21">
        <v>51</v>
      </c>
      <c r="D620" s="22" cm="1">
        <f t="array" ref="D620">_xlfn.SUMIFS('Diseases'!F2:F4303,'Diseases'!B2:B4303,A620,'Diseases'!C2:C4303,B620,'Diseases'!D2:D4303,C620)</f>
        <v>4016</v>
      </c>
      <c r="E620" t="str" s="34" cm="1">
        <f t="array" ref="E620">_xlfn.IFERROR(IF(INDEX('Diseases'!G2:G4303,MATCH(C620,'Diseases'!D2:D4303,0))="","",INDEX('Diseases'!G2:G4303,MATCH(C620,'Diseases'!D2:D4303,0))),"")</f>
      </c>
      <c r="F620" t="str" s="34" cm="1">
        <f t="array" ref="F620">_xlfn.IFERROR(IF(E620="","",D620/E620*100000),"")</f>
      </c>
    </row>
    <row r="621" ht="13.65" customHeight="1">
      <c r="A621" t="s" s="24">
        <v>34</v>
      </c>
      <c r="B621" t="s" s="21">
        <v>64</v>
      </c>
      <c r="C621" t="s" s="21">
        <v>51</v>
      </c>
      <c r="D621" s="22" cm="1">
        <f t="array" ref="D621">_xlfn.SUMIFS('Diseases'!F2:F4303,'Diseases'!B2:B4303,A621,'Diseases'!C2:C4303,B621,'Diseases'!D2:D4303,C621)</f>
        <v>2890</v>
      </c>
      <c r="E621" t="str" s="34" cm="1">
        <f t="array" ref="E621">_xlfn.IFERROR(IF(INDEX('Diseases'!G2:G4303,MATCH(C621,'Diseases'!D2:D4303,0))="","",INDEX('Diseases'!G2:G4303,MATCH(C621,'Diseases'!D2:D4303,0))),"")</f>
      </c>
      <c r="F621" t="str" s="34" cm="1">
        <f t="array" ref="F621">_xlfn.IFERROR(IF(E621="","",D621/E621*100000),"")</f>
      </c>
    </row>
    <row r="622" ht="13.65" customHeight="1">
      <c r="A622" t="s" s="29">
        <v>39</v>
      </c>
      <c r="B622" t="s" s="21">
        <v>64</v>
      </c>
      <c r="C622" t="s" s="21">
        <v>51</v>
      </c>
      <c r="D622" s="22" cm="1">
        <f t="array" ref="D622">_xlfn.SUMIFS('Diseases'!F2:F4303,'Diseases'!B2:B4303,A622,'Diseases'!C2:C4303,B622,'Diseases'!D2:D4303,C622)</f>
        <v>1000</v>
      </c>
      <c r="E622" t="str" s="34" cm="1">
        <f t="array" ref="E622">_xlfn.IFERROR(IF(INDEX('Diseases'!G2:G4303,MATCH(C622,'Diseases'!D2:D4303,0))="","",INDEX('Diseases'!G2:G4303,MATCH(C622,'Diseases'!D2:D4303,0))),"")</f>
      </c>
      <c r="F622" t="str" s="34" cm="1">
        <f t="array" ref="F622">_xlfn.IFERROR(IF(E622="","",D622/E622*100000),"")</f>
      </c>
    </row>
    <row r="623" ht="13.65" customHeight="1">
      <c r="A623" t="s" s="31">
        <v>45</v>
      </c>
      <c r="B623" t="s" s="21">
        <v>64</v>
      </c>
      <c r="C623" t="s" s="21">
        <v>51</v>
      </c>
      <c r="D623" s="22" cm="1">
        <f t="array" ref="D623">_xlfn.SUMIFS('Diseases'!F2:F4303,'Diseases'!B2:B4303,A623,'Diseases'!C2:C4303,B623,'Diseases'!D2:D4303,C623)</f>
        <v>993</v>
      </c>
      <c r="E623" t="str" s="34" cm="1">
        <f t="array" ref="E623">_xlfn.IFERROR(IF(INDEX('Diseases'!G2:G4303,MATCH(C623,'Diseases'!D2:D4303,0))="","",INDEX('Diseases'!G2:G4303,MATCH(C623,'Diseases'!D2:D4303,0))),"")</f>
      </c>
      <c r="F623" t="str" s="34" cm="1">
        <f t="array" ref="F623">_xlfn.IFERROR(IF(E623="","",D623/E623*100000),"")</f>
      </c>
    </row>
    <row r="624" ht="13.65" customHeight="1">
      <c r="A624" t="s" s="27">
        <v>37</v>
      </c>
      <c r="B624" t="s" s="21">
        <v>64</v>
      </c>
      <c r="C624" t="s" s="21">
        <v>51</v>
      </c>
      <c r="D624" s="22" cm="1">
        <f t="array" ref="D624">_xlfn.SUMIFS('Diseases'!F2:F4303,'Diseases'!B2:B4303,A624,'Diseases'!C2:C4303,B624,'Diseases'!D2:D4303,C624)</f>
        <v>878</v>
      </c>
      <c r="E624" t="str" s="34" cm="1">
        <f t="array" ref="E624">_xlfn.IFERROR(IF(INDEX('Diseases'!G2:G4303,MATCH(C624,'Diseases'!D2:D4303,0))="","",INDEX('Diseases'!G2:G4303,MATCH(C624,'Diseases'!D2:D4303,0))),"")</f>
      </c>
      <c r="F624" t="str" s="34" cm="1">
        <f t="array" ref="F624">_xlfn.IFERROR(IF(E624="","",D624/E624*100000),"")</f>
      </c>
    </row>
    <row r="625" ht="13.65" customHeight="1">
      <c r="A625" t="s" s="28">
        <v>41</v>
      </c>
      <c r="B625" t="s" s="21">
        <v>64</v>
      </c>
      <c r="C625" t="s" s="21">
        <v>51</v>
      </c>
      <c r="D625" s="22" cm="1">
        <f t="array" ref="D625">_xlfn.SUMIFS('Diseases'!F2:F4303,'Diseases'!B2:B4303,A625,'Diseases'!C2:C4303,B625,'Diseases'!D2:D4303,C625)</f>
        <v>778</v>
      </c>
      <c r="E625" t="str" s="34" cm="1">
        <f t="array" ref="E625">_xlfn.IFERROR(IF(INDEX('Diseases'!G2:G4303,MATCH(C625,'Diseases'!D2:D4303,0))="","",INDEX('Diseases'!G2:G4303,MATCH(C625,'Diseases'!D2:D4303,0))),"")</f>
      </c>
      <c r="F625" t="str" s="34" cm="1">
        <f t="array" ref="F625">_xlfn.IFERROR(IF(E625="","",D625/E625*100000),"")</f>
      </c>
    </row>
    <row r="626" ht="13.65" customHeight="1">
      <c r="A626" t="s" s="20">
        <v>30</v>
      </c>
      <c r="B626" t="s" s="21">
        <v>65</v>
      </c>
      <c r="C626" t="s" s="21">
        <v>51</v>
      </c>
      <c r="D626" s="22" cm="1">
        <f t="array" ref="D626">_xlfn.SUMIFS('Diseases'!F2:F4303,'Diseases'!B2:B4303,A626,'Diseases'!C2:C4303,B626,'Diseases'!D2:D4303,C626)</f>
        <v>8775</v>
      </c>
      <c r="E626" t="str" s="34" cm="1">
        <f t="array" ref="E626">_xlfn.IFERROR(IF(INDEX('Diseases'!G2:G4303,MATCH(C626,'Diseases'!D2:D4303,0))="","",INDEX('Diseases'!G2:G4303,MATCH(C626,'Diseases'!D2:D4303,0))),"")</f>
      </c>
      <c r="F626" t="str" s="34" cm="1">
        <f t="array" ref="F626">_xlfn.IFERROR(IF(E626="","",D626/E626*100000),"")</f>
      </c>
    </row>
    <row r="627" ht="13.65" customHeight="1">
      <c r="A627" t="s" s="25">
        <v>35</v>
      </c>
      <c r="B627" t="s" s="21">
        <v>65</v>
      </c>
      <c r="C627" t="s" s="21">
        <v>51</v>
      </c>
      <c r="D627" s="22" cm="1">
        <f t="array" ref="D627">_xlfn.SUMIFS('Diseases'!F2:F4303,'Diseases'!B2:B4303,A627,'Diseases'!C2:C4303,B627,'Diseases'!D2:D4303,C627)</f>
        <v>4231</v>
      </c>
      <c r="E627" t="str" s="34" cm="1">
        <f t="array" ref="E627">_xlfn.IFERROR(IF(INDEX('Diseases'!G2:G4303,MATCH(C627,'Diseases'!D2:D4303,0))="","",INDEX('Diseases'!G2:G4303,MATCH(C627,'Diseases'!D2:D4303,0))),"")</f>
      </c>
      <c r="F627" t="str" s="34" cm="1">
        <f t="array" ref="F627">_xlfn.IFERROR(IF(E627="","",D627/E627*100000),"")</f>
      </c>
    </row>
    <row r="628" ht="13.65" customHeight="1">
      <c r="A628" t="s" s="24">
        <v>34</v>
      </c>
      <c r="B628" t="s" s="21">
        <v>65</v>
      </c>
      <c r="C628" t="s" s="21">
        <v>51</v>
      </c>
      <c r="D628" s="22" cm="1">
        <f t="array" ref="D628">_xlfn.SUMIFS('Diseases'!F2:F4303,'Diseases'!B2:B4303,A628,'Diseases'!C2:C4303,B628,'Diseases'!D2:D4303,C628)</f>
        <v>3769</v>
      </c>
      <c r="E628" t="str" s="34" cm="1">
        <f t="array" ref="E628">_xlfn.IFERROR(IF(INDEX('Diseases'!G2:G4303,MATCH(C628,'Diseases'!D2:D4303,0))="","",INDEX('Diseases'!G2:G4303,MATCH(C628,'Diseases'!D2:D4303,0))),"")</f>
      </c>
      <c r="F628" t="str" s="34" cm="1">
        <f t="array" ref="F628">_xlfn.IFERROR(IF(E628="","",D628/E628*100000),"")</f>
      </c>
    </row>
    <row r="629" ht="13.65" customHeight="1">
      <c r="A629" t="s" s="31">
        <v>45</v>
      </c>
      <c r="B629" t="s" s="21">
        <v>65</v>
      </c>
      <c r="C629" t="s" s="21">
        <v>51</v>
      </c>
      <c r="D629" s="22" cm="1">
        <f t="array" ref="D629">_xlfn.SUMIFS('Diseases'!F2:F4303,'Diseases'!B2:B4303,A629,'Diseases'!C2:C4303,B629,'Diseases'!D2:D4303,C629)</f>
        <v>2469</v>
      </c>
      <c r="E629" t="str" s="34" cm="1">
        <f t="array" ref="E629">_xlfn.IFERROR(IF(INDEX('Diseases'!G2:G4303,MATCH(C629,'Diseases'!D2:D4303,0))="","",INDEX('Diseases'!G2:G4303,MATCH(C629,'Diseases'!D2:D4303,0))),"")</f>
      </c>
      <c r="F629" t="str" s="34" cm="1">
        <f t="array" ref="F629">_xlfn.IFERROR(IF(E629="","",D629/E629*100000),"")</f>
      </c>
    </row>
    <row r="630" ht="13.65" customHeight="1">
      <c r="A630" t="s" s="29">
        <v>39</v>
      </c>
      <c r="B630" t="s" s="21">
        <v>65</v>
      </c>
      <c r="C630" t="s" s="21">
        <v>51</v>
      </c>
      <c r="D630" s="22" cm="1">
        <f t="array" ref="D630">_xlfn.SUMIFS('Diseases'!F2:F4303,'Diseases'!B2:B4303,A630,'Diseases'!C2:C4303,B630,'Diseases'!D2:D4303,C630)</f>
        <v>1486</v>
      </c>
      <c r="E630" t="str" s="34" cm="1">
        <f t="array" ref="E630">_xlfn.IFERROR(IF(INDEX('Diseases'!G2:G4303,MATCH(C630,'Diseases'!D2:D4303,0))="","",INDEX('Diseases'!G2:G4303,MATCH(C630,'Diseases'!D2:D4303,0))),"")</f>
      </c>
      <c r="F630" t="str" s="34" cm="1">
        <f t="array" ref="F630">_xlfn.IFERROR(IF(E630="","",D630/E630*100000),"")</f>
      </c>
    </row>
    <row r="631" ht="13.65" customHeight="1">
      <c r="A631" t="s" s="28">
        <v>41</v>
      </c>
      <c r="B631" t="s" s="21">
        <v>65</v>
      </c>
      <c r="C631" t="s" s="21">
        <v>51</v>
      </c>
      <c r="D631" s="22" cm="1">
        <f t="array" ref="D631">_xlfn.SUMIFS('Diseases'!F2:F4303,'Diseases'!B2:B4303,A631,'Diseases'!C2:C4303,B631,'Diseases'!D2:D4303,C631)</f>
        <v>1175</v>
      </c>
      <c r="E631" t="str" s="34" cm="1">
        <f t="array" ref="E631">_xlfn.IFERROR(IF(INDEX('Diseases'!G2:G4303,MATCH(C631,'Diseases'!D2:D4303,0))="","",INDEX('Diseases'!G2:G4303,MATCH(C631,'Diseases'!D2:D4303,0))),"")</f>
      </c>
      <c r="F631" t="str" s="34" cm="1">
        <f t="array" ref="F631">_xlfn.IFERROR(IF(E631="","",D631/E631*100000),"")</f>
      </c>
    </row>
    <row r="632" ht="13.65" customHeight="1">
      <c r="A632" t="s" s="27">
        <v>37</v>
      </c>
      <c r="B632" t="s" s="21">
        <v>65</v>
      </c>
      <c r="C632" t="s" s="21">
        <v>51</v>
      </c>
      <c r="D632" s="22" cm="1">
        <f t="array" ref="D632">_xlfn.SUMIFS('Diseases'!F2:F4303,'Diseases'!B2:B4303,A632,'Diseases'!C2:C4303,B632,'Diseases'!D2:D4303,C632)</f>
        <v>1024</v>
      </c>
      <c r="E632" t="str" s="34" cm="1">
        <f t="array" ref="E632">_xlfn.IFERROR(IF(INDEX('Diseases'!G2:G4303,MATCH(C632,'Diseases'!D2:D4303,0))="","",INDEX('Diseases'!G2:G4303,MATCH(C632,'Diseases'!D2:D4303,0))),"")</f>
      </c>
      <c r="F632" t="str" s="34" cm="1">
        <f t="array" ref="F632">_xlfn.IFERROR(IF(E632="","",D632/E632*100000),"")</f>
      </c>
    </row>
    <row r="633" ht="13.65" customHeight="1">
      <c r="A633" t="s" s="20">
        <v>30</v>
      </c>
      <c r="B633" t="s" s="21">
        <v>66</v>
      </c>
      <c r="C633" t="s" s="21">
        <v>51</v>
      </c>
      <c r="D633" s="22" cm="1">
        <f t="array" ref="D633">_xlfn.SUMIFS('Diseases'!F2:F4303,'Diseases'!B2:B4303,A633,'Diseases'!C2:C4303,B633,'Diseases'!D2:D4303,C633)</f>
        <v>8486</v>
      </c>
      <c r="E633" t="str" s="34" cm="1">
        <f t="array" ref="E633">_xlfn.IFERROR(IF(INDEX('Diseases'!G2:G4303,MATCH(C633,'Diseases'!D2:D4303,0))="","",INDEX('Diseases'!G2:G4303,MATCH(C633,'Diseases'!D2:D4303,0))),"")</f>
      </c>
      <c r="F633" t="str" s="34" cm="1">
        <f t="array" ref="F633">_xlfn.IFERROR(IF(E633="","",D633/E633*100000),"")</f>
      </c>
    </row>
    <row r="634" ht="13.65" customHeight="1">
      <c r="A634" t="s" s="24">
        <v>34</v>
      </c>
      <c r="B634" t="s" s="21">
        <v>66</v>
      </c>
      <c r="C634" t="s" s="21">
        <v>51</v>
      </c>
      <c r="D634" s="22" cm="1">
        <f t="array" ref="D634">_xlfn.SUMIFS('Diseases'!F2:F4303,'Diseases'!B2:B4303,A634,'Diseases'!C2:C4303,B634,'Diseases'!D2:D4303,C634)</f>
        <v>3810</v>
      </c>
      <c r="E634" t="str" s="34" cm="1">
        <f t="array" ref="E634">_xlfn.IFERROR(IF(INDEX('Diseases'!G2:G4303,MATCH(C634,'Diseases'!D2:D4303,0))="","",INDEX('Diseases'!G2:G4303,MATCH(C634,'Diseases'!D2:D4303,0))),"")</f>
      </c>
      <c r="F634" t="str" s="34" cm="1">
        <f t="array" ref="F634">_xlfn.IFERROR(IF(E634="","",D634/E634*100000),"")</f>
      </c>
    </row>
    <row r="635" ht="13.65" customHeight="1">
      <c r="A635" t="s" s="25">
        <v>35</v>
      </c>
      <c r="B635" t="s" s="21">
        <v>66</v>
      </c>
      <c r="C635" t="s" s="21">
        <v>51</v>
      </c>
      <c r="D635" s="22" cm="1">
        <f t="array" ref="D635">_xlfn.SUMIFS('Diseases'!F2:F4303,'Diseases'!B2:B4303,A635,'Diseases'!C2:C4303,B635,'Diseases'!D2:D4303,C635)</f>
        <v>3051</v>
      </c>
      <c r="E635" t="str" s="34" cm="1">
        <f t="array" ref="E635">_xlfn.IFERROR(IF(INDEX('Diseases'!G2:G4303,MATCH(C635,'Diseases'!D2:D4303,0))="","",INDEX('Diseases'!G2:G4303,MATCH(C635,'Diseases'!D2:D4303,0))),"")</f>
      </c>
      <c r="F635" t="str" s="34" cm="1">
        <f t="array" ref="F635">_xlfn.IFERROR(IF(E635="","",D635/E635*100000),"")</f>
      </c>
    </row>
    <row r="636" ht="13.65" customHeight="1">
      <c r="A636" t="s" s="31">
        <v>45</v>
      </c>
      <c r="B636" t="s" s="21">
        <v>66</v>
      </c>
      <c r="C636" t="s" s="21">
        <v>51</v>
      </c>
      <c r="D636" s="22" cm="1">
        <f t="array" ref="D636">_xlfn.SUMIFS('Diseases'!F2:F4303,'Diseases'!B2:B4303,A636,'Diseases'!C2:C4303,B636,'Diseases'!D2:D4303,C636)</f>
        <v>1682</v>
      </c>
      <c r="E636" t="str" s="34" cm="1">
        <f t="array" ref="E636">_xlfn.IFERROR(IF(INDEX('Diseases'!G2:G4303,MATCH(C636,'Diseases'!D2:D4303,0))="","",INDEX('Diseases'!G2:G4303,MATCH(C636,'Diseases'!D2:D4303,0))),"")</f>
      </c>
      <c r="F636" t="str" s="34" cm="1">
        <f t="array" ref="F636">_xlfn.IFERROR(IF(E636="","",D636/E636*100000),"")</f>
      </c>
    </row>
    <row r="637" ht="13.65" customHeight="1">
      <c r="A637" t="s" s="29">
        <v>39</v>
      </c>
      <c r="B637" t="s" s="21">
        <v>66</v>
      </c>
      <c r="C637" t="s" s="21">
        <v>51</v>
      </c>
      <c r="D637" s="22" cm="1">
        <f t="array" ref="D637">_xlfn.SUMIFS('Diseases'!F2:F4303,'Diseases'!B2:B4303,A637,'Diseases'!C2:C4303,B637,'Diseases'!D2:D4303,C637)</f>
        <v>1436</v>
      </c>
      <c r="E637" t="str" s="34" cm="1">
        <f t="array" ref="E637">_xlfn.IFERROR(IF(INDEX('Diseases'!G2:G4303,MATCH(C637,'Diseases'!D2:D4303,0))="","",INDEX('Diseases'!G2:G4303,MATCH(C637,'Diseases'!D2:D4303,0))),"")</f>
      </c>
      <c r="F637" t="str" s="34" cm="1">
        <f t="array" ref="F637">_xlfn.IFERROR(IF(E637="","",D637/E637*100000),"")</f>
      </c>
    </row>
    <row r="638" ht="13.65" customHeight="1">
      <c r="A638" t="s" s="27">
        <v>37</v>
      </c>
      <c r="B638" t="s" s="21">
        <v>66</v>
      </c>
      <c r="C638" t="s" s="21">
        <v>51</v>
      </c>
      <c r="D638" s="22" cm="1">
        <f t="array" ref="D638">_xlfn.SUMIFS('Diseases'!F2:F4303,'Diseases'!B2:B4303,A638,'Diseases'!C2:C4303,B638,'Diseases'!D2:D4303,C638)</f>
        <v>883</v>
      </c>
      <c r="E638" t="str" s="34" cm="1">
        <f t="array" ref="E638">_xlfn.IFERROR(IF(INDEX('Diseases'!G2:G4303,MATCH(C638,'Diseases'!D2:D4303,0))="","",INDEX('Diseases'!G2:G4303,MATCH(C638,'Diseases'!D2:D4303,0))),"")</f>
      </c>
      <c r="F638" t="str" s="34" cm="1">
        <f t="array" ref="F638">_xlfn.IFERROR(IF(E638="","",D638/E638*100000),"")</f>
      </c>
    </row>
    <row r="639" ht="13.65" customHeight="1">
      <c r="A639" t="s" s="28">
        <v>41</v>
      </c>
      <c r="B639" t="s" s="21">
        <v>66</v>
      </c>
      <c r="C639" t="s" s="21">
        <v>51</v>
      </c>
      <c r="D639" s="22" cm="1">
        <f t="array" ref="D639">_xlfn.SUMIFS('Diseases'!F2:F4303,'Diseases'!B2:B4303,A639,'Diseases'!C2:C4303,B639,'Diseases'!D2:D4303,C639)</f>
        <v>857</v>
      </c>
      <c r="E639" t="str" s="34" cm="1">
        <f t="array" ref="E639">_xlfn.IFERROR(IF(INDEX('Diseases'!G2:G4303,MATCH(C639,'Diseases'!D2:D4303,0))="","",INDEX('Diseases'!G2:G4303,MATCH(C639,'Diseases'!D2:D4303,0))),"")</f>
      </c>
      <c r="F639" t="str" s="34" cm="1">
        <f t="array" ref="F639">_xlfn.IFERROR(IF(E639="","",D639/E639*100000),"")</f>
      </c>
    </row>
    <row r="640" ht="13.65" customHeight="1">
      <c r="A640" t="s" s="20">
        <v>30</v>
      </c>
      <c r="B640" t="s" s="21">
        <v>67</v>
      </c>
      <c r="C640" t="s" s="21">
        <v>51</v>
      </c>
      <c r="D640" s="22" cm="1">
        <f t="array" ref="D640">_xlfn.SUMIFS('Diseases'!F2:F4303,'Diseases'!B2:B4303,A640,'Diseases'!C2:C4303,B640,'Diseases'!D2:D4303,C640)</f>
        <v>11926</v>
      </c>
      <c r="E640" t="str" s="34" cm="1">
        <f t="array" ref="E640">_xlfn.IFERROR(IF(INDEX('Diseases'!G2:G4303,MATCH(C640,'Diseases'!D2:D4303,0))="","",INDEX('Diseases'!G2:G4303,MATCH(C640,'Diseases'!D2:D4303,0))),"")</f>
      </c>
      <c r="F640" t="str" s="34" cm="1">
        <f t="array" ref="F640">_xlfn.IFERROR(IF(E640="","",D640/E640*100000),"")</f>
      </c>
    </row>
    <row r="641" ht="13.65" customHeight="1">
      <c r="A641" t="s" s="24">
        <v>34</v>
      </c>
      <c r="B641" t="s" s="21">
        <v>67</v>
      </c>
      <c r="C641" t="s" s="21">
        <v>51</v>
      </c>
      <c r="D641" s="22" cm="1">
        <f t="array" ref="D641">_xlfn.SUMIFS('Diseases'!F2:F4303,'Diseases'!B2:B4303,A641,'Diseases'!C2:C4303,B641,'Diseases'!D2:D4303,C641)</f>
        <v>5234</v>
      </c>
      <c r="E641" t="str" s="34" cm="1">
        <f t="array" ref="E641">_xlfn.IFERROR(IF(INDEX('Diseases'!G2:G4303,MATCH(C641,'Diseases'!D2:D4303,0))="","",INDEX('Diseases'!G2:G4303,MATCH(C641,'Diseases'!D2:D4303,0))),"")</f>
      </c>
      <c r="F641" t="str" s="34" cm="1">
        <f t="array" ref="F641">_xlfn.IFERROR(IF(E641="","",D641/E641*100000),"")</f>
      </c>
    </row>
    <row r="642" ht="13.65" customHeight="1">
      <c r="A642" t="s" s="25">
        <v>35</v>
      </c>
      <c r="B642" t="s" s="21">
        <v>67</v>
      </c>
      <c r="C642" t="s" s="21">
        <v>51</v>
      </c>
      <c r="D642" s="22" cm="1">
        <f t="array" ref="D642">_xlfn.SUMIFS('Diseases'!F2:F4303,'Diseases'!B2:B4303,A642,'Diseases'!C2:C4303,B642,'Diseases'!D2:D4303,C642)</f>
        <v>3705</v>
      </c>
      <c r="E642" t="str" s="34" cm="1">
        <f t="array" ref="E642">_xlfn.IFERROR(IF(INDEX('Diseases'!G2:G4303,MATCH(C642,'Diseases'!D2:D4303,0))="","",INDEX('Diseases'!G2:G4303,MATCH(C642,'Diseases'!D2:D4303,0))),"")</f>
      </c>
      <c r="F642" t="str" s="34" cm="1">
        <f t="array" ref="F642">_xlfn.IFERROR(IF(E642="","",D642/E642*100000),"")</f>
      </c>
    </row>
    <row r="643" ht="13.65" customHeight="1">
      <c r="A643" t="s" s="29">
        <v>39</v>
      </c>
      <c r="B643" t="s" s="21">
        <v>67</v>
      </c>
      <c r="C643" t="s" s="21">
        <v>51</v>
      </c>
      <c r="D643" s="22" cm="1">
        <f t="array" ref="D643">_xlfn.SUMIFS('Diseases'!F2:F4303,'Diseases'!B2:B4303,A643,'Diseases'!C2:C4303,B643,'Diseases'!D2:D4303,C643)</f>
        <v>1425</v>
      </c>
      <c r="E643" t="str" s="34" cm="1">
        <f t="array" ref="E643">_xlfn.IFERROR(IF(INDEX('Diseases'!G2:G4303,MATCH(C643,'Diseases'!D2:D4303,0))="","",INDEX('Diseases'!G2:G4303,MATCH(C643,'Diseases'!D2:D4303,0))),"")</f>
      </c>
      <c r="F643" t="str" s="34" cm="1">
        <f t="array" ref="F643">_xlfn.IFERROR(IF(E643="","",D643/E643*100000),"")</f>
      </c>
    </row>
    <row r="644" ht="13.65" customHeight="1">
      <c r="A644" t="s" s="31">
        <v>45</v>
      </c>
      <c r="B644" t="s" s="21">
        <v>67</v>
      </c>
      <c r="C644" t="s" s="21">
        <v>51</v>
      </c>
      <c r="D644" s="22" cm="1">
        <f t="array" ref="D644">_xlfn.SUMIFS('Diseases'!F2:F4303,'Diseases'!B2:B4303,A644,'Diseases'!C2:C4303,B644,'Diseases'!D2:D4303,C644)</f>
        <v>1325</v>
      </c>
      <c r="E644" t="str" s="34" cm="1">
        <f t="array" ref="E644">_xlfn.IFERROR(IF(INDEX('Diseases'!G2:G4303,MATCH(C644,'Diseases'!D2:D4303,0))="","",INDEX('Diseases'!G2:G4303,MATCH(C644,'Diseases'!D2:D4303,0))),"")</f>
      </c>
      <c r="F644" t="str" s="34" cm="1">
        <f t="array" ref="F644">_xlfn.IFERROR(IF(E644="","",D644/E644*100000),"")</f>
      </c>
    </row>
    <row r="645" ht="13.65" customHeight="1">
      <c r="A645" t="s" s="28">
        <v>41</v>
      </c>
      <c r="B645" t="s" s="21">
        <v>67</v>
      </c>
      <c r="C645" t="s" s="21">
        <v>51</v>
      </c>
      <c r="D645" s="22" cm="1">
        <f t="array" ref="D645">_xlfn.SUMIFS('Diseases'!F2:F4303,'Diseases'!B2:B4303,A645,'Diseases'!C2:C4303,B645,'Diseases'!D2:D4303,C645)</f>
        <v>1104</v>
      </c>
      <c r="E645" t="str" s="34" cm="1">
        <f t="array" ref="E645">_xlfn.IFERROR(IF(INDEX('Diseases'!G2:G4303,MATCH(C645,'Diseases'!D2:D4303,0))="","",INDEX('Diseases'!G2:G4303,MATCH(C645,'Diseases'!D2:D4303,0))),"")</f>
      </c>
      <c r="F645" t="str" s="34" cm="1">
        <f t="array" ref="F645">_xlfn.IFERROR(IF(E645="","",D645/E645*100000),"")</f>
      </c>
    </row>
    <row r="646" ht="13.65" customHeight="1">
      <c r="A646" t="s" s="27">
        <v>37</v>
      </c>
      <c r="B646" t="s" s="21">
        <v>67</v>
      </c>
      <c r="C646" t="s" s="21">
        <v>51</v>
      </c>
      <c r="D646" s="22" cm="1">
        <f t="array" ref="D646">_xlfn.SUMIFS('Diseases'!F2:F4303,'Diseases'!B2:B4303,A646,'Diseases'!C2:C4303,B646,'Diseases'!D2:D4303,C646)</f>
        <v>1042</v>
      </c>
      <c r="E646" t="str" s="34" cm="1">
        <f t="array" ref="E646">_xlfn.IFERROR(IF(INDEX('Diseases'!G2:G4303,MATCH(C646,'Diseases'!D2:D4303,0))="","",INDEX('Diseases'!G2:G4303,MATCH(C646,'Diseases'!D2:D4303,0))),"")</f>
      </c>
      <c r="F646" t="str" s="34" cm="1">
        <f t="array" ref="F646">_xlfn.IFERROR(IF(E646="","",D646/E646*100000),"")</f>
      </c>
    </row>
    <row r="647" ht="13.65" customHeight="1">
      <c r="A647" t="s" s="20">
        <v>30</v>
      </c>
      <c r="B647" t="s" s="21">
        <v>68</v>
      </c>
      <c r="C647" t="s" s="21">
        <v>51</v>
      </c>
      <c r="D647" s="22" cm="1">
        <f t="array" ref="D647">_xlfn.SUMIFS('Diseases'!F2:F4303,'Diseases'!B2:B4303,A647,'Diseases'!C2:C4303,B647,'Diseases'!D2:D4303,C647)</f>
        <v>14033</v>
      </c>
      <c r="E647" t="str" s="34" cm="1">
        <f t="array" ref="E647">_xlfn.IFERROR(IF(INDEX('Diseases'!G2:G4303,MATCH(C647,'Diseases'!D2:D4303,0))="","",INDEX('Diseases'!G2:G4303,MATCH(C647,'Diseases'!D2:D4303,0))),"")</f>
      </c>
      <c r="F647" t="str" s="34" cm="1">
        <f t="array" ref="F647">_xlfn.IFERROR(IF(E647="","",D647/E647*100000),"")</f>
      </c>
    </row>
    <row r="648" ht="13.65" customHeight="1">
      <c r="A648" t="s" s="24">
        <v>34</v>
      </c>
      <c r="B648" t="s" s="21">
        <v>68</v>
      </c>
      <c r="C648" t="s" s="21">
        <v>51</v>
      </c>
      <c r="D648" s="22" cm="1">
        <f t="array" ref="D648">_xlfn.SUMIFS('Diseases'!F2:F4303,'Diseases'!B2:B4303,A648,'Diseases'!C2:C4303,B648,'Diseases'!D2:D4303,C648)</f>
        <v>5340</v>
      </c>
      <c r="E648" t="str" s="34" cm="1">
        <f t="array" ref="E648">_xlfn.IFERROR(IF(INDEX('Diseases'!G2:G4303,MATCH(C648,'Diseases'!D2:D4303,0))="","",INDEX('Diseases'!G2:G4303,MATCH(C648,'Diseases'!D2:D4303,0))),"")</f>
      </c>
      <c r="F648" t="str" s="34" cm="1">
        <f t="array" ref="F648">_xlfn.IFERROR(IF(E648="","",D648/E648*100000),"")</f>
      </c>
    </row>
    <row r="649" ht="13.65" customHeight="1">
      <c r="A649" t="s" s="25">
        <v>35</v>
      </c>
      <c r="B649" t="s" s="21">
        <v>68</v>
      </c>
      <c r="C649" t="s" s="21">
        <v>51</v>
      </c>
      <c r="D649" s="22" cm="1">
        <f t="array" ref="D649">_xlfn.SUMIFS('Diseases'!F2:F4303,'Diseases'!B2:B4303,A649,'Diseases'!C2:C4303,B649,'Diseases'!D2:D4303,C649)</f>
        <v>1970</v>
      </c>
      <c r="E649" t="str" s="34" cm="1">
        <f t="array" ref="E649">_xlfn.IFERROR(IF(INDEX('Diseases'!G2:G4303,MATCH(C649,'Diseases'!D2:D4303,0))="","",INDEX('Diseases'!G2:G4303,MATCH(C649,'Diseases'!D2:D4303,0))),"")</f>
      </c>
      <c r="F649" t="str" s="34" cm="1">
        <f t="array" ref="F649">_xlfn.IFERROR(IF(E649="","",D649/E649*100000),"")</f>
      </c>
    </row>
    <row r="650" ht="13.65" customHeight="1">
      <c r="A650" t="s" s="29">
        <v>39</v>
      </c>
      <c r="B650" t="s" s="21">
        <v>68</v>
      </c>
      <c r="C650" t="s" s="21">
        <v>51</v>
      </c>
      <c r="D650" s="22" cm="1">
        <f t="array" ref="D650">_xlfn.SUMIFS('Diseases'!F2:F4303,'Diseases'!B2:B4303,A650,'Diseases'!C2:C4303,B650,'Diseases'!D2:D4303,C650)</f>
        <v>1455</v>
      </c>
      <c r="E650" t="str" s="34" cm="1">
        <f t="array" ref="E650">_xlfn.IFERROR(IF(INDEX('Diseases'!G2:G4303,MATCH(C650,'Diseases'!D2:D4303,0))="","",INDEX('Diseases'!G2:G4303,MATCH(C650,'Diseases'!D2:D4303,0))),"")</f>
      </c>
      <c r="F650" t="str" s="34" cm="1">
        <f t="array" ref="F650">_xlfn.IFERROR(IF(E650="","",D650/E650*100000),"")</f>
      </c>
    </row>
    <row r="651" ht="13.65" customHeight="1">
      <c r="A651" t="s" s="31">
        <v>45</v>
      </c>
      <c r="B651" t="s" s="21">
        <v>68</v>
      </c>
      <c r="C651" t="s" s="21">
        <v>51</v>
      </c>
      <c r="D651" s="22" cm="1">
        <f t="array" ref="D651">_xlfn.SUMIFS('Diseases'!F2:F4303,'Diseases'!B2:B4303,A651,'Diseases'!C2:C4303,B651,'Diseases'!D2:D4303,C651)</f>
        <v>1179</v>
      </c>
      <c r="E651" t="str" s="34" cm="1">
        <f t="array" ref="E651">_xlfn.IFERROR(IF(INDEX('Diseases'!G2:G4303,MATCH(C651,'Diseases'!D2:D4303,0))="","",INDEX('Diseases'!G2:G4303,MATCH(C651,'Diseases'!D2:D4303,0))),"")</f>
      </c>
      <c r="F651" t="str" s="34" cm="1">
        <f t="array" ref="F651">_xlfn.IFERROR(IF(E651="","",D651/E651*100000),"")</f>
      </c>
    </row>
    <row r="652" ht="13.65" customHeight="1">
      <c r="A652" t="s" s="28">
        <v>41</v>
      </c>
      <c r="B652" t="s" s="21">
        <v>68</v>
      </c>
      <c r="C652" t="s" s="21">
        <v>51</v>
      </c>
      <c r="D652" s="22" cm="1">
        <f t="array" ref="D652">_xlfn.SUMIFS('Diseases'!F2:F4303,'Diseases'!B2:B4303,A652,'Diseases'!C2:C4303,B652,'Diseases'!D2:D4303,C652)</f>
        <v>1117</v>
      </c>
      <c r="E652" t="str" s="34" cm="1">
        <f t="array" ref="E652">_xlfn.IFERROR(IF(INDEX('Diseases'!G2:G4303,MATCH(C652,'Diseases'!D2:D4303,0))="","",INDEX('Diseases'!G2:G4303,MATCH(C652,'Diseases'!D2:D4303,0))),"")</f>
      </c>
      <c r="F652" t="str" s="34" cm="1">
        <f t="array" ref="F652">_xlfn.IFERROR(IF(E652="","",D652/E652*100000),"")</f>
      </c>
    </row>
    <row r="653" ht="13.65" customHeight="1">
      <c r="A653" t="s" s="27">
        <v>37</v>
      </c>
      <c r="B653" t="s" s="21">
        <v>68</v>
      </c>
      <c r="C653" t="s" s="21">
        <v>51</v>
      </c>
      <c r="D653" s="22" cm="1">
        <f t="array" ref="D653">_xlfn.SUMIFS('Diseases'!F2:F4303,'Diseases'!B2:B4303,A653,'Diseases'!C2:C4303,B653,'Diseases'!D2:D4303,C653)</f>
        <v>1093</v>
      </c>
      <c r="E653" t="str" s="34" cm="1">
        <f t="array" ref="E653">_xlfn.IFERROR(IF(INDEX('Diseases'!G2:G4303,MATCH(C653,'Diseases'!D2:D4303,0))="","",INDEX('Diseases'!G2:G4303,MATCH(C653,'Diseases'!D2:D4303,0))),"")</f>
      </c>
      <c r="F653" t="str" s="34" cm="1">
        <f t="array" ref="F653">_xlfn.IFERROR(IF(E653="","",D653/E653*100000),"")</f>
      </c>
    </row>
    <row r="654" ht="13.65" customHeight="1">
      <c r="A654" t="s" s="20">
        <v>30</v>
      </c>
      <c r="B654" t="s" s="21">
        <v>69</v>
      </c>
      <c r="C654" t="s" s="21">
        <v>51</v>
      </c>
      <c r="D654" s="22" cm="1">
        <f t="array" ref="D654">_xlfn.SUMIFS('Diseases'!F2:F4303,'Diseases'!B2:B4303,A654,'Diseases'!C2:C4303,B654,'Diseases'!D2:D4303,C654)</f>
        <v>13597</v>
      </c>
      <c r="E654" t="str" s="34" cm="1">
        <f t="array" ref="E654">_xlfn.IFERROR(IF(INDEX('Diseases'!G2:G4303,MATCH(C654,'Diseases'!D2:D4303,0))="","",INDEX('Diseases'!G2:G4303,MATCH(C654,'Diseases'!D2:D4303,0))),"")</f>
      </c>
      <c r="F654" t="str" s="34" cm="1">
        <f t="array" ref="F654">_xlfn.IFERROR(IF(E654="","",D654/E654*100000),"")</f>
      </c>
    </row>
    <row r="655" ht="13.65" customHeight="1">
      <c r="A655" t="s" s="24">
        <v>34</v>
      </c>
      <c r="B655" t="s" s="21">
        <v>69</v>
      </c>
      <c r="C655" t="s" s="21">
        <v>51</v>
      </c>
      <c r="D655" s="22" cm="1">
        <f t="array" ref="D655">_xlfn.SUMIFS('Diseases'!F2:F4303,'Diseases'!B2:B4303,A655,'Diseases'!C2:C4303,B655,'Diseases'!D2:D4303,C655)</f>
        <v>5093</v>
      </c>
      <c r="E655" t="str" s="34" cm="1">
        <f t="array" ref="E655">_xlfn.IFERROR(IF(INDEX('Diseases'!G2:G4303,MATCH(C655,'Diseases'!D2:D4303,0))="","",INDEX('Diseases'!G2:G4303,MATCH(C655,'Diseases'!D2:D4303,0))),"")</f>
      </c>
      <c r="F655" t="str" s="34" cm="1">
        <f t="array" ref="F655">_xlfn.IFERROR(IF(E655="","",D655/E655*100000),"")</f>
      </c>
    </row>
    <row r="656" ht="13.65" customHeight="1">
      <c r="A656" t="s" s="25">
        <v>35</v>
      </c>
      <c r="B656" t="s" s="21">
        <v>69</v>
      </c>
      <c r="C656" t="s" s="21">
        <v>51</v>
      </c>
      <c r="D656" s="22" cm="1">
        <f t="array" ref="D656">_xlfn.SUMIFS('Diseases'!F2:F4303,'Diseases'!B2:B4303,A656,'Diseases'!C2:C4303,B656,'Diseases'!D2:D4303,C656)</f>
        <v>3069</v>
      </c>
      <c r="E656" t="str" s="34" cm="1">
        <f t="array" ref="E656">_xlfn.IFERROR(IF(INDEX('Diseases'!G2:G4303,MATCH(C656,'Diseases'!D2:D4303,0))="","",INDEX('Diseases'!G2:G4303,MATCH(C656,'Diseases'!D2:D4303,0))),"")</f>
      </c>
      <c r="F656" t="str" s="34" cm="1">
        <f t="array" ref="F656">_xlfn.IFERROR(IF(E656="","",D656/E656*100000),"")</f>
      </c>
    </row>
    <row r="657" ht="13.65" customHeight="1">
      <c r="A657" t="s" s="29">
        <v>39</v>
      </c>
      <c r="B657" t="s" s="21">
        <v>69</v>
      </c>
      <c r="C657" t="s" s="21">
        <v>51</v>
      </c>
      <c r="D657" s="22" cm="1">
        <f t="array" ref="D657">_xlfn.SUMIFS('Diseases'!F2:F4303,'Diseases'!B2:B4303,A657,'Diseases'!C2:C4303,B657,'Diseases'!D2:D4303,C657)</f>
        <v>1007</v>
      </c>
      <c r="E657" t="str" s="34" cm="1">
        <f t="array" ref="E657">_xlfn.IFERROR(IF(INDEX('Diseases'!G2:G4303,MATCH(C657,'Diseases'!D2:D4303,0))="","",INDEX('Diseases'!G2:G4303,MATCH(C657,'Diseases'!D2:D4303,0))),"")</f>
      </c>
      <c r="F657" t="str" s="34" cm="1">
        <f t="array" ref="F657">_xlfn.IFERROR(IF(E657="","",D657/E657*100000),"")</f>
      </c>
    </row>
    <row r="658" ht="13.65" customHeight="1">
      <c r="A658" t="s" s="28">
        <v>41</v>
      </c>
      <c r="B658" t="s" s="21">
        <v>69</v>
      </c>
      <c r="C658" t="s" s="21">
        <v>51</v>
      </c>
      <c r="D658" s="22" cm="1">
        <f t="array" ref="D658">_xlfn.SUMIFS('Diseases'!F2:F4303,'Diseases'!B2:B4303,A658,'Diseases'!C2:C4303,B658,'Diseases'!D2:D4303,C658)</f>
        <v>923</v>
      </c>
      <c r="E658" t="str" s="34" cm="1">
        <f t="array" ref="E658">_xlfn.IFERROR(IF(INDEX('Diseases'!G2:G4303,MATCH(C658,'Diseases'!D2:D4303,0))="","",INDEX('Diseases'!G2:G4303,MATCH(C658,'Diseases'!D2:D4303,0))),"")</f>
      </c>
      <c r="F658" t="str" s="34" cm="1">
        <f t="array" ref="F658">_xlfn.IFERROR(IF(E658="","",D658/E658*100000),"")</f>
      </c>
    </row>
    <row r="659" ht="13.65" customHeight="1">
      <c r="A659" t="s" s="27">
        <v>37</v>
      </c>
      <c r="B659" t="s" s="21">
        <v>69</v>
      </c>
      <c r="C659" t="s" s="21">
        <v>51</v>
      </c>
      <c r="D659" s="22" cm="1">
        <f t="array" ref="D659">_xlfn.SUMIFS('Diseases'!F2:F4303,'Diseases'!B2:B4303,A659,'Diseases'!C2:C4303,B659,'Diseases'!D2:D4303,C659)</f>
        <v>894</v>
      </c>
      <c r="E659" t="str" s="34" cm="1">
        <f t="array" ref="E659">_xlfn.IFERROR(IF(INDEX('Diseases'!G2:G4303,MATCH(C659,'Diseases'!D2:D4303,0))="","",INDEX('Diseases'!G2:G4303,MATCH(C659,'Diseases'!D2:D4303,0))),"")</f>
      </c>
      <c r="F659" t="str" s="34" cm="1">
        <f t="array" ref="F659">_xlfn.IFERROR(IF(E659="","",D659/E659*100000),"")</f>
      </c>
    </row>
    <row r="660" ht="13.65" customHeight="1">
      <c r="A660" t="s" s="20">
        <v>30</v>
      </c>
      <c r="B660" t="s" s="21">
        <v>70</v>
      </c>
      <c r="C660" t="s" s="21">
        <v>51</v>
      </c>
      <c r="D660" s="22" cm="1">
        <f t="array" ref="D660">_xlfn.SUMIFS('Diseases'!F2:F4303,'Diseases'!B2:B4303,A660,'Diseases'!C2:C4303,B660,'Diseases'!D2:D4303,C660)</f>
        <v>9888</v>
      </c>
      <c r="E660" t="str" s="34" cm="1">
        <f t="array" ref="E660">_xlfn.IFERROR(IF(INDEX('Diseases'!G2:G4303,MATCH(C660,'Diseases'!D2:D4303,0))="","",INDEX('Diseases'!G2:G4303,MATCH(C660,'Diseases'!D2:D4303,0))),"")</f>
      </c>
      <c r="F660" t="str" s="34" cm="1">
        <f t="array" ref="F660">_xlfn.IFERROR(IF(E660="","",D660/E660*100000),"")</f>
      </c>
    </row>
    <row r="661" ht="13.65" customHeight="1">
      <c r="A661" t="s" s="24">
        <v>34</v>
      </c>
      <c r="B661" t="s" s="21">
        <v>70</v>
      </c>
      <c r="C661" t="s" s="21">
        <v>51</v>
      </c>
      <c r="D661" s="22" cm="1">
        <f t="array" ref="D661">_xlfn.SUMIFS('Diseases'!F2:F4303,'Diseases'!B2:B4303,A661,'Diseases'!C2:C4303,B661,'Diseases'!D2:D4303,C661)</f>
        <v>3509</v>
      </c>
      <c r="E661" t="str" s="34" cm="1">
        <f t="array" ref="E661">_xlfn.IFERROR(IF(INDEX('Diseases'!G2:G4303,MATCH(C661,'Diseases'!D2:D4303,0))="","",INDEX('Diseases'!G2:G4303,MATCH(C661,'Diseases'!D2:D4303,0))),"")</f>
      </c>
      <c r="F661" t="str" s="34" cm="1">
        <f t="array" ref="F661">_xlfn.IFERROR(IF(E661="","",D661/E661*100000),"")</f>
      </c>
    </row>
    <row r="662" ht="13.65" customHeight="1">
      <c r="A662" t="s" s="25">
        <v>35</v>
      </c>
      <c r="B662" t="s" s="21">
        <v>70</v>
      </c>
      <c r="C662" t="s" s="21">
        <v>51</v>
      </c>
      <c r="D662" s="22" cm="1">
        <f t="array" ref="D662">_xlfn.SUMIFS('Diseases'!F2:F4303,'Diseases'!B2:B4303,A662,'Diseases'!C2:C4303,B662,'Diseases'!D2:D4303,C662)</f>
        <v>2790</v>
      </c>
      <c r="E662" t="str" s="34" cm="1">
        <f t="array" ref="E662">_xlfn.IFERROR(IF(INDEX('Diseases'!G2:G4303,MATCH(C662,'Diseases'!D2:D4303,0))="","",INDEX('Diseases'!G2:G4303,MATCH(C662,'Diseases'!D2:D4303,0))),"")</f>
      </c>
      <c r="F662" t="str" s="34" cm="1">
        <f t="array" ref="F662">_xlfn.IFERROR(IF(E662="","",D662/E662*100000),"")</f>
      </c>
    </row>
    <row r="663" ht="13.65" customHeight="1">
      <c r="A663" t="s" s="28">
        <v>41</v>
      </c>
      <c r="B663" t="s" s="21">
        <v>70</v>
      </c>
      <c r="C663" t="s" s="21">
        <v>51</v>
      </c>
      <c r="D663" s="22" cm="1">
        <f t="array" ref="D663">_xlfn.SUMIFS('Diseases'!F2:F4303,'Diseases'!B2:B4303,A663,'Diseases'!C2:C4303,B663,'Diseases'!D2:D4303,C663)</f>
        <v>1448</v>
      </c>
      <c r="E663" t="str" s="34" cm="1">
        <f t="array" ref="E663">_xlfn.IFERROR(IF(INDEX('Diseases'!G2:G4303,MATCH(C663,'Diseases'!D2:D4303,0))="","",INDEX('Diseases'!G2:G4303,MATCH(C663,'Diseases'!D2:D4303,0))),"")</f>
      </c>
      <c r="F663" t="str" s="34" cm="1">
        <f t="array" ref="F663">_xlfn.IFERROR(IF(E663="","",D663/E663*100000),"")</f>
      </c>
    </row>
    <row r="664" ht="13.65" customHeight="1">
      <c r="A664" t="s" s="27">
        <v>37</v>
      </c>
      <c r="B664" t="s" s="21">
        <v>70</v>
      </c>
      <c r="C664" t="s" s="21">
        <v>51</v>
      </c>
      <c r="D664" s="22" cm="1">
        <f t="array" ref="D664">_xlfn.SUMIFS('Diseases'!F2:F4303,'Diseases'!B2:B4303,A664,'Diseases'!C2:C4303,B664,'Diseases'!D2:D4303,C664)</f>
        <v>761</v>
      </c>
      <c r="E664" t="str" s="34" cm="1">
        <f t="array" ref="E664">_xlfn.IFERROR(IF(INDEX('Diseases'!G2:G4303,MATCH(C664,'Diseases'!D2:D4303,0))="","",INDEX('Diseases'!G2:G4303,MATCH(C664,'Diseases'!D2:D4303,0))),"")</f>
      </c>
      <c r="F664" t="str" s="34" cm="1">
        <f t="array" ref="F664">_xlfn.IFERROR(IF(E664="","",D664/E664*100000),"")</f>
      </c>
    </row>
    <row r="665" ht="13.65" customHeight="1">
      <c r="A665" t="s" s="29">
        <v>39</v>
      </c>
      <c r="B665" t="s" s="21">
        <v>70</v>
      </c>
      <c r="C665" t="s" s="21">
        <v>51</v>
      </c>
      <c r="D665" s="22" cm="1">
        <f t="array" ref="D665">_xlfn.SUMIFS('Diseases'!F2:F4303,'Diseases'!B2:B4303,A665,'Diseases'!C2:C4303,B665,'Diseases'!D2:D4303,C665)</f>
        <v>663</v>
      </c>
      <c r="E665" t="str" s="34" cm="1">
        <f t="array" ref="E665">_xlfn.IFERROR(IF(INDEX('Diseases'!G2:G4303,MATCH(C665,'Diseases'!D2:D4303,0))="","",INDEX('Diseases'!G2:G4303,MATCH(C665,'Diseases'!D2:D4303,0))),"")</f>
      </c>
      <c r="F665" t="str" s="34" cm="1">
        <f t="array" ref="F665">_xlfn.IFERROR(IF(E665="","",D665/E665*100000),"")</f>
      </c>
    </row>
    <row r="666" ht="13.65" customHeight="1">
      <c r="A666" t="s" s="20">
        <v>30</v>
      </c>
      <c r="B666" t="s" s="21">
        <v>31</v>
      </c>
      <c r="C666" t="s" s="21">
        <v>52</v>
      </c>
      <c r="D666" s="22" cm="1">
        <f t="array" ref="D666">_xlfn.SUMIFS('Diseases'!F2:F4303,'Diseases'!B2:B4303,A666,'Diseases'!C2:C4303,B666,'Diseases'!D2:D4303,C666)</f>
        <v>17894</v>
      </c>
      <c r="E666" t="str" s="34" cm="1">
        <f t="array" ref="E666">_xlfn.IFERROR(IF(INDEX('Diseases'!G2:G4303,MATCH(C666,'Diseases'!D2:D4303,0))="","",INDEX('Diseases'!G2:G4303,MATCH(C666,'Diseases'!D2:D4303,0))),"")</f>
      </c>
      <c r="F666" t="str" s="34" cm="1">
        <f t="array" ref="F666">_xlfn.IFERROR(IF(E666="","",D666/E666*100000),"")</f>
      </c>
    </row>
    <row r="667" ht="13.65" customHeight="1">
      <c r="A667" t="s" s="25">
        <v>35</v>
      </c>
      <c r="B667" t="s" s="21">
        <v>31</v>
      </c>
      <c r="C667" t="s" s="21">
        <v>52</v>
      </c>
      <c r="D667" s="22" cm="1">
        <f t="array" ref="D667">_xlfn.SUMIFS('Diseases'!F2:F4303,'Diseases'!B2:B4303,A667,'Diseases'!C2:C4303,B667,'Diseases'!D2:D4303,C667)</f>
        <v>10635</v>
      </c>
      <c r="E667" t="str" s="34" cm="1">
        <f t="array" ref="E667">_xlfn.IFERROR(IF(INDEX('Diseases'!G2:G4303,MATCH(C667,'Diseases'!D2:D4303,0))="","",INDEX('Diseases'!G2:G4303,MATCH(C667,'Diseases'!D2:D4303,0))),"")</f>
      </c>
      <c r="F667" t="str" s="34" cm="1">
        <f t="array" ref="F667">_xlfn.IFERROR(IF(E667="","",D667/E667*100000),"")</f>
      </c>
    </row>
    <row r="668" ht="13.65" customHeight="1">
      <c r="A668" t="s" s="24">
        <v>34</v>
      </c>
      <c r="B668" t="s" s="21">
        <v>31</v>
      </c>
      <c r="C668" t="s" s="21">
        <v>52</v>
      </c>
      <c r="D668" s="22" cm="1">
        <f t="array" ref="D668">_xlfn.SUMIFS('Diseases'!F2:F4303,'Diseases'!B2:B4303,A668,'Diseases'!C2:C4303,B668,'Diseases'!D2:D4303,C668)</f>
        <v>6608</v>
      </c>
      <c r="E668" t="str" s="34" cm="1">
        <f t="array" ref="E668">_xlfn.IFERROR(IF(INDEX('Diseases'!G2:G4303,MATCH(C668,'Diseases'!D2:D4303,0))="","",INDEX('Diseases'!G2:G4303,MATCH(C668,'Diseases'!D2:D4303,0))),"")</f>
      </c>
      <c r="F668" t="str" s="34" cm="1">
        <f t="array" ref="F668">_xlfn.IFERROR(IF(E668="","",D668/E668*100000),"")</f>
      </c>
    </row>
    <row r="669" ht="13.65" customHeight="1">
      <c r="A669" t="s" s="31">
        <v>45</v>
      </c>
      <c r="B669" t="s" s="21">
        <v>31</v>
      </c>
      <c r="C669" t="s" s="21">
        <v>52</v>
      </c>
      <c r="D669" s="22" cm="1">
        <f t="array" ref="D669">_xlfn.SUMIFS('Diseases'!F2:F4303,'Diseases'!B2:B4303,A669,'Diseases'!C2:C4303,B669,'Diseases'!D2:D4303,C669)</f>
        <v>3026</v>
      </c>
      <c r="E669" t="str" s="34" cm="1">
        <f t="array" ref="E669">_xlfn.IFERROR(IF(INDEX('Diseases'!G2:G4303,MATCH(C669,'Diseases'!D2:D4303,0))="","",INDEX('Diseases'!G2:G4303,MATCH(C669,'Diseases'!D2:D4303,0))),"")</f>
      </c>
      <c r="F669" t="str" s="34" cm="1">
        <f t="array" ref="F669">_xlfn.IFERROR(IF(E669="","",D669/E669*100000),"")</f>
      </c>
    </row>
    <row r="670" ht="13.65" customHeight="1">
      <c r="A670" t="s" s="29">
        <v>39</v>
      </c>
      <c r="B670" t="s" s="21">
        <v>31</v>
      </c>
      <c r="C670" t="s" s="21">
        <v>52</v>
      </c>
      <c r="D670" s="22" cm="1">
        <f t="array" ref="D670">_xlfn.SUMIFS('Diseases'!F2:F4303,'Diseases'!B2:B4303,A670,'Diseases'!C2:C4303,B670,'Diseases'!D2:D4303,C670)</f>
        <v>2234</v>
      </c>
      <c r="E670" t="str" s="34" cm="1">
        <f t="array" ref="E670">_xlfn.IFERROR(IF(INDEX('Diseases'!G2:G4303,MATCH(C670,'Diseases'!D2:D4303,0))="","",INDEX('Diseases'!G2:G4303,MATCH(C670,'Diseases'!D2:D4303,0))),"")</f>
      </c>
      <c r="F670" t="str" s="34" cm="1">
        <f t="array" ref="F670">_xlfn.IFERROR(IF(E670="","",D670/E670*100000),"")</f>
      </c>
    </row>
    <row r="671" ht="13.65" customHeight="1">
      <c r="A671" t="s" s="26">
        <v>36</v>
      </c>
      <c r="B671" t="s" s="21">
        <v>31</v>
      </c>
      <c r="C671" t="s" s="21">
        <v>52</v>
      </c>
      <c r="D671" s="22" cm="1">
        <f t="array" ref="D671">_xlfn.SUMIFS('Diseases'!F2:F4303,'Diseases'!B2:B4303,A671,'Diseases'!C2:C4303,B671,'Diseases'!D2:D4303,C671)</f>
        <v>1437</v>
      </c>
      <c r="E671" t="str" s="34" cm="1">
        <f t="array" ref="E671">_xlfn.IFERROR(IF(INDEX('Diseases'!G2:G4303,MATCH(C671,'Diseases'!D2:D4303,0))="","",INDEX('Diseases'!G2:G4303,MATCH(C671,'Diseases'!D2:D4303,0))),"")</f>
      </c>
      <c r="F671" t="str" s="34" cm="1">
        <f t="array" ref="F671">_xlfn.IFERROR(IF(E671="","",D671/E671*100000),"")</f>
      </c>
    </row>
    <row r="672" ht="13.65" customHeight="1">
      <c r="A672" t="s" s="28">
        <v>41</v>
      </c>
      <c r="B672" t="s" s="21">
        <v>31</v>
      </c>
      <c r="C672" t="s" s="21">
        <v>52</v>
      </c>
      <c r="D672" s="22" cm="1">
        <f t="array" ref="D672">_xlfn.SUMIFS('Diseases'!F2:F4303,'Diseases'!B2:B4303,A672,'Diseases'!C2:C4303,B672,'Diseases'!D2:D4303,C672)</f>
        <v>1379</v>
      </c>
      <c r="E672" t="str" s="34" cm="1">
        <f t="array" ref="E672">_xlfn.IFERROR(IF(INDEX('Diseases'!G2:G4303,MATCH(C672,'Diseases'!D2:D4303,0))="","",INDEX('Diseases'!G2:G4303,MATCH(C672,'Diseases'!D2:D4303,0))),"")</f>
      </c>
      <c r="F672" t="str" s="34" cm="1">
        <f t="array" ref="F672">_xlfn.IFERROR(IF(E672="","",D672/E672*100000),"")</f>
      </c>
    </row>
    <row r="673" ht="13.65" customHeight="1">
      <c r="A673" t="s" s="25">
        <v>35</v>
      </c>
      <c r="B673" t="s" s="21">
        <v>60</v>
      </c>
      <c r="C673" t="s" s="21">
        <v>52</v>
      </c>
      <c r="D673" s="22" cm="1">
        <f t="array" ref="D673">_xlfn.SUMIFS('Diseases'!F2:F4303,'Diseases'!B2:B4303,A673,'Diseases'!C2:C4303,B673,'Diseases'!D2:D4303,C673)</f>
        <v>8116</v>
      </c>
      <c r="E673" t="str" s="34" cm="1">
        <f t="array" ref="E673">_xlfn.IFERROR(IF(INDEX('Diseases'!G2:G4303,MATCH(C673,'Diseases'!D2:D4303,0))="","",INDEX('Diseases'!G2:G4303,MATCH(C673,'Diseases'!D2:D4303,0))),"")</f>
      </c>
      <c r="F673" t="str" s="34" cm="1">
        <f t="array" ref="F673">_xlfn.IFERROR(IF(E673="","",D673/E673*100000),"")</f>
      </c>
    </row>
    <row r="674" ht="13.65" customHeight="1">
      <c r="A674" t="s" s="24">
        <v>34</v>
      </c>
      <c r="B674" t="s" s="21">
        <v>60</v>
      </c>
      <c r="C674" t="s" s="21">
        <v>52</v>
      </c>
      <c r="D674" s="22" cm="1">
        <f t="array" ref="D674">_xlfn.SUMIFS('Diseases'!F2:F4303,'Diseases'!B2:B4303,A674,'Diseases'!C2:C4303,B674,'Diseases'!D2:D4303,C674)</f>
        <v>6556</v>
      </c>
      <c r="E674" t="str" s="34" cm="1">
        <f t="array" ref="E674">_xlfn.IFERROR(IF(INDEX('Diseases'!G2:G4303,MATCH(C674,'Diseases'!D2:D4303,0))="","",INDEX('Diseases'!G2:G4303,MATCH(C674,'Diseases'!D2:D4303,0))),"")</f>
      </c>
      <c r="F674" t="str" s="34" cm="1">
        <f t="array" ref="F674">_xlfn.IFERROR(IF(E674="","",D674/E674*100000),"")</f>
      </c>
    </row>
    <row r="675" ht="13.65" customHeight="1">
      <c r="A675" t="s" s="20">
        <v>30</v>
      </c>
      <c r="B675" t="s" s="21">
        <v>60</v>
      </c>
      <c r="C675" t="s" s="21">
        <v>52</v>
      </c>
      <c r="D675" s="22" cm="1">
        <f t="array" ref="D675">_xlfn.SUMIFS('Diseases'!F2:F4303,'Diseases'!B2:B4303,A675,'Diseases'!C2:C4303,B675,'Diseases'!D2:D4303,C675)</f>
        <v>4843</v>
      </c>
      <c r="E675" t="str" s="34" cm="1">
        <f t="array" ref="E675">_xlfn.IFERROR(IF(INDEX('Diseases'!G2:G4303,MATCH(C675,'Diseases'!D2:D4303,0))="","",INDEX('Diseases'!G2:G4303,MATCH(C675,'Diseases'!D2:D4303,0))),"")</f>
      </c>
      <c r="F675" t="str" s="34" cm="1">
        <f t="array" ref="F675">_xlfn.IFERROR(IF(E675="","",D675/E675*100000),"")</f>
      </c>
    </row>
    <row r="676" ht="13.65" customHeight="1">
      <c r="A676" t="s" s="28">
        <v>41</v>
      </c>
      <c r="B676" t="s" s="21">
        <v>60</v>
      </c>
      <c r="C676" t="s" s="21">
        <v>52</v>
      </c>
      <c r="D676" s="22" cm="1">
        <f t="array" ref="D676">_xlfn.SUMIFS('Diseases'!F2:F4303,'Diseases'!B2:B4303,A676,'Diseases'!C2:C4303,B676,'Diseases'!D2:D4303,C676)</f>
        <v>3150</v>
      </c>
      <c r="E676" t="str" s="34" cm="1">
        <f t="array" ref="E676">_xlfn.IFERROR(IF(INDEX('Diseases'!G2:G4303,MATCH(C676,'Diseases'!D2:D4303,0))="","",INDEX('Diseases'!G2:G4303,MATCH(C676,'Diseases'!D2:D4303,0))),"")</f>
      </c>
      <c r="F676" t="str" s="34" cm="1">
        <f t="array" ref="F676">_xlfn.IFERROR(IF(E676="","",D676/E676*100000),"")</f>
      </c>
    </row>
    <row r="677" ht="13.65" customHeight="1">
      <c r="A677" t="s" s="33">
        <v>59</v>
      </c>
      <c r="B677" t="s" s="21">
        <v>60</v>
      </c>
      <c r="C677" t="s" s="21">
        <v>52</v>
      </c>
      <c r="D677" s="22" cm="1">
        <f t="array" ref="D677">_xlfn.SUMIFS('Diseases'!F2:F4303,'Diseases'!B2:B4303,A677,'Diseases'!C2:C4303,B677,'Diseases'!D2:D4303,C677)</f>
        <v>1449</v>
      </c>
      <c r="E677" t="str" s="34" cm="1">
        <f t="array" ref="E677">_xlfn.IFERROR(IF(INDEX('Diseases'!G2:G4303,MATCH(C677,'Diseases'!D2:D4303,0))="","",INDEX('Diseases'!G2:G4303,MATCH(C677,'Diseases'!D2:D4303,0))),"")</f>
      </c>
      <c r="F677" t="str" s="34" cm="1">
        <f t="array" ref="F677">_xlfn.IFERROR(IF(E677="","",D677/E677*100000),"")</f>
      </c>
    </row>
    <row r="678" ht="13.65" customHeight="1">
      <c r="A678" t="s" s="20">
        <v>30</v>
      </c>
      <c r="B678" t="s" s="21">
        <v>61</v>
      </c>
      <c r="C678" t="s" s="21">
        <v>52</v>
      </c>
      <c r="D678" s="22" cm="1">
        <f t="array" ref="D678">_xlfn.SUMIFS('Diseases'!F2:F4303,'Diseases'!B2:B4303,A678,'Diseases'!C2:C4303,B678,'Diseases'!D2:D4303,C678)</f>
        <v>6778</v>
      </c>
      <c r="E678" t="str" s="34" cm="1">
        <f t="array" ref="E678">_xlfn.IFERROR(IF(INDEX('Diseases'!G2:G4303,MATCH(C678,'Diseases'!D2:D4303,0))="","",INDEX('Diseases'!G2:G4303,MATCH(C678,'Diseases'!D2:D4303,0))),"")</f>
      </c>
      <c r="F678" t="str" s="34" cm="1">
        <f t="array" ref="F678">_xlfn.IFERROR(IF(E678="","",D678/E678*100000),"")</f>
      </c>
    </row>
    <row r="679" ht="13.65" customHeight="1">
      <c r="A679" t="s" s="25">
        <v>35</v>
      </c>
      <c r="B679" t="s" s="21">
        <v>61</v>
      </c>
      <c r="C679" t="s" s="21">
        <v>52</v>
      </c>
      <c r="D679" s="22" cm="1">
        <f t="array" ref="D679">_xlfn.SUMIFS('Diseases'!F2:F4303,'Diseases'!B2:B4303,A679,'Diseases'!C2:C4303,B679,'Diseases'!D2:D4303,C679)</f>
        <v>5888</v>
      </c>
      <c r="E679" t="str" s="34" cm="1">
        <f t="array" ref="E679">_xlfn.IFERROR(IF(INDEX('Diseases'!G2:G4303,MATCH(C679,'Diseases'!D2:D4303,0))="","",INDEX('Diseases'!G2:G4303,MATCH(C679,'Diseases'!D2:D4303,0))),"")</f>
      </c>
      <c r="F679" t="str" s="34" cm="1">
        <f t="array" ref="F679">_xlfn.IFERROR(IF(E679="","",D679/E679*100000),"")</f>
      </c>
    </row>
    <row r="680" ht="13.65" customHeight="1">
      <c r="A680" t="s" s="24">
        <v>34</v>
      </c>
      <c r="B680" t="s" s="21">
        <v>61</v>
      </c>
      <c r="C680" t="s" s="21">
        <v>52</v>
      </c>
      <c r="D680" s="22" cm="1">
        <f t="array" ref="D680">_xlfn.SUMIFS('Diseases'!F2:F4303,'Diseases'!B2:B4303,A680,'Diseases'!C2:C4303,B680,'Diseases'!D2:D4303,C680)</f>
        <v>3309</v>
      </c>
      <c r="E680" t="str" s="34" cm="1">
        <f t="array" ref="E680">_xlfn.IFERROR(IF(INDEX('Diseases'!G2:G4303,MATCH(C680,'Diseases'!D2:D4303,0))="","",INDEX('Diseases'!G2:G4303,MATCH(C680,'Diseases'!D2:D4303,0))),"")</f>
      </c>
      <c r="F680" t="str" s="34" cm="1">
        <f t="array" ref="F680">_xlfn.IFERROR(IF(E680="","",D680/E680*100000),"")</f>
      </c>
    </row>
    <row r="681" ht="13.65" customHeight="1">
      <c r="A681" t="s" s="26">
        <v>36</v>
      </c>
      <c r="B681" t="s" s="21">
        <v>61</v>
      </c>
      <c r="C681" t="s" s="21">
        <v>52</v>
      </c>
      <c r="D681" s="22" cm="1">
        <f t="array" ref="D681">_xlfn.SUMIFS('Diseases'!F2:F4303,'Diseases'!B2:B4303,A681,'Diseases'!C2:C4303,B681,'Diseases'!D2:D4303,C681)</f>
        <v>2130</v>
      </c>
      <c r="E681" t="str" s="34" cm="1">
        <f t="array" ref="E681">_xlfn.IFERROR(IF(INDEX('Diseases'!G2:G4303,MATCH(C681,'Diseases'!D2:D4303,0))="","",INDEX('Diseases'!G2:G4303,MATCH(C681,'Diseases'!D2:D4303,0))),"")</f>
      </c>
      <c r="F681" t="str" s="34" cm="1">
        <f t="array" ref="F681">_xlfn.IFERROR(IF(E681="","",D681/E681*100000),"")</f>
      </c>
    </row>
    <row r="682" ht="13.65" customHeight="1">
      <c r="A682" t="s" s="31">
        <v>45</v>
      </c>
      <c r="B682" t="s" s="21">
        <v>61</v>
      </c>
      <c r="C682" t="s" s="21">
        <v>52</v>
      </c>
      <c r="D682" s="22" cm="1">
        <f t="array" ref="D682">_xlfn.SUMIFS('Diseases'!F2:F4303,'Diseases'!B2:B4303,A682,'Diseases'!C2:C4303,B682,'Diseases'!D2:D4303,C682)</f>
        <v>1688</v>
      </c>
      <c r="E682" t="str" s="34" cm="1">
        <f t="array" ref="E682">_xlfn.IFERROR(IF(INDEX('Diseases'!G2:G4303,MATCH(C682,'Diseases'!D2:D4303,0))="","",INDEX('Diseases'!G2:G4303,MATCH(C682,'Diseases'!D2:D4303,0))),"")</f>
      </c>
      <c r="F682" t="str" s="34" cm="1">
        <f t="array" ref="F682">_xlfn.IFERROR(IF(E682="","",D682/E682*100000),"")</f>
      </c>
    </row>
    <row r="683" ht="13.65" customHeight="1">
      <c r="A683" t="s" s="29">
        <v>39</v>
      </c>
      <c r="B683" t="s" s="21">
        <v>61</v>
      </c>
      <c r="C683" t="s" s="21">
        <v>52</v>
      </c>
      <c r="D683" s="22" cm="1">
        <f t="array" ref="D683">_xlfn.SUMIFS('Diseases'!F2:F4303,'Diseases'!B2:B4303,A683,'Diseases'!C2:C4303,B683,'Diseases'!D2:D4303,C683)</f>
        <v>1218</v>
      </c>
      <c r="E683" t="str" s="34" cm="1">
        <f t="array" ref="E683">_xlfn.IFERROR(IF(INDEX('Diseases'!G2:G4303,MATCH(C683,'Diseases'!D2:D4303,0))="","",INDEX('Diseases'!G2:G4303,MATCH(C683,'Diseases'!D2:D4303,0))),"")</f>
      </c>
      <c r="F683" t="str" s="34" cm="1">
        <f t="array" ref="F683">_xlfn.IFERROR(IF(E683="","",D683/E683*100000),"")</f>
      </c>
    </row>
    <row r="684" ht="13.65" customHeight="1">
      <c r="A684" t="s" s="30">
        <v>40</v>
      </c>
      <c r="B684" t="s" s="21">
        <v>61</v>
      </c>
      <c r="C684" t="s" s="21">
        <v>52</v>
      </c>
      <c r="D684" s="22" cm="1">
        <f t="array" ref="D684">_xlfn.SUMIFS('Diseases'!F2:F4303,'Diseases'!B2:B4303,A684,'Diseases'!C2:C4303,B684,'Diseases'!D2:D4303,C684)</f>
        <v>1057</v>
      </c>
      <c r="E684" t="str" s="34" cm="1">
        <f t="array" ref="E684">_xlfn.IFERROR(IF(INDEX('Diseases'!G2:G4303,MATCH(C684,'Diseases'!D2:D4303,0))="","",INDEX('Diseases'!G2:G4303,MATCH(C684,'Diseases'!D2:D4303,0))),"")</f>
      </c>
      <c r="F684" t="str" s="34" cm="1">
        <f t="array" ref="F684">_xlfn.IFERROR(IF(E684="","",D684/E684*100000),"")</f>
      </c>
    </row>
    <row r="685" ht="13.65" customHeight="1">
      <c r="A685" t="s" s="25">
        <v>35</v>
      </c>
      <c r="B685" t="s" s="21">
        <v>62</v>
      </c>
      <c r="C685" t="s" s="21">
        <v>52</v>
      </c>
      <c r="D685" s="22" cm="1">
        <f t="array" ref="D685">_xlfn.SUMIFS('Diseases'!F2:F4303,'Diseases'!B2:B4303,A685,'Diseases'!C2:C4303,B685,'Diseases'!D2:D4303,C685)</f>
        <v>213825</v>
      </c>
      <c r="E685" t="str" s="34" cm="1">
        <f t="array" ref="E685">_xlfn.IFERROR(IF(INDEX('Diseases'!G2:G4303,MATCH(C685,'Diseases'!D2:D4303,0))="","",INDEX('Diseases'!G2:G4303,MATCH(C685,'Diseases'!D2:D4303,0))),"")</f>
      </c>
      <c r="F685" t="str" s="34" cm="1">
        <f t="array" ref="F685">_xlfn.IFERROR(IF(E685="","",D685/E685*100000),"")</f>
      </c>
    </row>
    <row r="686" ht="13.65" customHeight="1">
      <c r="A686" t="s" s="20">
        <v>30</v>
      </c>
      <c r="B686" t="s" s="21">
        <v>62</v>
      </c>
      <c r="C686" t="s" s="21">
        <v>52</v>
      </c>
      <c r="D686" s="22" cm="1">
        <f t="array" ref="D686">_xlfn.SUMIFS('Diseases'!F2:F4303,'Diseases'!B2:B4303,A686,'Diseases'!C2:C4303,B686,'Diseases'!D2:D4303,C686)</f>
        <v>148740</v>
      </c>
      <c r="E686" t="str" s="34" cm="1">
        <f t="array" ref="E686">_xlfn.IFERROR(IF(INDEX('Diseases'!G2:G4303,MATCH(C686,'Diseases'!D2:D4303,0))="","",INDEX('Diseases'!G2:G4303,MATCH(C686,'Diseases'!D2:D4303,0))),"")</f>
      </c>
      <c r="F686" t="str" s="34" cm="1">
        <f t="array" ref="F686">_xlfn.IFERROR(IF(E686="","",D686/E686*100000),"")</f>
      </c>
    </row>
    <row r="687" ht="13.65" customHeight="1">
      <c r="A687" t="s" s="24">
        <v>34</v>
      </c>
      <c r="B687" t="s" s="21">
        <v>62</v>
      </c>
      <c r="C687" t="s" s="21">
        <v>52</v>
      </c>
      <c r="D687" s="22" cm="1">
        <f t="array" ref="D687">_xlfn.SUMIFS('Diseases'!F2:F4303,'Diseases'!B2:B4303,A687,'Diseases'!C2:C4303,B687,'Diseases'!D2:D4303,C687)</f>
        <v>87810</v>
      </c>
      <c r="E687" t="str" s="34" cm="1">
        <f t="array" ref="E687">_xlfn.IFERROR(IF(INDEX('Diseases'!G2:G4303,MATCH(C687,'Diseases'!D2:D4303,0))="","",INDEX('Diseases'!G2:G4303,MATCH(C687,'Diseases'!D2:D4303,0))),"")</f>
      </c>
      <c r="F687" t="str" s="34" cm="1">
        <f t="array" ref="F687">_xlfn.IFERROR(IF(E687="","",D687/E687*100000),"")</f>
      </c>
    </row>
    <row r="688" ht="13.65" customHeight="1">
      <c r="A688" t="s" s="26">
        <v>36</v>
      </c>
      <c r="B688" t="s" s="21">
        <v>62</v>
      </c>
      <c r="C688" t="s" s="21">
        <v>52</v>
      </c>
      <c r="D688" s="22" cm="1">
        <f t="array" ref="D688">_xlfn.SUMIFS('Diseases'!F2:F4303,'Diseases'!B2:B4303,A688,'Diseases'!C2:C4303,B688,'Diseases'!D2:D4303,C688)</f>
        <v>32625</v>
      </c>
      <c r="E688" t="str" s="34" cm="1">
        <f t="array" ref="E688">_xlfn.IFERROR(IF(INDEX('Diseases'!G2:G4303,MATCH(C688,'Diseases'!D2:D4303,0))="","",INDEX('Diseases'!G2:G4303,MATCH(C688,'Diseases'!D2:D4303,0))),"")</f>
      </c>
      <c r="F688" t="str" s="34" cm="1">
        <f t="array" ref="F688">_xlfn.IFERROR(IF(E688="","",D688/E688*100000),"")</f>
      </c>
    </row>
    <row r="689" ht="13.65" customHeight="1">
      <c r="A689" t="s" s="29">
        <v>39</v>
      </c>
      <c r="B689" t="s" s="21">
        <v>62</v>
      </c>
      <c r="C689" t="s" s="21">
        <v>52</v>
      </c>
      <c r="D689" s="22" cm="1">
        <f t="array" ref="D689">_xlfn.SUMIFS('Diseases'!F2:F4303,'Diseases'!B2:B4303,A689,'Diseases'!C2:C4303,B689,'Diseases'!D2:D4303,C689)</f>
        <v>21495</v>
      </c>
      <c r="E689" t="str" s="34" cm="1">
        <f t="array" ref="E689">_xlfn.IFERROR(IF(INDEX('Diseases'!G2:G4303,MATCH(C689,'Diseases'!D2:D4303,0))="","",INDEX('Diseases'!G2:G4303,MATCH(C689,'Diseases'!D2:D4303,0))),"")</f>
      </c>
      <c r="F689" t="str" s="34" cm="1">
        <f t="array" ref="F689">_xlfn.IFERROR(IF(E689="","",D689/E689*100000),"")</f>
      </c>
    </row>
    <row r="690" ht="13.65" customHeight="1">
      <c r="A690" t="s" s="27">
        <v>37</v>
      </c>
      <c r="B690" t="s" s="21">
        <v>62</v>
      </c>
      <c r="C690" t="s" s="21">
        <v>52</v>
      </c>
      <c r="D690" s="22" cm="1">
        <f t="array" ref="D690">_xlfn.SUMIFS('Diseases'!F2:F4303,'Diseases'!B2:B4303,A690,'Diseases'!C2:C4303,B690,'Diseases'!D2:D4303,C690)</f>
        <v>15285</v>
      </c>
      <c r="E690" t="str" s="34" cm="1">
        <f t="array" ref="E690">_xlfn.IFERROR(IF(INDEX('Diseases'!G2:G4303,MATCH(C690,'Diseases'!D2:D4303,0))="","",INDEX('Diseases'!G2:G4303,MATCH(C690,'Diseases'!D2:D4303,0))),"")</f>
      </c>
      <c r="F690" t="str" s="34" cm="1">
        <f t="array" ref="F690">_xlfn.IFERROR(IF(E690="","",D690/E690*100000),"")</f>
      </c>
    </row>
    <row r="691" ht="13.65" customHeight="1">
      <c r="A691" t="s" s="31">
        <v>45</v>
      </c>
      <c r="B691" t="s" s="21">
        <v>62</v>
      </c>
      <c r="C691" t="s" s="21">
        <v>52</v>
      </c>
      <c r="D691" s="22" cm="1">
        <f t="array" ref="D691">_xlfn.SUMIFS('Diseases'!F2:F4303,'Diseases'!B2:B4303,A691,'Diseases'!C2:C4303,B691,'Diseases'!D2:D4303,C691)</f>
        <v>12705</v>
      </c>
      <c r="E691" t="str" s="34" cm="1">
        <f t="array" ref="E691">_xlfn.IFERROR(IF(INDEX('Diseases'!G2:G4303,MATCH(C691,'Diseases'!D2:D4303,0))="","",INDEX('Diseases'!G2:G4303,MATCH(C691,'Diseases'!D2:D4303,0))),"")</f>
      </c>
      <c r="F691" t="str" s="34" cm="1">
        <f t="array" ref="F691">_xlfn.IFERROR(IF(E691="","",D691/E691*100000),"")</f>
      </c>
    </row>
    <row r="692" ht="13.65" customHeight="1">
      <c r="A692" t="s" s="25">
        <v>35</v>
      </c>
      <c r="B692" t="s" s="21">
        <v>63</v>
      </c>
      <c r="C692" t="s" s="21">
        <v>52</v>
      </c>
      <c r="D692" s="22" cm="1">
        <f t="array" ref="D692">_xlfn.SUMIFS('Diseases'!F2:F4303,'Diseases'!B2:B4303,A692,'Diseases'!C2:C4303,B692,'Diseases'!D2:D4303,C692)</f>
        <v>14579</v>
      </c>
      <c r="E692" t="str" s="34" cm="1">
        <f t="array" ref="E692">_xlfn.IFERROR(IF(INDEX('Diseases'!G2:G4303,MATCH(C692,'Diseases'!D2:D4303,0))="","",INDEX('Diseases'!G2:G4303,MATCH(C692,'Diseases'!D2:D4303,0))),"")</f>
      </c>
      <c r="F692" t="str" s="34" cm="1">
        <f t="array" ref="F692">_xlfn.IFERROR(IF(E692="","",D692/E692*100000),"")</f>
      </c>
    </row>
    <row r="693" ht="13.65" customHeight="1">
      <c r="A693" t="s" s="20">
        <v>30</v>
      </c>
      <c r="B693" t="s" s="21">
        <v>63</v>
      </c>
      <c r="C693" t="s" s="21">
        <v>52</v>
      </c>
      <c r="D693" s="22" cm="1">
        <f t="array" ref="D693">_xlfn.SUMIFS('Diseases'!F2:F4303,'Diseases'!B2:B4303,A693,'Diseases'!C2:C4303,B693,'Diseases'!D2:D4303,C693)</f>
        <v>7886</v>
      </c>
      <c r="E693" t="str" s="34" cm="1">
        <f t="array" ref="E693">_xlfn.IFERROR(IF(INDEX('Diseases'!G2:G4303,MATCH(C693,'Diseases'!D2:D4303,0))="","",INDEX('Diseases'!G2:G4303,MATCH(C693,'Diseases'!D2:D4303,0))),"")</f>
      </c>
      <c r="F693" t="str" s="34" cm="1">
        <f t="array" ref="F693">_xlfn.IFERROR(IF(E693="","",D693/E693*100000),"")</f>
      </c>
    </row>
    <row r="694" ht="13.65" customHeight="1">
      <c r="A694" t="s" s="24">
        <v>34</v>
      </c>
      <c r="B694" t="s" s="21">
        <v>63</v>
      </c>
      <c r="C694" t="s" s="21">
        <v>52</v>
      </c>
      <c r="D694" s="22" cm="1">
        <f t="array" ref="D694">_xlfn.SUMIFS('Diseases'!F2:F4303,'Diseases'!B2:B4303,A694,'Diseases'!C2:C4303,B694,'Diseases'!D2:D4303,C694)</f>
        <v>3874</v>
      </c>
      <c r="E694" t="str" s="34" cm="1">
        <f t="array" ref="E694">_xlfn.IFERROR(IF(INDEX('Diseases'!G2:G4303,MATCH(C694,'Diseases'!D2:D4303,0))="","",INDEX('Diseases'!G2:G4303,MATCH(C694,'Diseases'!D2:D4303,0))),"")</f>
      </c>
      <c r="F694" t="str" s="34" cm="1">
        <f t="array" ref="F694">_xlfn.IFERROR(IF(E694="","",D694/E694*100000),"")</f>
      </c>
    </row>
    <row r="695" ht="13.65" customHeight="1">
      <c r="A695" t="s" s="26">
        <v>36</v>
      </c>
      <c r="B695" t="s" s="21">
        <v>63</v>
      </c>
      <c r="C695" t="s" s="21">
        <v>52</v>
      </c>
      <c r="D695" s="22" cm="1">
        <f t="array" ref="D695">_xlfn.SUMIFS('Diseases'!F2:F4303,'Diseases'!B2:B4303,A695,'Diseases'!C2:C4303,B695,'Diseases'!D2:D4303,C695)</f>
        <v>1980</v>
      </c>
      <c r="E695" t="str" s="34" cm="1">
        <f t="array" ref="E695">_xlfn.IFERROR(IF(INDEX('Diseases'!G2:G4303,MATCH(C695,'Diseases'!D2:D4303,0))="","",INDEX('Diseases'!G2:G4303,MATCH(C695,'Diseases'!D2:D4303,0))),"")</f>
      </c>
      <c r="F695" t="str" s="34" cm="1">
        <f t="array" ref="F695">_xlfn.IFERROR(IF(E695="","",D695/E695*100000),"")</f>
      </c>
    </row>
    <row r="696" ht="13.65" customHeight="1">
      <c r="A696" t="s" s="29">
        <v>39</v>
      </c>
      <c r="B696" t="s" s="21">
        <v>63</v>
      </c>
      <c r="C696" t="s" s="21">
        <v>52</v>
      </c>
      <c r="D696" s="22" cm="1">
        <f t="array" ref="D696">_xlfn.SUMIFS('Diseases'!F2:F4303,'Diseases'!B2:B4303,A696,'Diseases'!C2:C4303,B696,'Diseases'!D2:D4303,C696)</f>
        <v>1250</v>
      </c>
      <c r="E696" t="str" s="34" cm="1">
        <f t="array" ref="E696">_xlfn.IFERROR(IF(INDEX('Diseases'!G2:G4303,MATCH(C696,'Diseases'!D2:D4303,0))="","",INDEX('Diseases'!G2:G4303,MATCH(C696,'Diseases'!D2:D4303,0))),"")</f>
      </c>
      <c r="F696" t="str" s="34" cm="1">
        <f t="array" ref="F696">_xlfn.IFERROR(IF(E696="","",D696/E696*100000),"")</f>
      </c>
    </row>
    <row r="697" ht="13.65" customHeight="1">
      <c r="A697" t="s" s="27">
        <v>37</v>
      </c>
      <c r="B697" t="s" s="21">
        <v>63</v>
      </c>
      <c r="C697" t="s" s="21">
        <v>52</v>
      </c>
      <c r="D697" s="22" cm="1">
        <f t="array" ref="D697">_xlfn.SUMIFS('Diseases'!F2:F4303,'Diseases'!B2:B4303,A697,'Diseases'!C2:C4303,B697,'Diseases'!D2:D4303,C697)</f>
        <v>960</v>
      </c>
      <c r="E697" t="str" s="34" cm="1">
        <f t="array" ref="E697">_xlfn.IFERROR(IF(INDEX('Diseases'!G2:G4303,MATCH(C697,'Diseases'!D2:D4303,0))="","",INDEX('Diseases'!G2:G4303,MATCH(C697,'Diseases'!D2:D4303,0))),"")</f>
      </c>
      <c r="F697" t="str" s="34" cm="1">
        <f t="array" ref="F697">_xlfn.IFERROR(IF(E697="","",D697/E697*100000),"")</f>
      </c>
    </row>
    <row r="698" ht="13.65" customHeight="1">
      <c r="A698" t="s" s="31">
        <v>45</v>
      </c>
      <c r="B698" t="s" s="21">
        <v>63</v>
      </c>
      <c r="C698" t="s" s="21">
        <v>52</v>
      </c>
      <c r="D698" s="22" cm="1">
        <f t="array" ref="D698">_xlfn.SUMIFS('Diseases'!F2:F4303,'Diseases'!B2:B4303,A698,'Diseases'!C2:C4303,B698,'Diseases'!D2:D4303,C698)</f>
        <v>845</v>
      </c>
      <c r="E698" t="str" s="34" cm="1">
        <f t="array" ref="E698">_xlfn.IFERROR(IF(INDEX('Diseases'!G2:G4303,MATCH(C698,'Diseases'!D2:D4303,0))="","",INDEX('Diseases'!G2:G4303,MATCH(C698,'Diseases'!D2:D4303,0))),"")</f>
      </c>
      <c r="F698" t="str" s="34" cm="1">
        <f t="array" ref="F698">_xlfn.IFERROR(IF(E698="","",D698/E698*100000),"")</f>
      </c>
    </row>
    <row r="699" ht="13.65" customHeight="1">
      <c r="A699" t="s" s="25">
        <v>35</v>
      </c>
      <c r="B699" t="s" s="21">
        <v>64</v>
      </c>
      <c r="C699" t="s" s="21">
        <v>52</v>
      </c>
      <c r="D699" s="22" cm="1">
        <f t="array" ref="D699">_xlfn.SUMIFS('Diseases'!F2:F4303,'Diseases'!B2:B4303,A699,'Diseases'!C2:C4303,B699,'Diseases'!D2:D4303,C699)</f>
        <v>24038</v>
      </c>
      <c r="E699" t="str" s="34" cm="1">
        <f t="array" ref="E699">_xlfn.IFERROR(IF(INDEX('Diseases'!G2:G4303,MATCH(C699,'Diseases'!D2:D4303,0))="","",INDEX('Diseases'!G2:G4303,MATCH(C699,'Diseases'!D2:D4303,0))),"")</f>
      </c>
      <c r="F699" t="str" s="34" cm="1">
        <f t="array" ref="F699">_xlfn.IFERROR(IF(E699="","",D699/E699*100000),"")</f>
      </c>
    </row>
    <row r="700" ht="13.65" customHeight="1">
      <c r="A700" t="s" s="20">
        <v>30</v>
      </c>
      <c r="B700" t="s" s="21">
        <v>64</v>
      </c>
      <c r="C700" t="s" s="21">
        <v>52</v>
      </c>
      <c r="D700" s="22" cm="1">
        <f t="array" ref="D700">_xlfn.SUMIFS('Diseases'!F2:F4303,'Diseases'!B2:B4303,A700,'Diseases'!C2:C4303,B700,'Diseases'!D2:D4303,C700)</f>
        <v>8779</v>
      </c>
      <c r="E700" t="str" s="34" cm="1">
        <f t="array" ref="E700">_xlfn.IFERROR(IF(INDEX('Diseases'!G2:G4303,MATCH(C700,'Diseases'!D2:D4303,0))="","",INDEX('Diseases'!G2:G4303,MATCH(C700,'Diseases'!D2:D4303,0))),"")</f>
      </c>
      <c r="F700" t="str" s="34" cm="1">
        <f t="array" ref="F700">_xlfn.IFERROR(IF(E700="","",D700/E700*100000),"")</f>
      </c>
    </row>
    <row r="701" ht="13.65" customHeight="1">
      <c r="A701" t="s" s="24">
        <v>34</v>
      </c>
      <c r="B701" t="s" s="21">
        <v>64</v>
      </c>
      <c r="C701" t="s" s="21">
        <v>52</v>
      </c>
      <c r="D701" s="22" cm="1">
        <f t="array" ref="D701">_xlfn.SUMIFS('Diseases'!F2:F4303,'Diseases'!B2:B4303,A701,'Diseases'!C2:C4303,B701,'Diseases'!D2:D4303,C701)</f>
        <v>6456</v>
      </c>
      <c r="E701" t="str" s="34" cm="1">
        <f t="array" ref="E701">_xlfn.IFERROR(IF(INDEX('Diseases'!G2:G4303,MATCH(C701,'Diseases'!D2:D4303,0))="","",INDEX('Diseases'!G2:G4303,MATCH(C701,'Diseases'!D2:D4303,0))),"")</f>
      </c>
      <c r="F701" t="str" s="34" cm="1">
        <f t="array" ref="F701">_xlfn.IFERROR(IF(E701="","",D701/E701*100000),"")</f>
      </c>
    </row>
    <row r="702" ht="13.65" customHeight="1">
      <c r="A702" t="s" s="26">
        <v>36</v>
      </c>
      <c r="B702" t="s" s="21">
        <v>64</v>
      </c>
      <c r="C702" t="s" s="21">
        <v>52</v>
      </c>
      <c r="D702" s="22" cm="1">
        <f t="array" ref="D702">_xlfn.SUMIFS('Diseases'!F2:F4303,'Diseases'!B2:B4303,A702,'Diseases'!C2:C4303,B702,'Diseases'!D2:D4303,C702)</f>
        <v>3031</v>
      </c>
      <c r="E702" t="str" s="34" cm="1">
        <f t="array" ref="E702">_xlfn.IFERROR(IF(INDEX('Diseases'!G2:G4303,MATCH(C702,'Diseases'!D2:D4303,0))="","",INDEX('Diseases'!G2:G4303,MATCH(C702,'Diseases'!D2:D4303,0))),"")</f>
      </c>
      <c r="F702" t="str" s="34" cm="1">
        <f t="array" ref="F702">_xlfn.IFERROR(IF(E702="","",D702/E702*100000),"")</f>
      </c>
    </row>
    <row r="703" ht="13.65" customHeight="1">
      <c r="A703" t="s" s="29">
        <v>39</v>
      </c>
      <c r="B703" t="s" s="21">
        <v>64</v>
      </c>
      <c r="C703" t="s" s="21">
        <v>52</v>
      </c>
      <c r="D703" s="22" cm="1">
        <f t="array" ref="D703">_xlfn.SUMIFS('Diseases'!F2:F4303,'Diseases'!B2:B4303,A703,'Diseases'!C2:C4303,B703,'Diseases'!D2:D4303,C703)</f>
        <v>2110</v>
      </c>
      <c r="E703" t="str" s="34" cm="1">
        <f t="array" ref="E703">_xlfn.IFERROR(IF(INDEX('Diseases'!G2:G4303,MATCH(C703,'Diseases'!D2:D4303,0))="","",INDEX('Diseases'!G2:G4303,MATCH(C703,'Diseases'!D2:D4303,0))),"")</f>
      </c>
      <c r="F703" t="str" s="34" cm="1">
        <f t="array" ref="F703">_xlfn.IFERROR(IF(E703="","",D703/E703*100000),"")</f>
      </c>
    </row>
    <row r="704" ht="13.65" customHeight="1">
      <c r="A704" t="s" s="27">
        <v>37</v>
      </c>
      <c r="B704" t="s" s="21">
        <v>64</v>
      </c>
      <c r="C704" t="s" s="21">
        <v>52</v>
      </c>
      <c r="D704" s="22" cm="1">
        <f t="array" ref="D704">_xlfn.SUMIFS('Diseases'!F2:F4303,'Diseases'!B2:B4303,A704,'Diseases'!C2:C4303,B704,'Diseases'!D2:D4303,C704)</f>
        <v>1448</v>
      </c>
      <c r="E704" t="str" s="34" cm="1">
        <f t="array" ref="E704">_xlfn.IFERROR(IF(INDEX('Diseases'!G2:G4303,MATCH(C704,'Diseases'!D2:D4303,0))="","",INDEX('Diseases'!G2:G4303,MATCH(C704,'Diseases'!D2:D4303,0))),"")</f>
      </c>
      <c r="F704" t="str" s="34" cm="1">
        <f t="array" ref="F704">_xlfn.IFERROR(IF(E704="","",D704/E704*100000),"")</f>
      </c>
    </row>
    <row r="705" ht="13.65" customHeight="1">
      <c r="A705" t="s" s="31">
        <v>45</v>
      </c>
      <c r="B705" t="s" s="21">
        <v>64</v>
      </c>
      <c r="C705" t="s" s="21">
        <v>52</v>
      </c>
      <c r="D705" s="22" cm="1">
        <f t="array" ref="D705">_xlfn.SUMIFS('Diseases'!F2:F4303,'Diseases'!B2:B4303,A705,'Diseases'!C2:C4303,B705,'Diseases'!D2:D4303,C705)</f>
        <v>877</v>
      </c>
      <c r="E705" t="str" s="34" cm="1">
        <f t="array" ref="E705">_xlfn.IFERROR(IF(INDEX('Diseases'!G2:G4303,MATCH(C705,'Diseases'!D2:D4303,0))="","",INDEX('Diseases'!G2:G4303,MATCH(C705,'Diseases'!D2:D4303,0))),"")</f>
      </c>
      <c r="F705" t="str" s="34" cm="1">
        <f t="array" ref="F705">_xlfn.IFERROR(IF(E705="","",D705/E705*100000),"")</f>
      </c>
    </row>
    <row r="706" ht="13.65" customHeight="1">
      <c r="A706" t="s" s="25">
        <v>35</v>
      </c>
      <c r="B706" t="s" s="21">
        <v>65</v>
      </c>
      <c r="C706" t="s" s="21">
        <v>52</v>
      </c>
      <c r="D706" s="22" cm="1">
        <f t="array" ref="D706">_xlfn.SUMIFS('Diseases'!F2:F4303,'Diseases'!B2:B4303,A706,'Diseases'!C2:C4303,B706,'Diseases'!D2:D4303,C706)</f>
        <v>15819</v>
      </c>
      <c r="E706" t="str" s="34" cm="1">
        <f t="array" ref="E706">_xlfn.IFERROR(IF(INDEX('Diseases'!G2:G4303,MATCH(C706,'Diseases'!D2:D4303,0))="","",INDEX('Diseases'!G2:G4303,MATCH(C706,'Diseases'!D2:D4303,0))),"")</f>
      </c>
      <c r="F706" t="str" s="34" cm="1">
        <f t="array" ref="F706">_xlfn.IFERROR(IF(E706="","",D706/E706*100000),"")</f>
      </c>
    </row>
    <row r="707" ht="13.65" customHeight="1">
      <c r="A707" t="s" s="20">
        <v>30</v>
      </c>
      <c r="B707" t="s" s="21">
        <v>65</v>
      </c>
      <c r="C707" t="s" s="21">
        <v>52</v>
      </c>
      <c r="D707" s="22" cm="1">
        <f t="array" ref="D707">_xlfn.SUMIFS('Diseases'!F2:F4303,'Diseases'!B2:B4303,A707,'Diseases'!C2:C4303,B707,'Diseases'!D2:D4303,C707)</f>
        <v>11736</v>
      </c>
      <c r="E707" t="str" s="34" cm="1">
        <f t="array" ref="E707">_xlfn.IFERROR(IF(INDEX('Diseases'!G2:G4303,MATCH(C707,'Diseases'!D2:D4303,0))="","",INDEX('Diseases'!G2:G4303,MATCH(C707,'Diseases'!D2:D4303,0))),"")</f>
      </c>
      <c r="F707" t="str" s="34" cm="1">
        <f t="array" ref="F707">_xlfn.IFERROR(IF(E707="","",D707/E707*100000),"")</f>
      </c>
    </row>
    <row r="708" ht="13.65" customHeight="1">
      <c r="A708" t="s" s="24">
        <v>34</v>
      </c>
      <c r="B708" t="s" s="21">
        <v>65</v>
      </c>
      <c r="C708" t="s" s="21">
        <v>52</v>
      </c>
      <c r="D708" s="22" cm="1">
        <f t="array" ref="D708">_xlfn.SUMIFS('Diseases'!F2:F4303,'Diseases'!B2:B4303,A708,'Diseases'!C2:C4303,B708,'Diseases'!D2:D4303,C708)</f>
        <v>3731</v>
      </c>
      <c r="E708" t="str" s="34" cm="1">
        <f t="array" ref="E708">_xlfn.IFERROR(IF(INDEX('Diseases'!G2:G4303,MATCH(C708,'Diseases'!D2:D4303,0))="","",INDEX('Diseases'!G2:G4303,MATCH(C708,'Diseases'!D2:D4303,0))),"")</f>
      </c>
      <c r="F708" t="str" s="34" cm="1">
        <f t="array" ref="F708">_xlfn.IFERROR(IF(E708="","",D708/E708*100000),"")</f>
      </c>
    </row>
    <row r="709" ht="13.65" customHeight="1">
      <c r="A709" t="s" s="29">
        <v>39</v>
      </c>
      <c r="B709" t="s" s="21">
        <v>65</v>
      </c>
      <c r="C709" t="s" s="21">
        <v>52</v>
      </c>
      <c r="D709" s="22" cm="1">
        <f t="array" ref="D709">_xlfn.SUMIFS('Diseases'!F2:F4303,'Diseases'!B2:B4303,A709,'Diseases'!C2:C4303,B709,'Diseases'!D2:D4303,C709)</f>
        <v>2003</v>
      </c>
      <c r="E709" t="str" s="34" cm="1">
        <f t="array" ref="E709">_xlfn.IFERROR(IF(INDEX('Diseases'!G2:G4303,MATCH(C709,'Diseases'!D2:D4303,0))="","",INDEX('Diseases'!G2:G4303,MATCH(C709,'Diseases'!D2:D4303,0))),"")</f>
      </c>
      <c r="F709" t="str" s="34" cm="1">
        <f t="array" ref="F709">_xlfn.IFERROR(IF(E709="","",D709/E709*100000),"")</f>
      </c>
    </row>
    <row r="710" ht="13.65" customHeight="1">
      <c r="A710" t="s" s="26">
        <v>36</v>
      </c>
      <c r="B710" t="s" s="21">
        <v>65</v>
      </c>
      <c r="C710" t="s" s="21">
        <v>52</v>
      </c>
      <c r="D710" s="22" cm="1">
        <f t="array" ref="D710">_xlfn.SUMIFS('Diseases'!F2:F4303,'Diseases'!B2:B4303,A710,'Diseases'!C2:C4303,B710,'Diseases'!D2:D4303,C710)</f>
        <v>1800</v>
      </c>
      <c r="E710" t="str" s="34" cm="1">
        <f t="array" ref="E710">_xlfn.IFERROR(IF(INDEX('Diseases'!G2:G4303,MATCH(C710,'Diseases'!D2:D4303,0))="","",INDEX('Diseases'!G2:G4303,MATCH(C710,'Diseases'!D2:D4303,0))),"")</f>
      </c>
      <c r="F710" t="str" s="34" cm="1">
        <f t="array" ref="F710">_xlfn.IFERROR(IF(E710="","",D710/E710*100000),"")</f>
      </c>
    </row>
    <row r="711" ht="13.65" customHeight="1">
      <c r="A711" t="s" s="27">
        <v>37</v>
      </c>
      <c r="B711" t="s" s="21">
        <v>65</v>
      </c>
      <c r="C711" t="s" s="21">
        <v>52</v>
      </c>
      <c r="D711" s="22" cm="1">
        <f t="array" ref="D711">_xlfn.SUMIFS('Diseases'!F2:F4303,'Diseases'!B2:B4303,A711,'Diseases'!C2:C4303,B711,'Diseases'!D2:D4303,C711)</f>
        <v>1060</v>
      </c>
      <c r="E711" t="str" s="34" cm="1">
        <f t="array" ref="E711">_xlfn.IFERROR(IF(INDEX('Diseases'!G2:G4303,MATCH(C711,'Diseases'!D2:D4303,0))="","",INDEX('Diseases'!G2:G4303,MATCH(C711,'Diseases'!D2:D4303,0))),"")</f>
      </c>
      <c r="F711" t="str" s="34" cm="1">
        <f t="array" ref="F711">_xlfn.IFERROR(IF(E711="","",D711/E711*100000),"")</f>
      </c>
    </row>
    <row r="712" ht="13.65" customHeight="1">
      <c r="A712" t="s" s="25">
        <v>35</v>
      </c>
      <c r="B712" t="s" s="21">
        <v>66</v>
      </c>
      <c r="C712" t="s" s="21">
        <v>52</v>
      </c>
      <c r="D712" s="22" cm="1">
        <f t="array" ref="D712">_xlfn.SUMIFS('Diseases'!F2:F4303,'Diseases'!B2:B4303,A712,'Diseases'!C2:C4303,B712,'Diseases'!D2:D4303,C712)</f>
        <v>15250</v>
      </c>
      <c r="E712" t="str" s="34" cm="1">
        <f t="array" ref="E712">_xlfn.IFERROR(IF(INDEX('Diseases'!G2:G4303,MATCH(C712,'Diseases'!D2:D4303,0))="","",INDEX('Diseases'!G2:G4303,MATCH(C712,'Diseases'!D2:D4303,0))),"")</f>
      </c>
      <c r="F712" t="str" s="34" cm="1">
        <f t="array" ref="F712">_xlfn.IFERROR(IF(E712="","",D712/E712*100000),"")</f>
      </c>
    </row>
    <row r="713" ht="13.65" customHeight="1">
      <c r="A713" t="s" s="20">
        <v>30</v>
      </c>
      <c r="B713" t="s" s="21">
        <v>66</v>
      </c>
      <c r="C713" t="s" s="21">
        <v>52</v>
      </c>
      <c r="D713" s="22" cm="1">
        <f t="array" ref="D713">_xlfn.SUMIFS('Diseases'!F2:F4303,'Diseases'!B2:B4303,A713,'Diseases'!C2:C4303,B713,'Diseases'!D2:D4303,C713)</f>
        <v>9928</v>
      </c>
      <c r="E713" t="str" s="34" cm="1">
        <f t="array" ref="E713">_xlfn.IFERROR(IF(INDEX('Diseases'!G2:G4303,MATCH(C713,'Diseases'!D2:D4303,0))="","",INDEX('Diseases'!G2:G4303,MATCH(C713,'Diseases'!D2:D4303,0))),"")</f>
      </c>
      <c r="F713" t="str" s="34" cm="1">
        <f t="array" ref="F713">_xlfn.IFERROR(IF(E713="","",D713/E713*100000),"")</f>
      </c>
    </row>
    <row r="714" ht="13.65" customHeight="1">
      <c r="A714" t="s" s="24">
        <v>34</v>
      </c>
      <c r="B714" t="s" s="21">
        <v>66</v>
      </c>
      <c r="C714" t="s" s="21">
        <v>52</v>
      </c>
      <c r="D714" s="22" cm="1">
        <f t="array" ref="D714">_xlfn.SUMIFS('Diseases'!F2:F4303,'Diseases'!B2:B4303,A714,'Diseases'!C2:C4303,B714,'Diseases'!D2:D4303,C714)</f>
        <v>4129</v>
      </c>
      <c r="E714" t="str" s="34" cm="1">
        <f t="array" ref="E714">_xlfn.IFERROR(IF(INDEX('Diseases'!G2:G4303,MATCH(C714,'Diseases'!D2:D4303,0))="","",INDEX('Diseases'!G2:G4303,MATCH(C714,'Diseases'!D2:D4303,0))),"")</f>
      </c>
      <c r="F714" t="str" s="34" cm="1">
        <f t="array" ref="F714">_xlfn.IFERROR(IF(E714="","",D714/E714*100000),"")</f>
      </c>
    </row>
    <row r="715" ht="13.65" customHeight="1">
      <c r="A715" t="s" s="29">
        <v>39</v>
      </c>
      <c r="B715" t="s" s="21">
        <v>66</v>
      </c>
      <c r="C715" t="s" s="21">
        <v>52</v>
      </c>
      <c r="D715" s="22" cm="1">
        <f t="array" ref="D715">_xlfn.SUMIFS('Diseases'!F2:F4303,'Diseases'!B2:B4303,A715,'Diseases'!C2:C4303,B715,'Diseases'!D2:D4303,C715)</f>
        <v>1710</v>
      </c>
      <c r="E715" t="str" s="34" cm="1">
        <f t="array" ref="E715">_xlfn.IFERROR(IF(INDEX('Diseases'!G2:G4303,MATCH(C715,'Diseases'!D2:D4303,0))="","",INDEX('Diseases'!G2:G4303,MATCH(C715,'Diseases'!D2:D4303,0))),"")</f>
      </c>
      <c r="F715" t="str" s="34" cm="1">
        <f t="array" ref="F715">_xlfn.IFERROR(IF(E715="","",D715/E715*100000),"")</f>
      </c>
    </row>
    <row r="716" ht="13.65" customHeight="1">
      <c r="A716" t="s" s="26">
        <v>36</v>
      </c>
      <c r="B716" t="s" s="21">
        <v>66</v>
      </c>
      <c r="C716" t="s" s="21">
        <v>52</v>
      </c>
      <c r="D716" s="22" cm="1">
        <f t="array" ref="D716">_xlfn.SUMIFS('Diseases'!F2:F4303,'Diseases'!B2:B4303,A716,'Diseases'!C2:C4303,B716,'Diseases'!D2:D4303,C716)</f>
        <v>1407</v>
      </c>
      <c r="E716" t="str" s="34" cm="1">
        <f t="array" ref="E716">_xlfn.IFERROR(IF(INDEX('Diseases'!G2:G4303,MATCH(C716,'Diseases'!D2:D4303,0))="","",INDEX('Diseases'!G2:G4303,MATCH(C716,'Diseases'!D2:D4303,0))),"")</f>
      </c>
      <c r="F716" t="str" s="34" cm="1">
        <f t="array" ref="F716">_xlfn.IFERROR(IF(E716="","",D716/E716*100000),"")</f>
      </c>
    </row>
    <row r="717" ht="13.65" customHeight="1">
      <c r="A717" t="s" s="27">
        <v>37</v>
      </c>
      <c r="B717" t="s" s="21">
        <v>66</v>
      </c>
      <c r="C717" t="s" s="21">
        <v>52</v>
      </c>
      <c r="D717" s="22" cm="1">
        <f t="array" ref="D717">_xlfn.SUMIFS('Diseases'!F2:F4303,'Diseases'!B2:B4303,A717,'Diseases'!C2:C4303,B717,'Diseases'!D2:D4303,C717)</f>
        <v>1020</v>
      </c>
      <c r="E717" t="str" s="34" cm="1">
        <f t="array" ref="E717">_xlfn.IFERROR(IF(INDEX('Diseases'!G2:G4303,MATCH(C717,'Diseases'!D2:D4303,0))="","",INDEX('Diseases'!G2:G4303,MATCH(C717,'Diseases'!D2:D4303,0))),"")</f>
      </c>
      <c r="F717" t="str" s="34" cm="1">
        <f t="array" ref="F717">_xlfn.IFERROR(IF(E717="","",D717/E717*100000),"")</f>
      </c>
    </row>
    <row r="718" ht="13.65" customHeight="1">
      <c r="A718" t="s" s="31">
        <v>45</v>
      </c>
      <c r="B718" t="s" s="21">
        <v>66</v>
      </c>
      <c r="C718" t="s" s="21">
        <v>52</v>
      </c>
      <c r="D718" s="22" cm="1">
        <f t="array" ref="D718">_xlfn.SUMIFS('Diseases'!F2:F4303,'Diseases'!B2:B4303,A718,'Diseases'!C2:C4303,B718,'Diseases'!D2:D4303,C718)</f>
        <v>823</v>
      </c>
      <c r="E718" t="str" s="34" cm="1">
        <f t="array" ref="E718">_xlfn.IFERROR(IF(INDEX('Diseases'!G2:G4303,MATCH(C718,'Diseases'!D2:D4303,0))="","",INDEX('Diseases'!G2:G4303,MATCH(C718,'Diseases'!D2:D4303,0))),"")</f>
      </c>
      <c r="F718" t="str" s="34" cm="1">
        <f t="array" ref="F718">_xlfn.IFERROR(IF(E718="","",D718/E718*100000),"")</f>
      </c>
    </row>
    <row r="719" ht="13.65" customHeight="1">
      <c r="A719" t="s" s="20">
        <v>30</v>
      </c>
      <c r="B719" t="s" s="21">
        <v>67</v>
      </c>
      <c r="C719" t="s" s="21">
        <v>52</v>
      </c>
      <c r="D719" s="22" cm="1">
        <f t="array" ref="D719">_xlfn.SUMIFS('Diseases'!F2:F4303,'Diseases'!B2:B4303,A719,'Diseases'!C2:C4303,B719,'Diseases'!D2:D4303,C719)</f>
        <v>13425</v>
      </c>
      <c r="E719" t="str" s="34" cm="1">
        <f t="array" ref="E719">_xlfn.IFERROR(IF(INDEX('Diseases'!G2:G4303,MATCH(C719,'Diseases'!D2:D4303,0))="","",INDEX('Diseases'!G2:G4303,MATCH(C719,'Diseases'!D2:D4303,0))),"")</f>
      </c>
      <c r="F719" t="str" s="34" cm="1">
        <f t="array" ref="F719">_xlfn.IFERROR(IF(E719="","",D719/E719*100000),"")</f>
      </c>
    </row>
    <row r="720" ht="13.65" customHeight="1">
      <c r="A720" t="s" s="25">
        <v>35</v>
      </c>
      <c r="B720" t="s" s="21">
        <v>67</v>
      </c>
      <c r="C720" t="s" s="21">
        <v>52</v>
      </c>
      <c r="D720" s="22" cm="1">
        <f t="array" ref="D720">_xlfn.SUMIFS('Diseases'!F2:F4303,'Diseases'!B2:B4303,A720,'Diseases'!C2:C4303,B720,'Diseases'!D2:D4303,C720)</f>
        <v>13081</v>
      </c>
      <c r="E720" t="str" s="34" cm="1">
        <f t="array" ref="E720">_xlfn.IFERROR(IF(INDEX('Diseases'!G2:G4303,MATCH(C720,'Diseases'!D2:D4303,0))="","",INDEX('Diseases'!G2:G4303,MATCH(C720,'Diseases'!D2:D4303,0))),"")</f>
      </c>
      <c r="F720" t="str" s="34" cm="1">
        <f t="array" ref="F720">_xlfn.IFERROR(IF(E720="","",D720/E720*100000),"")</f>
      </c>
    </row>
    <row r="721" ht="13.65" customHeight="1">
      <c r="A721" t="s" s="24">
        <v>34</v>
      </c>
      <c r="B721" t="s" s="21">
        <v>67</v>
      </c>
      <c r="C721" t="s" s="21">
        <v>52</v>
      </c>
      <c r="D721" s="22" cm="1">
        <f t="array" ref="D721">_xlfn.SUMIFS('Diseases'!F2:F4303,'Diseases'!B2:B4303,A721,'Diseases'!C2:C4303,B721,'Diseases'!D2:D4303,C721)</f>
        <v>4260</v>
      </c>
      <c r="E721" t="str" s="34" cm="1">
        <f t="array" ref="E721">_xlfn.IFERROR(IF(INDEX('Diseases'!G2:G4303,MATCH(C721,'Diseases'!D2:D4303,0))="","",INDEX('Diseases'!G2:G4303,MATCH(C721,'Diseases'!D2:D4303,0))),"")</f>
      </c>
      <c r="F721" t="str" s="34" cm="1">
        <f t="array" ref="F721">_xlfn.IFERROR(IF(E721="","",D721/E721*100000),"")</f>
      </c>
    </row>
    <row r="722" ht="13.65" customHeight="1">
      <c r="A722" t="s" s="29">
        <v>39</v>
      </c>
      <c r="B722" t="s" s="21">
        <v>67</v>
      </c>
      <c r="C722" t="s" s="21">
        <v>52</v>
      </c>
      <c r="D722" s="22" cm="1">
        <f t="array" ref="D722">_xlfn.SUMIFS('Diseases'!F2:F4303,'Diseases'!B2:B4303,A722,'Diseases'!C2:C4303,B722,'Diseases'!D2:D4303,C722)</f>
        <v>1903</v>
      </c>
      <c r="E722" t="str" s="34" cm="1">
        <f t="array" ref="E722">_xlfn.IFERROR(IF(INDEX('Diseases'!G2:G4303,MATCH(C722,'Diseases'!D2:D4303,0))="","",INDEX('Diseases'!G2:G4303,MATCH(C722,'Diseases'!D2:D4303,0))),"")</f>
      </c>
      <c r="F722" t="str" s="34" cm="1">
        <f t="array" ref="F722">_xlfn.IFERROR(IF(E722="","",D722/E722*100000),"")</f>
      </c>
    </row>
    <row r="723" ht="13.65" customHeight="1">
      <c r="A723" t="s" s="27">
        <v>37</v>
      </c>
      <c r="B723" t="s" s="21">
        <v>67</v>
      </c>
      <c r="C723" t="s" s="21">
        <v>52</v>
      </c>
      <c r="D723" s="22" cm="1">
        <f t="array" ref="D723">_xlfn.SUMIFS('Diseases'!F2:F4303,'Diseases'!B2:B4303,A723,'Diseases'!C2:C4303,B723,'Diseases'!D2:D4303,C723)</f>
        <v>1287</v>
      </c>
      <c r="E723" t="str" s="34" cm="1">
        <f t="array" ref="E723">_xlfn.IFERROR(IF(INDEX('Diseases'!G2:G4303,MATCH(C723,'Diseases'!D2:D4303,0))="","",INDEX('Diseases'!G2:G4303,MATCH(C723,'Diseases'!D2:D4303,0))),"")</f>
      </c>
      <c r="F723" t="str" s="34" cm="1">
        <f t="array" ref="F723">_xlfn.IFERROR(IF(E723="","",D723/E723*100000),"")</f>
      </c>
    </row>
    <row r="724" ht="13.65" customHeight="1">
      <c r="A724" t="s" s="31">
        <v>45</v>
      </c>
      <c r="B724" t="s" s="21">
        <v>67</v>
      </c>
      <c r="C724" t="s" s="21">
        <v>52</v>
      </c>
      <c r="D724" s="22" cm="1">
        <f t="array" ref="D724">_xlfn.SUMIFS('Diseases'!F2:F4303,'Diseases'!B2:B4303,A724,'Diseases'!C2:C4303,B724,'Diseases'!D2:D4303,C724)</f>
        <v>1229</v>
      </c>
      <c r="E724" t="str" s="34" cm="1">
        <f t="array" ref="E724">_xlfn.IFERROR(IF(INDEX('Diseases'!G2:G4303,MATCH(C724,'Diseases'!D2:D4303,0))="","",INDEX('Diseases'!G2:G4303,MATCH(C724,'Diseases'!D2:D4303,0))),"")</f>
      </c>
      <c r="F724" t="str" s="34" cm="1">
        <f t="array" ref="F724">_xlfn.IFERROR(IF(E724="","",D724/E724*100000),"")</f>
      </c>
    </row>
    <row r="725" ht="13.65" customHeight="1">
      <c r="A725" t="s" s="26">
        <v>36</v>
      </c>
      <c r="B725" t="s" s="21">
        <v>67</v>
      </c>
      <c r="C725" t="s" s="21">
        <v>52</v>
      </c>
      <c r="D725" s="22" cm="1">
        <f t="array" ref="D725">_xlfn.SUMIFS('Diseases'!F2:F4303,'Diseases'!B2:B4303,A725,'Diseases'!C2:C4303,B725,'Diseases'!D2:D4303,C725)</f>
        <v>1225</v>
      </c>
      <c r="E725" t="str" s="34" cm="1">
        <f t="array" ref="E725">_xlfn.IFERROR(IF(INDEX('Diseases'!G2:G4303,MATCH(C725,'Diseases'!D2:D4303,0))="","",INDEX('Diseases'!G2:G4303,MATCH(C725,'Diseases'!D2:D4303,0))),"")</f>
      </c>
      <c r="F725" t="str" s="34" cm="1">
        <f t="array" ref="F725">_xlfn.IFERROR(IF(E725="","",D725/E725*100000),"")</f>
      </c>
    </row>
    <row r="726" ht="13.65" customHeight="1">
      <c r="A726" t="s" s="20">
        <v>30</v>
      </c>
      <c r="B726" t="s" s="21">
        <v>68</v>
      </c>
      <c r="C726" t="s" s="21">
        <v>52</v>
      </c>
      <c r="D726" s="22" cm="1">
        <f t="array" ref="D726">_xlfn.SUMIFS('Diseases'!F2:F4303,'Diseases'!B2:B4303,A726,'Diseases'!C2:C4303,B726,'Diseases'!D2:D4303,C726)</f>
        <v>17376</v>
      </c>
      <c r="E726" t="str" s="34" cm="1">
        <f t="array" ref="E726">_xlfn.IFERROR(IF(INDEX('Diseases'!G2:G4303,MATCH(C726,'Diseases'!D2:D4303,0))="","",INDEX('Diseases'!G2:G4303,MATCH(C726,'Diseases'!D2:D4303,0))),"")</f>
      </c>
      <c r="F726" t="str" s="34" cm="1">
        <f t="array" ref="F726">_xlfn.IFERROR(IF(E726="","",D726/E726*100000),"")</f>
      </c>
    </row>
    <row r="727" ht="13.65" customHeight="1">
      <c r="A727" t="s" s="25">
        <v>35</v>
      </c>
      <c r="B727" t="s" s="21">
        <v>68</v>
      </c>
      <c r="C727" t="s" s="21">
        <v>52</v>
      </c>
      <c r="D727" s="22" cm="1">
        <f t="array" ref="D727">_xlfn.SUMIFS('Diseases'!F2:F4303,'Diseases'!B2:B4303,A727,'Diseases'!C2:C4303,B727,'Diseases'!D2:D4303,C727)</f>
        <v>12824</v>
      </c>
      <c r="E727" t="str" s="34" cm="1">
        <f t="array" ref="E727">_xlfn.IFERROR(IF(INDEX('Diseases'!G2:G4303,MATCH(C727,'Diseases'!D2:D4303,0))="","",INDEX('Diseases'!G2:G4303,MATCH(C727,'Diseases'!D2:D4303,0))),"")</f>
      </c>
      <c r="F727" t="str" s="34" cm="1">
        <f t="array" ref="F727">_xlfn.IFERROR(IF(E727="","",D727/E727*100000),"")</f>
      </c>
    </row>
    <row r="728" ht="13.65" customHeight="1">
      <c r="A728" t="s" s="24">
        <v>34</v>
      </c>
      <c r="B728" t="s" s="21">
        <v>68</v>
      </c>
      <c r="C728" t="s" s="21">
        <v>52</v>
      </c>
      <c r="D728" s="22" cm="1">
        <f t="array" ref="D728">_xlfn.SUMIFS('Diseases'!F2:F4303,'Diseases'!B2:B4303,A728,'Diseases'!C2:C4303,B728,'Diseases'!D2:D4303,C728)</f>
        <v>3990</v>
      </c>
      <c r="E728" t="str" s="34" cm="1">
        <f t="array" ref="E728">_xlfn.IFERROR(IF(INDEX('Diseases'!G2:G4303,MATCH(C728,'Diseases'!D2:D4303,0))="","",INDEX('Diseases'!G2:G4303,MATCH(C728,'Diseases'!D2:D4303,0))),"")</f>
      </c>
      <c r="F728" t="str" s="34" cm="1">
        <f t="array" ref="F728">_xlfn.IFERROR(IF(E728="","",D728/E728*100000),"")</f>
      </c>
    </row>
    <row r="729" ht="13.65" customHeight="1">
      <c r="A729" t="s" s="29">
        <v>39</v>
      </c>
      <c r="B729" t="s" s="21">
        <v>68</v>
      </c>
      <c r="C729" t="s" s="21">
        <v>52</v>
      </c>
      <c r="D729" s="22" cm="1">
        <f t="array" ref="D729">_xlfn.SUMIFS('Diseases'!F2:F4303,'Diseases'!B2:B4303,A729,'Diseases'!C2:C4303,B729,'Diseases'!D2:D4303,C729)</f>
        <v>2043</v>
      </c>
      <c r="E729" t="str" s="34" cm="1">
        <f t="array" ref="E729">_xlfn.IFERROR(IF(INDEX('Diseases'!G2:G4303,MATCH(C729,'Diseases'!D2:D4303,0))="","",INDEX('Diseases'!G2:G4303,MATCH(C729,'Diseases'!D2:D4303,0))),"")</f>
      </c>
      <c r="F729" t="str" s="34" cm="1">
        <f t="array" ref="F729">_xlfn.IFERROR(IF(E729="","",D729/E729*100000),"")</f>
      </c>
    </row>
    <row r="730" ht="13.65" customHeight="1">
      <c r="A730" t="s" s="26">
        <v>36</v>
      </c>
      <c r="B730" t="s" s="21">
        <v>68</v>
      </c>
      <c r="C730" t="s" s="21">
        <v>52</v>
      </c>
      <c r="D730" s="22" cm="1">
        <f t="array" ref="D730">_xlfn.SUMIFS('Diseases'!F2:F4303,'Diseases'!B2:B4303,A730,'Diseases'!C2:C4303,B730,'Diseases'!D2:D4303,C730)</f>
        <v>1563</v>
      </c>
      <c r="E730" t="str" s="34" cm="1">
        <f t="array" ref="E730">_xlfn.IFERROR(IF(INDEX('Diseases'!G2:G4303,MATCH(C730,'Diseases'!D2:D4303,0))="","",INDEX('Diseases'!G2:G4303,MATCH(C730,'Diseases'!D2:D4303,0))),"")</f>
      </c>
      <c r="F730" t="str" s="34" cm="1">
        <f t="array" ref="F730">_xlfn.IFERROR(IF(E730="","",D730/E730*100000),"")</f>
      </c>
    </row>
    <row r="731" ht="13.65" customHeight="1">
      <c r="A731" t="s" s="31">
        <v>45</v>
      </c>
      <c r="B731" t="s" s="21">
        <v>68</v>
      </c>
      <c r="C731" t="s" s="21">
        <v>52</v>
      </c>
      <c r="D731" s="22" cm="1">
        <f t="array" ref="D731">_xlfn.SUMIFS('Diseases'!F2:F4303,'Diseases'!B2:B4303,A731,'Diseases'!C2:C4303,B731,'Diseases'!D2:D4303,C731)</f>
        <v>1310</v>
      </c>
      <c r="E731" t="str" s="34" cm="1">
        <f t="array" ref="E731">_xlfn.IFERROR(IF(INDEX('Diseases'!G2:G4303,MATCH(C731,'Diseases'!D2:D4303,0))="","",INDEX('Diseases'!G2:G4303,MATCH(C731,'Diseases'!D2:D4303,0))),"")</f>
      </c>
      <c r="F731" t="str" s="34" cm="1">
        <f t="array" ref="F731">_xlfn.IFERROR(IF(E731="","",D731/E731*100000),"")</f>
      </c>
    </row>
    <row r="732" ht="13.65" customHeight="1">
      <c r="A732" t="s" s="20">
        <v>30</v>
      </c>
      <c r="B732" t="s" s="21">
        <v>69</v>
      </c>
      <c r="C732" t="s" s="21">
        <v>52</v>
      </c>
      <c r="D732" s="22" cm="1">
        <f t="array" ref="D732">_xlfn.SUMIFS('Diseases'!F2:F4303,'Diseases'!B2:B4303,A732,'Diseases'!C2:C4303,B732,'Diseases'!D2:D4303,C732)</f>
        <v>20106</v>
      </c>
      <c r="E732" t="str" s="34" cm="1">
        <f t="array" ref="E732">_xlfn.IFERROR(IF(INDEX('Diseases'!G2:G4303,MATCH(C732,'Diseases'!D2:D4303,0))="","",INDEX('Diseases'!G2:G4303,MATCH(C732,'Diseases'!D2:D4303,0))),"")</f>
      </c>
      <c r="F732" t="str" s="34" cm="1">
        <f t="array" ref="F732">_xlfn.IFERROR(IF(E732="","",D732/E732*100000),"")</f>
      </c>
    </row>
    <row r="733" ht="13.65" customHeight="1">
      <c r="A733" t="s" s="25">
        <v>35</v>
      </c>
      <c r="B733" t="s" s="21">
        <v>69</v>
      </c>
      <c r="C733" t="s" s="21">
        <v>52</v>
      </c>
      <c r="D733" s="22" cm="1">
        <f t="array" ref="D733">_xlfn.SUMIFS('Diseases'!F2:F4303,'Diseases'!B2:B4303,A733,'Diseases'!C2:C4303,B733,'Diseases'!D2:D4303,C733)</f>
        <v>15490</v>
      </c>
      <c r="E733" t="str" s="34" cm="1">
        <f t="array" ref="E733">_xlfn.IFERROR(IF(INDEX('Diseases'!G2:G4303,MATCH(C733,'Diseases'!D2:D4303,0))="","",INDEX('Diseases'!G2:G4303,MATCH(C733,'Diseases'!D2:D4303,0))),"")</f>
      </c>
      <c r="F733" t="str" s="34" cm="1">
        <f t="array" ref="F733">_xlfn.IFERROR(IF(E733="","",D733/E733*100000),"")</f>
      </c>
    </row>
    <row r="734" ht="13.65" customHeight="1">
      <c r="A734" t="s" s="24">
        <v>34</v>
      </c>
      <c r="B734" t="s" s="21">
        <v>69</v>
      </c>
      <c r="C734" t="s" s="21">
        <v>52</v>
      </c>
      <c r="D734" s="22" cm="1">
        <f t="array" ref="D734">_xlfn.SUMIFS('Diseases'!F2:F4303,'Diseases'!B2:B4303,A734,'Diseases'!C2:C4303,B734,'Diseases'!D2:D4303,C734)</f>
        <v>3494</v>
      </c>
      <c r="E734" t="str" s="34" cm="1">
        <f t="array" ref="E734">_xlfn.IFERROR(IF(INDEX('Diseases'!G2:G4303,MATCH(C734,'Diseases'!D2:D4303,0))="","",INDEX('Diseases'!G2:G4303,MATCH(C734,'Diseases'!D2:D4303,0))),"")</f>
      </c>
      <c r="F734" t="str" s="34" cm="1">
        <f t="array" ref="F734">_xlfn.IFERROR(IF(E734="","",D734/E734*100000),"")</f>
      </c>
    </row>
    <row r="735" ht="13.65" customHeight="1">
      <c r="A735" t="s" s="31">
        <v>45</v>
      </c>
      <c r="B735" t="s" s="21">
        <v>69</v>
      </c>
      <c r="C735" t="s" s="21">
        <v>52</v>
      </c>
      <c r="D735" s="22" cm="1">
        <f t="array" ref="D735">_xlfn.SUMIFS('Diseases'!F2:F4303,'Diseases'!B2:B4303,A735,'Diseases'!C2:C4303,B735,'Diseases'!D2:D4303,C735)</f>
        <v>2379</v>
      </c>
      <c r="E735" t="str" s="34" cm="1">
        <f t="array" ref="E735">_xlfn.IFERROR(IF(INDEX('Diseases'!G2:G4303,MATCH(C735,'Diseases'!D2:D4303,0))="","",INDEX('Diseases'!G2:G4303,MATCH(C735,'Diseases'!D2:D4303,0))),"")</f>
      </c>
      <c r="F735" t="str" s="34" cm="1">
        <f t="array" ref="F735">_xlfn.IFERROR(IF(E735="","",D735/E735*100000),"")</f>
      </c>
    </row>
    <row r="736" ht="13.65" customHeight="1">
      <c r="A736" t="s" s="29">
        <v>39</v>
      </c>
      <c r="B736" t="s" s="21">
        <v>69</v>
      </c>
      <c r="C736" t="s" s="21">
        <v>52</v>
      </c>
      <c r="D736" s="22" cm="1">
        <f t="array" ref="D736">_xlfn.SUMIFS('Diseases'!F2:F4303,'Diseases'!B2:B4303,A736,'Diseases'!C2:C4303,B736,'Diseases'!D2:D4303,C736)</f>
        <v>2225</v>
      </c>
      <c r="E736" t="str" s="34" cm="1">
        <f t="array" ref="E736">_xlfn.IFERROR(IF(INDEX('Diseases'!G2:G4303,MATCH(C736,'Diseases'!D2:D4303,0))="","",INDEX('Diseases'!G2:G4303,MATCH(C736,'Diseases'!D2:D4303,0))),"")</f>
      </c>
      <c r="F736" t="str" s="34" cm="1">
        <f t="array" ref="F736">_xlfn.IFERROR(IF(E736="","",D736/E736*100000),"")</f>
      </c>
    </row>
    <row r="737" ht="13.65" customHeight="1">
      <c r="A737" t="s" s="26">
        <v>36</v>
      </c>
      <c r="B737" t="s" s="21">
        <v>69</v>
      </c>
      <c r="C737" t="s" s="21">
        <v>52</v>
      </c>
      <c r="D737" s="22" cm="1">
        <f t="array" ref="D737">_xlfn.SUMIFS('Diseases'!F2:F4303,'Diseases'!B2:B4303,A737,'Diseases'!C2:C4303,B737,'Diseases'!D2:D4303,C737)</f>
        <v>1261</v>
      </c>
      <c r="E737" t="str" s="34" cm="1">
        <f t="array" ref="E737">_xlfn.IFERROR(IF(INDEX('Diseases'!G2:G4303,MATCH(C737,'Diseases'!D2:D4303,0))="","",INDEX('Diseases'!G2:G4303,MATCH(C737,'Diseases'!D2:D4303,0))),"")</f>
      </c>
      <c r="F737" t="str" s="34" cm="1">
        <f t="array" ref="F737">_xlfn.IFERROR(IF(E737="","",D737/E737*100000),"")</f>
      </c>
    </row>
    <row r="738" ht="13.65" customHeight="1">
      <c r="A738" t="s" s="20">
        <v>30</v>
      </c>
      <c r="B738" t="s" s="21">
        <v>70</v>
      </c>
      <c r="C738" t="s" s="21">
        <v>52</v>
      </c>
      <c r="D738" s="22" cm="1">
        <f t="array" ref="D738">_xlfn.SUMIFS('Diseases'!F2:F4303,'Diseases'!B2:B4303,A738,'Diseases'!C2:C4303,B738,'Diseases'!D2:D4303,C738)</f>
        <v>13320</v>
      </c>
      <c r="E738" t="str" s="34" cm="1">
        <f t="array" ref="E738">_xlfn.IFERROR(IF(INDEX('Diseases'!G2:G4303,MATCH(C738,'Diseases'!D2:D4303,0))="","",INDEX('Diseases'!G2:G4303,MATCH(C738,'Diseases'!D2:D4303,0))),"")</f>
      </c>
      <c r="F738" t="str" s="34" cm="1">
        <f t="array" ref="F738">_xlfn.IFERROR(IF(E738="","",D738/E738*100000),"")</f>
      </c>
    </row>
    <row r="739" ht="13.65" customHeight="1">
      <c r="A739" t="s" s="25">
        <v>35</v>
      </c>
      <c r="B739" t="s" s="21">
        <v>70</v>
      </c>
      <c r="C739" t="s" s="21">
        <v>52</v>
      </c>
      <c r="D739" s="22" cm="1">
        <f t="array" ref="D739">_xlfn.SUMIFS('Diseases'!F2:F4303,'Diseases'!B2:B4303,A739,'Diseases'!C2:C4303,B739,'Diseases'!D2:D4303,C739)</f>
        <v>11399</v>
      </c>
      <c r="E739" t="str" s="34" cm="1">
        <f t="array" ref="E739">_xlfn.IFERROR(IF(INDEX('Diseases'!G2:G4303,MATCH(C739,'Diseases'!D2:D4303,0))="","",INDEX('Diseases'!G2:G4303,MATCH(C739,'Diseases'!D2:D4303,0))),"")</f>
      </c>
      <c r="F739" t="str" s="34" cm="1">
        <f t="array" ref="F739">_xlfn.IFERROR(IF(E739="","",D739/E739*100000),"")</f>
      </c>
    </row>
    <row r="740" ht="13.65" customHeight="1">
      <c r="A740" t="s" s="24">
        <v>34</v>
      </c>
      <c r="B740" t="s" s="21">
        <v>70</v>
      </c>
      <c r="C740" t="s" s="21">
        <v>52</v>
      </c>
      <c r="D740" s="22" cm="1">
        <f t="array" ref="D740">_xlfn.SUMIFS('Diseases'!F2:F4303,'Diseases'!B2:B4303,A740,'Diseases'!C2:C4303,B740,'Diseases'!D2:D4303,C740)</f>
        <v>2597</v>
      </c>
      <c r="E740" t="str" s="34" cm="1">
        <f t="array" ref="E740">_xlfn.IFERROR(IF(INDEX('Diseases'!G2:G4303,MATCH(C740,'Diseases'!D2:D4303,0))="","",INDEX('Diseases'!G2:G4303,MATCH(C740,'Diseases'!D2:D4303,0))),"")</f>
      </c>
      <c r="F740" t="str" s="34" cm="1">
        <f t="array" ref="F740">_xlfn.IFERROR(IF(E740="","",D740/E740*100000),"")</f>
      </c>
    </row>
    <row r="741" ht="13.65" customHeight="1">
      <c r="A741" t="s" s="31">
        <v>45</v>
      </c>
      <c r="B741" t="s" s="21">
        <v>70</v>
      </c>
      <c r="C741" t="s" s="21">
        <v>52</v>
      </c>
      <c r="D741" s="22" cm="1">
        <f t="array" ref="D741">_xlfn.SUMIFS('Diseases'!F2:F4303,'Diseases'!B2:B4303,A741,'Diseases'!C2:C4303,B741,'Diseases'!D2:D4303,C741)</f>
        <v>2039</v>
      </c>
      <c r="E741" t="str" s="34" cm="1">
        <f t="array" ref="E741">_xlfn.IFERROR(IF(INDEX('Diseases'!G2:G4303,MATCH(C741,'Diseases'!D2:D4303,0))="","",INDEX('Diseases'!G2:G4303,MATCH(C741,'Diseases'!D2:D4303,0))),"")</f>
      </c>
      <c r="F741" t="str" s="34" cm="1">
        <f t="array" ref="F741">_xlfn.IFERROR(IF(E741="","",D741/E741*100000),"")</f>
      </c>
    </row>
    <row r="742" ht="13.65" customHeight="1">
      <c r="A742" t="s" s="29">
        <v>39</v>
      </c>
      <c r="B742" t="s" s="21">
        <v>70</v>
      </c>
      <c r="C742" t="s" s="21">
        <v>52</v>
      </c>
      <c r="D742" s="22" cm="1">
        <f t="array" ref="D742">_xlfn.SUMIFS('Diseases'!F2:F4303,'Diseases'!B2:B4303,A742,'Diseases'!C2:C4303,B742,'Diseases'!D2:D4303,C742)</f>
        <v>1926</v>
      </c>
      <c r="E742" t="str" s="34" cm="1">
        <f t="array" ref="E742">_xlfn.IFERROR(IF(INDEX('Diseases'!G2:G4303,MATCH(C742,'Diseases'!D2:D4303,0))="","",INDEX('Diseases'!G2:G4303,MATCH(C742,'Diseases'!D2:D4303,0))),"")</f>
      </c>
      <c r="F742" t="str" s="34" cm="1">
        <f t="array" ref="F742">_xlfn.IFERROR(IF(E742="","",D742/E742*100000),"")</f>
      </c>
    </row>
    <row r="743" ht="13.65" customHeight="1">
      <c r="A743" t="s" s="26">
        <v>36</v>
      </c>
      <c r="B743" t="s" s="21">
        <v>70</v>
      </c>
      <c r="C743" t="s" s="21">
        <v>52</v>
      </c>
      <c r="D743" s="22" cm="1">
        <f t="array" ref="D743">_xlfn.SUMIFS('Diseases'!F2:F4303,'Diseases'!B2:B4303,A743,'Diseases'!C2:C4303,B743,'Diseases'!D2:D4303,C743)</f>
        <v>1111</v>
      </c>
      <c r="E743" t="str" s="34" cm="1">
        <f t="array" ref="E743">_xlfn.IFERROR(IF(INDEX('Diseases'!G2:G4303,MATCH(C743,'Diseases'!D2:D4303,0))="","",INDEX('Diseases'!G2:G4303,MATCH(C743,'Diseases'!D2:D4303,0))),"")</f>
      </c>
      <c r="F743" t="str" s="34" cm="1">
        <f t="array" ref="F743">_xlfn.IFERROR(IF(E743="","",D743/E743*100000),"")</f>
      </c>
    </row>
    <row r="744" ht="13.65" customHeight="1">
      <c r="A744" t="s" s="28">
        <v>41</v>
      </c>
      <c r="B744" t="s" s="21">
        <v>31</v>
      </c>
      <c r="C744" t="s" s="21">
        <v>53</v>
      </c>
      <c r="D744" s="22" cm="1">
        <f t="array" ref="D744">_xlfn.SUMIFS('Diseases'!F2:F4303,'Diseases'!B2:B4303,A744,'Diseases'!C2:C4303,B744,'Diseases'!D2:D4303,C744)</f>
        <v>3021</v>
      </c>
      <c r="E744" s="22" cm="1">
        <f t="array" ref="E744">_xlfn.IFERROR(IF(INDEX('Diseases'!G2:G4303,MATCH(C744,'Diseases'!D2:D4303,0))="","",INDEX('Diseases'!G2:G4303,MATCH(C744,'Diseases'!D2:D4303,0))),"")</f>
        <v>5049226</v>
      </c>
      <c r="F744" s="23" cm="1">
        <f t="array" ref="F744">_xlfn.IFERROR(IF(E744="","",D744/E744*100000),"")</f>
        <v>59.830952308334</v>
      </c>
    </row>
    <row r="745" ht="13.65" customHeight="1">
      <c r="A745" t="s" s="20">
        <v>30</v>
      </c>
      <c r="B745" t="s" s="21">
        <v>31</v>
      </c>
      <c r="C745" t="s" s="21">
        <v>53</v>
      </c>
      <c r="D745" s="22" cm="1">
        <f t="array" ref="D745">_xlfn.SUMIFS('Diseases'!F2:F4303,'Diseases'!B2:B4303,A745,'Diseases'!C2:C4303,B745,'Diseases'!D2:D4303,C745)</f>
        <v>659</v>
      </c>
      <c r="E745" s="22" cm="1">
        <f t="array" ref="E745">_xlfn.IFERROR(IF(INDEX('Diseases'!G2:G4303,MATCH(C745,'Diseases'!D2:D4303,0))="","",INDEX('Diseases'!G2:G4303,MATCH(C745,'Diseases'!D2:D4303,0))),"")</f>
        <v>5049226</v>
      </c>
      <c r="F745" s="23" cm="1">
        <f t="array" ref="F745">_xlfn.IFERROR(IF(E745="","",D745/E745*100000),"")</f>
        <v>13.0515053198253</v>
      </c>
    </row>
    <row r="746" ht="13.65" customHeight="1">
      <c r="A746" t="s" s="31">
        <v>45</v>
      </c>
      <c r="B746" t="s" s="21">
        <v>31</v>
      </c>
      <c r="C746" t="s" s="21">
        <v>53</v>
      </c>
      <c r="D746" s="22" cm="1">
        <f t="array" ref="D746">_xlfn.SUMIFS('Diseases'!F2:F4303,'Diseases'!B2:B4303,A746,'Diseases'!C2:C4303,B746,'Diseases'!D2:D4303,C746)</f>
        <v>220</v>
      </c>
      <c r="E746" s="22" cm="1">
        <f t="array" ref="E746">_xlfn.IFERROR(IF(INDEX('Diseases'!G2:G4303,MATCH(C746,'Diseases'!D2:D4303,0))="","",INDEX('Diseases'!G2:G4303,MATCH(C746,'Diseases'!D2:D4303,0))),"")</f>
        <v>5049226</v>
      </c>
      <c r="F746" s="23" cm="1">
        <f t="array" ref="F746">_xlfn.IFERROR(IF(E746="","",D746/E746*100000),"")</f>
        <v>4.35710344516169</v>
      </c>
    </row>
    <row r="747" ht="13.65" customHeight="1">
      <c r="A747" t="s" s="24">
        <v>34</v>
      </c>
      <c r="B747" t="s" s="21">
        <v>31</v>
      </c>
      <c r="C747" t="s" s="21">
        <v>53</v>
      </c>
      <c r="D747" s="22" cm="1">
        <f t="array" ref="D747">_xlfn.SUMIFS('Diseases'!F2:F4303,'Diseases'!B2:B4303,A747,'Diseases'!C2:C4303,B747,'Diseases'!D2:D4303,C747)</f>
        <v>111</v>
      </c>
      <c r="E747" s="22" cm="1">
        <f t="array" ref="E747">_xlfn.IFERROR(IF(INDEX('Diseases'!G2:G4303,MATCH(C747,'Diseases'!D2:D4303,0))="","",INDEX('Diseases'!G2:G4303,MATCH(C747,'Diseases'!D2:D4303,0))),"")</f>
        <v>5049226</v>
      </c>
      <c r="F747" s="23" cm="1">
        <f t="array" ref="F747">_xlfn.IFERROR(IF(E747="","",D747/E747*100000),"")</f>
        <v>2.19835673824067</v>
      </c>
    </row>
    <row r="748" ht="13.65" customHeight="1">
      <c r="A748" t="s" s="28">
        <v>41</v>
      </c>
      <c r="B748" t="s" s="21">
        <v>60</v>
      </c>
      <c r="C748" t="s" s="21">
        <v>53</v>
      </c>
      <c r="D748" s="22" cm="1">
        <f t="array" ref="D748">_xlfn.SUMIFS('Diseases'!F2:F4303,'Diseases'!B2:B4303,A748,'Diseases'!C2:C4303,B748,'Diseases'!D2:D4303,C748)</f>
        <v>4252</v>
      </c>
      <c r="E748" s="22" cm="1">
        <f t="array" ref="E748">_xlfn.IFERROR(IF(INDEX('Diseases'!G2:G4303,MATCH(C748,'Diseases'!D2:D4303,0))="","",INDEX('Diseases'!G2:G4303,MATCH(C748,'Diseases'!D2:D4303,0))),"")</f>
        <v>5049226</v>
      </c>
      <c r="F748" s="23" cm="1">
        <f t="array" ref="F748">_xlfn.IFERROR(IF(E748="","",D748/E748*100000),"")</f>
        <v>84.2109265855797</v>
      </c>
    </row>
    <row r="749" ht="13.65" customHeight="1">
      <c r="A749" t="s" s="20">
        <v>30</v>
      </c>
      <c r="B749" t="s" s="21">
        <v>60</v>
      </c>
      <c r="C749" t="s" s="21">
        <v>53</v>
      </c>
      <c r="D749" s="22" cm="1">
        <f t="array" ref="D749">_xlfn.SUMIFS('Diseases'!F2:F4303,'Diseases'!B2:B4303,A749,'Diseases'!C2:C4303,B749,'Diseases'!D2:D4303,C749)</f>
        <v>664</v>
      </c>
      <c r="E749" s="22" cm="1">
        <f t="array" ref="E749">_xlfn.IFERROR(IF(INDEX('Diseases'!G2:G4303,MATCH(C749,'Diseases'!D2:D4303,0))="","",INDEX('Diseases'!G2:G4303,MATCH(C749,'Diseases'!D2:D4303,0))),"")</f>
        <v>5049226</v>
      </c>
      <c r="F749" s="23" cm="1">
        <f t="array" ref="F749">_xlfn.IFERROR(IF(E749="","",D749/E749*100000),"")</f>
        <v>13.1505303981244</v>
      </c>
    </row>
    <row r="750" ht="13.65" customHeight="1">
      <c r="A750" t="s" s="31">
        <v>45</v>
      </c>
      <c r="B750" t="s" s="21">
        <v>60</v>
      </c>
      <c r="C750" t="s" s="21">
        <v>53</v>
      </c>
      <c r="D750" s="22" cm="1">
        <f t="array" ref="D750">_xlfn.SUMIFS('Diseases'!F2:F4303,'Diseases'!B2:B4303,A750,'Diseases'!C2:C4303,B750,'Diseases'!D2:D4303,C750)</f>
        <v>231</v>
      </c>
      <c r="E750" s="22" cm="1">
        <f t="array" ref="E750">_xlfn.IFERROR(IF(INDEX('Diseases'!G2:G4303,MATCH(C750,'Diseases'!D2:D4303,0))="","",INDEX('Diseases'!G2:G4303,MATCH(C750,'Diseases'!D2:D4303,0))),"")</f>
        <v>5049226</v>
      </c>
      <c r="F750" s="23" cm="1">
        <f t="array" ref="F750">_xlfn.IFERROR(IF(E750="","",D750/E750*100000),"")</f>
        <v>4.57495861741978</v>
      </c>
    </row>
    <row r="751" ht="13.65" customHeight="1">
      <c r="A751" t="s" s="24">
        <v>34</v>
      </c>
      <c r="B751" t="s" s="21">
        <v>60</v>
      </c>
      <c r="C751" t="s" s="21">
        <v>53</v>
      </c>
      <c r="D751" s="22" cm="1">
        <f t="array" ref="D751">_xlfn.SUMIFS('Diseases'!F2:F4303,'Diseases'!B2:B4303,A751,'Diseases'!C2:C4303,B751,'Diseases'!D2:D4303,C751)</f>
        <v>108</v>
      </c>
      <c r="E751" s="22" cm="1">
        <f t="array" ref="E751">_xlfn.IFERROR(IF(INDEX('Diseases'!G2:G4303,MATCH(C751,'Diseases'!D2:D4303,0))="","",INDEX('Diseases'!G2:G4303,MATCH(C751,'Diseases'!D2:D4303,0))),"")</f>
        <v>5049226</v>
      </c>
      <c r="F751" s="23" cm="1">
        <f t="array" ref="F751">_xlfn.IFERROR(IF(E751="","",D751/E751*100000),"")</f>
        <v>2.1389416912612</v>
      </c>
    </row>
    <row r="752" ht="13.65" customHeight="1">
      <c r="A752" t="s" s="32">
        <v>48</v>
      </c>
      <c r="B752" t="s" s="21">
        <v>60</v>
      </c>
      <c r="C752" t="s" s="21">
        <v>53</v>
      </c>
      <c r="D752" s="22" cm="1">
        <f t="array" ref="D752">_xlfn.SUMIFS('Diseases'!F2:F4303,'Diseases'!B2:B4303,A752,'Diseases'!C2:C4303,B752,'Diseases'!D2:D4303,C752)</f>
        <v>0</v>
      </c>
      <c r="E752" s="22" cm="1">
        <f t="array" ref="E752">_xlfn.IFERROR(IF(INDEX('Diseases'!G2:G4303,MATCH(C752,'Diseases'!D2:D4303,0))="","",INDEX('Diseases'!G2:G4303,MATCH(C752,'Diseases'!D2:D4303,0))),"")</f>
        <v>5049226</v>
      </c>
      <c r="F752" s="23" cm="1">
        <f t="array" ref="F752">_xlfn.IFERROR(IF(E752="","",D752/E752*100000),"")</f>
        <v>0</v>
      </c>
    </row>
    <row r="753" ht="13.65" customHeight="1">
      <c r="A753" t="s" s="28">
        <v>41</v>
      </c>
      <c r="B753" t="s" s="21">
        <v>61</v>
      </c>
      <c r="C753" t="s" s="21">
        <v>53</v>
      </c>
      <c r="D753" s="22" cm="1">
        <f t="array" ref="D753">_xlfn.SUMIFS('Diseases'!F2:F4303,'Diseases'!B2:B4303,A753,'Diseases'!C2:C4303,B753,'Diseases'!D2:D4303,C753)</f>
        <v>4786</v>
      </c>
      <c r="E753" s="22" cm="1">
        <f t="array" ref="E753">_xlfn.IFERROR(IF(INDEX('Diseases'!G2:G4303,MATCH(C753,'Diseases'!D2:D4303,0))="","",INDEX('Diseases'!G2:G4303,MATCH(C753,'Diseases'!D2:D4303,0))),"")</f>
        <v>5049226</v>
      </c>
      <c r="F753" s="23" cm="1">
        <f t="array" ref="F753">_xlfn.IFERROR(IF(E753="","",D753/E753*100000),"")</f>
        <v>94.7868049479267</v>
      </c>
    </row>
    <row r="754" ht="13.65" customHeight="1">
      <c r="A754" t="s" s="20">
        <v>30</v>
      </c>
      <c r="B754" t="s" s="21">
        <v>61</v>
      </c>
      <c r="C754" t="s" s="21">
        <v>53</v>
      </c>
      <c r="D754" s="22" cm="1">
        <f t="array" ref="D754">_xlfn.SUMIFS('Diseases'!F2:F4303,'Diseases'!B2:B4303,A754,'Diseases'!C2:C4303,B754,'Diseases'!D2:D4303,C754)</f>
        <v>2196</v>
      </c>
      <c r="E754" s="22" cm="1">
        <f t="array" ref="E754">_xlfn.IFERROR(IF(INDEX('Diseases'!G2:G4303,MATCH(C754,'Diseases'!D2:D4303,0))="","",INDEX('Diseases'!G2:G4303,MATCH(C754,'Diseases'!D2:D4303,0))),"")</f>
        <v>5049226</v>
      </c>
      <c r="F754" s="23" cm="1">
        <f t="array" ref="F754">_xlfn.IFERROR(IF(E754="","",D754/E754*100000),"")</f>
        <v>43.4918143889776</v>
      </c>
    </row>
    <row r="755" ht="13.65" customHeight="1">
      <c r="A755" t="s" s="27">
        <v>37</v>
      </c>
      <c r="B755" t="s" s="21">
        <v>61</v>
      </c>
      <c r="C755" t="s" s="21">
        <v>53</v>
      </c>
      <c r="D755" s="22" cm="1">
        <f t="array" ref="D755">_xlfn.SUMIFS('Diseases'!F2:F4303,'Diseases'!B2:B4303,A755,'Diseases'!C2:C4303,B755,'Diseases'!D2:D4303,C755)</f>
        <v>495</v>
      </c>
      <c r="E755" s="22" cm="1">
        <f t="array" ref="E755">_xlfn.IFERROR(IF(INDEX('Diseases'!G2:G4303,MATCH(C755,'Diseases'!D2:D4303,0))="","",INDEX('Diseases'!G2:G4303,MATCH(C755,'Diseases'!D2:D4303,0))),"")</f>
        <v>5049226</v>
      </c>
      <c r="F755" s="23" cm="1">
        <f t="array" ref="F755">_xlfn.IFERROR(IF(E755="","",D755/E755*100000),"")</f>
        <v>9.80348275161381</v>
      </c>
    </row>
    <row r="756" ht="13.65" customHeight="1">
      <c r="A756" t="s" s="26">
        <v>36</v>
      </c>
      <c r="B756" t="s" s="21">
        <v>61</v>
      </c>
      <c r="C756" t="s" s="21">
        <v>53</v>
      </c>
      <c r="D756" s="22" cm="1">
        <f t="array" ref="D756">_xlfn.SUMIFS('Diseases'!F2:F4303,'Diseases'!B2:B4303,A756,'Diseases'!C2:C4303,B756,'Diseases'!D2:D4303,C756)</f>
        <v>383</v>
      </c>
      <c r="E756" s="22" cm="1">
        <f t="array" ref="E756">_xlfn.IFERROR(IF(INDEX('Diseases'!G2:G4303,MATCH(C756,'Diseases'!D2:D4303,0))="","",INDEX('Diseases'!G2:G4303,MATCH(C756,'Diseases'!D2:D4303,0))),"")</f>
        <v>5049226</v>
      </c>
      <c r="F756" s="23" cm="1">
        <f t="array" ref="F756">_xlfn.IFERROR(IF(E756="","",D756/E756*100000),"")</f>
        <v>7.58532099771331</v>
      </c>
    </row>
    <row r="757" ht="13.65" customHeight="1">
      <c r="A757" t="s" s="24">
        <v>34</v>
      </c>
      <c r="B757" t="s" s="21">
        <v>61</v>
      </c>
      <c r="C757" t="s" s="21">
        <v>53</v>
      </c>
      <c r="D757" s="22" cm="1">
        <f t="array" ref="D757">_xlfn.SUMIFS('Diseases'!F2:F4303,'Diseases'!B2:B4303,A757,'Diseases'!C2:C4303,B757,'Diseases'!D2:D4303,C757)</f>
        <v>368</v>
      </c>
      <c r="E757" s="22" cm="1">
        <f t="array" ref="E757">_xlfn.IFERROR(IF(INDEX('Diseases'!G2:G4303,MATCH(C757,'Diseases'!D2:D4303,0))="","",INDEX('Diseases'!G2:G4303,MATCH(C757,'Diseases'!D2:D4303,0))),"")</f>
        <v>5049226</v>
      </c>
      <c r="F757" s="23" cm="1">
        <f t="array" ref="F757">_xlfn.IFERROR(IF(E757="","",D757/E757*100000),"")</f>
        <v>7.28824576281592</v>
      </c>
    </row>
    <row r="758" ht="13.65" customHeight="1">
      <c r="A758" t="s" s="31">
        <v>45</v>
      </c>
      <c r="B758" t="s" s="21">
        <v>61</v>
      </c>
      <c r="C758" t="s" s="21">
        <v>53</v>
      </c>
      <c r="D758" s="22" cm="1">
        <f t="array" ref="D758">_xlfn.SUMIFS('Diseases'!F2:F4303,'Diseases'!B2:B4303,A758,'Diseases'!C2:C4303,B758,'Diseases'!D2:D4303,C758)</f>
        <v>295</v>
      </c>
      <c r="E758" s="22" cm="1">
        <f t="array" ref="E758">_xlfn.IFERROR(IF(INDEX('Diseases'!G2:G4303,MATCH(C758,'Diseases'!D2:D4303,0))="","",INDEX('Diseases'!G2:G4303,MATCH(C758,'Diseases'!D2:D4303,0))),"")</f>
        <v>5049226</v>
      </c>
      <c r="F758" s="23" cm="1">
        <f t="array" ref="F758">_xlfn.IFERROR(IF(E758="","",D758/E758*100000),"")</f>
        <v>5.84247961964864</v>
      </c>
    </row>
    <row r="759" ht="13.65" customHeight="1">
      <c r="A759" t="s" s="20">
        <v>30</v>
      </c>
      <c r="B759" t="s" s="21">
        <v>62</v>
      </c>
      <c r="C759" t="s" s="21">
        <v>53</v>
      </c>
      <c r="D759" s="22" cm="1">
        <f t="array" ref="D759">_xlfn.SUMIFS('Diseases'!F2:F4303,'Diseases'!B2:B4303,A759,'Diseases'!C2:C4303,B759,'Diseases'!D2:D4303,C759)</f>
        <v>18090</v>
      </c>
      <c r="E759" s="22" cm="1">
        <f t="array" ref="E759">_xlfn.IFERROR(IF(INDEX('Diseases'!G2:G4303,MATCH(C759,'Diseases'!D2:D4303,0))="","",INDEX('Diseases'!G2:G4303,MATCH(C759,'Diseases'!D2:D4303,0))),"")</f>
        <v>5049226</v>
      </c>
      <c r="F759" s="23" cm="1">
        <f t="array" ref="F759">_xlfn.IFERROR(IF(E759="","",D759/E759*100000),"")</f>
        <v>358.272733286250</v>
      </c>
    </row>
    <row r="760" ht="13.65" customHeight="1">
      <c r="A760" t="s" s="24">
        <v>34</v>
      </c>
      <c r="B760" t="s" s="21">
        <v>62</v>
      </c>
      <c r="C760" t="s" s="21">
        <v>53</v>
      </c>
      <c r="D760" s="22" cm="1">
        <f t="array" ref="D760">_xlfn.SUMIFS('Diseases'!F2:F4303,'Diseases'!B2:B4303,A760,'Diseases'!C2:C4303,B760,'Diseases'!D2:D4303,C760)</f>
        <v>6810</v>
      </c>
      <c r="E760" s="22" cm="1">
        <f t="array" ref="E760">_xlfn.IFERROR(IF(INDEX('Diseases'!G2:G4303,MATCH(C760,'Diseases'!D2:D4303,0))="","",INDEX('Diseases'!G2:G4303,MATCH(C760,'Diseases'!D2:D4303,0))),"")</f>
        <v>5049226</v>
      </c>
      <c r="F760" s="23" cm="1">
        <f t="array" ref="F760">_xlfn.IFERROR(IF(E760="","",D760/E760*100000),"")</f>
        <v>134.872156643414</v>
      </c>
    </row>
    <row r="761" ht="13.65" customHeight="1">
      <c r="A761" t="s" s="26">
        <v>36</v>
      </c>
      <c r="B761" t="s" s="21">
        <v>62</v>
      </c>
      <c r="C761" t="s" s="21">
        <v>53</v>
      </c>
      <c r="D761" s="22" cm="1">
        <f t="array" ref="D761">_xlfn.SUMIFS('Diseases'!F2:F4303,'Diseases'!B2:B4303,A761,'Diseases'!C2:C4303,B761,'Diseases'!D2:D4303,C761)</f>
        <v>3720</v>
      </c>
      <c r="E761" s="22" cm="1">
        <f t="array" ref="E761">_xlfn.IFERROR(IF(INDEX('Diseases'!G2:G4303,MATCH(C761,'Diseases'!D2:D4303,0))="","",INDEX('Diseases'!G2:G4303,MATCH(C761,'Diseases'!D2:D4303,0))),"")</f>
        <v>5049226</v>
      </c>
      <c r="F761" s="23" cm="1">
        <f t="array" ref="F761">_xlfn.IFERROR(IF(E761="","",D761/E761*100000),"")</f>
        <v>73.6746582545523</v>
      </c>
    </row>
    <row r="762" ht="13.65" customHeight="1">
      <c r="A762" t="s" s="33">
        <v>59</v>
      </c>
      <c r="B762" t="s" s="21">
        <v>62</v>
      </c>
      <c r="C762" t="s" s="21">
        <v>53</v>
      </c>
      <c r="D762" s="22" cm="1">
        <f t="array" ref="D762">_xlfn.SUMIFS('Diseases'!F2:F4303,'Diseases'!B2:B4303,A762,'Diseases'!C2:C4303,B762,'Diseases'!D2:D4303,C762)</f>
        <v>2565</v>
      </c>
      <c r="E762" s="22" cm="1">
        <f t="array" ref="E762">_xlfn.IFERROR(IF(INDEX('Diseases'!G2:G4303,MATCH(C762,'Diseases'!D2:D4303,0))="","",INDEX('Diseases'!G2:G4303,MATCH(C762,'Diseases'!D2:D4303,0))),"")</f>
        <v>5049226</v>
      </c>
      <c r="F762" s="23" cm="1">
        <f t="array" ref="F762">_xlfn.IFERROR(IF(E762="","",D762/E762*100000),"")</f>
        <v>50.7998651674534</v>
      </c>
    </row>
    <row r="763" ht="13.65" customHeight="1">
      <c r="A763" t="s" s="25">
        <v>35</v>
      </c>
      <c r="B763" t="s" s="21">
        <v>62</v>
      </c>
      <c r="C763" t="s" s="21">
        <v>53</v>
      </c>
      <c r="D763" s="22" cm="1">
        <f t="array" ref="D763">_xlfn.SUMIFS('Diseases'!F2:F4303,'Diseases'!B2:B4303,A763,'Diseases'!C2:C4303,B763,'Diseases'!D2:D4303,C763)</f>
        <v>1515</v>
      </c>
      <c r="E763" s="22" cm="1">
        <f t="array" ref="E763">_xlfn.IFERROR(IF(INDEX('Diseases'!G2:G4303,MATCH(C763,'Diseases'!D2:D4303,0))="","",INDEX('Diseases'!G2:G4303,MATCH(C763,'Diseases'!D2:D4303,0))),"")</f>
        <v>5049226</v>
      </c>
      <c r="F763" s="23" cm="1">
        <f t="array" ref="F763">_xlfn.IFERROR(IF(E763="","",D763/E763*100000),"")</f>
        <v>30.0045987246362</v>
      </c>
    </row>
    <row r="764" ht="13.65" customHeight="1">
      <c r="A764" t="s" s="27">
        <v>37</v>
      </c>
      <c r="B764" t="s" s="21">
        <v>62</v>
      </c>
      <c r="C764" t="s" s="21">
        <v>53</v>
      </c>
      <c r="D764" s="22" cm="1">
        <f t="array" ref="D764">_xlfn.SUMIFS('Diseases'!F2:F4303,'Diseases'!B2:B4303,A764,'Diseases'!C2:C4303,B764,'Diseases'!D2:D4303,C764)</f>
        <v>975</v>
      </c>
      <c r="E764" s="22" cm="1">
        <f t="array" ref="E764">_xlfn.IFERROR(IF(INDEX('Diseases'!G2:G4303,MATCH(C764,'Diseases'!D2:D4303,0))="","",INDEX('Diseases'!G2:G4303,MATCH(C764,'Diseases'!D2:D4303,0))),"")</f>
        <v>5049226</v>
      </c>
      <c r="F764" s="23" cm="1">
        <f t="array" ref="F764">_xlfn.IFERROR(IF(E764="","",D764/E764*100000),"")</f>
        <v>19.3098902683302</v>
      </c>
    </row>
    <row r="765" ht="13.65" customHeight="1">
      <c r="A765" t="s" s="20">
        <v>30</v>
      </c>
      <c r="B765" t="s" s="21">
        <v>63</v>
      </c>
      <c r="C765" t="s" s="21">
        <v>53</v>
      </c>
      <c r="D765" s="22" cm="1">
        <f t="array" ref="D765">_xlfn.SUMIFS('Diseases'!F2:F4303,'Diseases'!B2:B4303,A765,'Diseases'!C2:C4303,B765,'Diseases'!D2:D4303,C765)</f>
        <v>5458</v>
      </c>
      <c r="E765" s="22" cm="1">
        <f t="array" ref="E765">_xlfn.IFERROR(IF(INDEX('Diseases'!G2:G4303,MATCH(C765,'Diseases'!D2:D4303,0))="","",INDEX('Diseases'!G2:G4303,MATCH(C765,'Diseases'!D2:D4303,0))),"")</f>
        <v>5049226</v>
      </c>
      <c r="F765" s="23" cm="1">
        <f t="array" ref="F765">_xlfn.IFERROR(IF(E765="","",D765/E765*100000),"")</f>
        <v>108.095775471330</v>
      </c>
    </row>
    <row r="766" ht="13.65" customHeight="1">
      <c r="A766" t="s" s="28">
        <v>41</v>
      </c>
      <c r="B766" t="s" s="21">
        <v>63</v>
      </c>
      <c r="C766" t="s" s="21">
        <v>53</v>
      </c>
      <c r="D766" s="22" cm="1">
        <f t="array" ref="D766">_xlfn.SUMIFS('Diseases'!F2:F4303,'Diseases'!B2:B4303,A766,'Diseases'!C2:C4303,B766,'Diseases'!D2:D4303,C766)</f>
        <v>2265</v>
      </c>
      <c r="E766" s="22" cm="1">
        <f t="array" ref="E766">_xlfn.IFERROR(IF(INDEX('Diseases'!G2:G4303,MATCH(C766,'Diseases'!D2:D4303,0))="","",INDEX('Diseases'!G2:G4303,MATCH(C766,'Diseases'!D2:D4303,0))),"")</f>
        <v>5049226</v>
      </c>
      <c r="F766" s="23" cm="1">
        <f t="array" ref="F766">_xlfn.IFERROR(IF(E766="","",D766/E766*100000),"")</f>
        <v>44.8583604695056</v>
      </c>
    </row>
    <row r="767" ht="13.65" customHeight="1">
      <c r="A767" t="s" s="24">
        <v>34</v>
      </c>
      <c r="B767" t="s" s="21">
        <v>63</v>
      </c>
      <c r="C767" t="s" s="21">
        <v>53</v>
      </c>
      <c r="D767" s="22" cm="1">
        <f t="array" ref="D767">_xlfn.SUMIFS('Diseases'!F2:F4303,'Diseases'!B2:B4303,A767,'Diseases'!C2:C4303,B767,'Diseases'!D2:D4303,C767)</f>
        <v>1567</v>
      </c>
      <c r="E767" s="22" cm="1">
        <f t="array" ref="E767">_xlfn.IFERROR(IF(INDEX('Diseases'!G2:G4303,MATCH(C767,'Diseases'!D2:D4303,0))="","",INDEX('Diseases'!G2:G4303,MATCH(C767,'Diseases'!D2:D4303,0))),"")</f>
        <v>5049226</v>
      </c>
      <c r="F767" s="23" cm="1">
        <f t="array" ref="F767">_xlfn.IFERROR(IF(E767="","",D767/E767*100000),"")</f>
        <v>31.0344595389472</v>
      </c>
    </row>
    <row r="768" ht="13.65" customHeight="1">
      <c r="A768" t="s" s="25">
        <v>35</v>
      </c>
      <c r="B768" t="s" s="21">
        <v>63</v>
      </c>
      <c r="C768" t="s" s="21">
        <v>53</v>
      </c>
      <c r="D768" s="22" cm="1">
        <f t="array" ref="D768">_xlfn.SUMIFS('Diseases'!F2:F4303,'Diseases'!B2:B4303,A768,'Diseases'!C2:C4303,B768,'Diseases'!D2:D4303,C768)</f>
        <v>1075</v>
      </c>
      <c r="E768" s="22" cm="1">
        <f t="array" ref="E768">_xlfn.IFERROR(IF(INDEX('Diseases'!G2:G4303,MATCH(C768,'Diseases'!D2:D4303,0))="","",INDEX('Diseases'!G2:G4303,MATCH(C768,'Diseases'!D2:D4303,0))),"")</f>
        <v>5049226</v>
      </c>
      <c r="F768" s="23" cm="1">
        <f t="array" ref="F768">_xlfn.IFERROR(IF(E768="","",D768/E768*100000),"")</f>
        <v>21.2903918343128</v>
      </c>
    </row>
    <row r="769" ht="13.65" customHeight="1">
      <c r="A769" t="s" s="29">
        <v>39</v>
      </c>
      <c r="B769" t="s" s="21">
        <v>63</v>
      </c>
      <c r="C769" t="s" s="21">
        <v>53</v>
      </c>
      <c r="D769" s="22" cm="1">
        <f t="array" ref="D769">_xlfn.SUMIFS('Diseases'!F2:F4303,'Diseases'!B2:B4303,A769,'Diseases'!C2:C4303,B769,'Diseases'!D2:D4303,C769)</f>
        <v>853</v>
      </c>
      <c r="E769" s="22" cm="1">
        <f t="array" ref="E769">_xlfn.IFERROR(IF(INDEX('Diseases'!G2:G4303,MATCH(C769,'Diseases'!D2:D4303,0))="","",INDEX('Diseases'!G2:G4303,MATCH(C769,'Diseases'!D2:D4303,0))),"")</f>
        <v>5049226</v>
      </c>
      <c r="F769" s="23" cm="1">
        <f t="array" ref="F769">_xlfn.IFERROR(IF(E769="","",D769/E769*100000),"")</f>
        <v>16.8936783578315</v>
      </c>
    </row>
    <row r="770" ht="13.65" customHeight="1">
      <c r="A770" t="s" s="27">
        <v>37</v>
      </c>
      <c r="B770" t="s" s="21">
        <v>63</v>
      </c>
      <c r="C770" t="s" s="21">
        <v>53</v>
      </c>
      <c r="D770" s="22" cm="1">
        <f t="array" ref="D770">_xlfn.SUMIFS('Diseases'!F2:F4303,'Diseases'!B2:B4303,A770,'Diseases'!C2:C4303,B770,'Diseases'!D2:D4303,C770)</f>
        <v>561</v>
      </c>
      <c r="E770" s="22" cm="1">
        <f t="array" ref="E770">_xlfn.IFERROR(IF(INDEX('Diseases'!G2:G4303,MATCH(C770,'Diseases'!D2:D4303,0))="","",INDEX('Diseases'!G2:G4303,MATCH(C770,'Diseases'!D2:D4303,0))),"")</f>
        <v>5049226</v>
      </c>
      <c r="F770" s="23" cm="1">
        <f t="array" ref="F770">_xlfn.IFERROR(IF(E770="","",D770/E770*100000),"")</f>
        <v>11.1106137851623</v>
      </c>
    </row>
    <row r="771" ht="13.65" customHeight="1">
      <c r="A771" t="s" s="26">
        <v>36</v>
      </c>
      <c r="B771" t="s" s="21">
        <v>63</v>
      </c>
      <c r="C771" t="s" s="21">
        <v>53</v>
      </c>
      <c r="D771" s="22" cm="1">
        <f t="array" ref="D771">_xlfn.SUMIFS('Diseases'!F2:F4303,'Diseases'!B2:B4303,A771,'Diseases'!C2:C4303,B771,'Diseases'!D2:D4303,C771)</f>
        <v>425</v>
      </c>
      <c r="E771" s="22" cm="1">
        <f t="array" ref="E771">_xlfn.IFERROR(IF(INDEX('Diseases'!G2:G4303,MATCH(C771,'Diseases'!D2:D4303,0))="","",INDEX('Diseases'!G2:G4303,MATCH(C771,'Diseases'!D2:D4303,0))),"")</f>
        <v>5049226</v>
      </c>
      <c r="F771" s="23" cm="1">
        <f t="array" ref="F771">_xlfn.IFERROR(IF(E771="","",D771/E771*100000),"")</f>
        <v>8.417131655425999</v>
      </c>
    </row>
    <row r="772" ht="13.65" customHeight="1">
      <c r="A772" t="s" s="20">
        <v>30</v>
      </c>
      <c r="B772" t="s" s="21">
        <v>64</v>
      </c>
      <c r="C772" t="s" s="21">
        <v>53</v>
      </c>
      <c r="D772" s="22" cm="1">
        <f t="array" ref="D772">_xlfn.SUMIFS('Diseases'!F2:F4303,'Diseases'!B2:B4303,A772,'Diseases'!C2:C4303,B772,'Diseases'!D2:D4303,C772)</f>
        <v>7803</v>
      </c>
      <c r="E772" s="22" cm="1">
        <f t="array" ref="E772">_xlfn.IFERROR(IF(INDEX('Diseases'!G2:G4303,MATCH(C772,'Diseases'!D2:D4303,0))="","",INDEX('Diseases'!G2:G4303,MATCH(C772,'Diseases'!D2:D4303,0))),"")</f>
        <v>5049226</v>
      </c>
      <c r="F772" s="23" cm="1">
        <f t="array" ref="F772">_xlfn.IFERROR(IF(E772="","",D772/E772*100000),"")</f>
        <v>154.538537193621</v>
      </c>
    </row>
    <row r="773" ht="13.65" customHeight="1">
      <c r="A773" t="s" s="25">
        <v>35</v>
      </c>
      <c r="B773" t="s" s="21">
        <v>64</v>
      </c>
      <c r="C773" t="s" s="21">
        <v>53</v>
      </c>
      <c r="D773" s="22" cm="1">
        <f t="array" ref="D773">_xlfn.SUMIFS('Diseases'!F2:F4303,'Diseases'!B2:B4303,A773,'Diseases'!C2:C4303,B773,'Diseases'!D2:D4303,C773)</f>
        <v>4015</v>
      </c>
      <c r="E773" s="22" cm="1">
        <f t="array" ref="E773">_xlfn.IFERROR(IF(INDEX('Diseases'!G2:G4303,MATCH(C773,'Diseases'!D2:D4303,0))="","",INDEX('Diseases'!G2:G4303,MATCH(C773,'Diseases'!D2:D4303,0))),"")</f>
        <v>5049226</v>
      </c>
      <c r="F773" s="23" cm="1">
        <f t="array" ref="F773">_xlfn.IFERROR(IF(E773="","",D773/E773*100000),"")</f>
        <v>79.5171378742009</v>
      </c>
    </row>
    <row r="774" ht="13.65" customHeight="1">
      <c r="A774" t="s" s="28">
        <v>41</v>
      </c>
      <c r="B774" t="s" s="21">
        <v>64</v>
      </c>
      <c r="C774" t="s" s="21">
        <v>53</v>
      </c>
      <c r="D774" s="22" cm="1">
        <f t="array" ref="D774">_xlfn.SUMIFS('Diseases'!F2:F4303,'Diseases'!B2:B4303,A774,'Diseases'!C2:C4303,B774,'Diseases'!D2:D4303,C774)</f>
        <v>3102</v>
      </c>
      <c r="E774" s="22" cm="1">
        <f t="array" ref="E774">_xlfn.IFERROR(IF(INDEX('Diseases'!G2:G4303,MATCH(C774,'Diseases'!D2:D4303,0))="","",INDEX('Diseases'!G2:G4303,MATCH(C774,'Diseases'!D2:D4303,0))),"")</f>
        <v>5049226</v>
      </c>
      <c r="F774" s="23" cm="1">
        <f t="array" ref="F774">_xlfn.IFERROR(IF(E774="","",D774/E774*100000),"")</f>
        <v>61.4351585767799</v>
      </c>
    </row>
    <row r="775" ht="13.65" customHeight="1">
      <c r="A775" t="s" s="24">
        <v>34</v>
      </c>
      <c r="B775" t="s" s="21">
        <v>64</v>
      </c>
      <c r="C775" t="s" s="21">
        <v>53</v>
      </c>
      <c r="D775" s="22" cm="1">
        <f t="array" ref="D775">_xlfn.SUMIFS('Diseases'!F2:F4303,'Diseases'!B2:B4303,A775,'Diseases'!C2:C4303,B775,'Diseases'!D2:D4303,C775)</f>
        <v>2503</v>
      </c>
      <c r="E775" s="22" cm="1">
        <f t="array" ref="E775">_xlfn.IFERROR(IF(INDEX('Diseases'!G2:G4303,MATCH(C775,'Diseases'!D2:D4303,0))="","",INDEX('Diseases'!G2:G4303,MATCH(C775,'Diseases'!D2:D4303,0))),"")</f>
        <v>5049226</v>
      </c>
      <c r="F775" s="23" cm="1">
        <f t="array" ref="F775">_xlfn.IFERROR(IF(E775="","",D775/E775*100000),"")</f>
        <v>49.5719541965442</v>
      </c>
    </row>
    <row r="776" ht="13.65" customHeight="1">
      <c r="A776" t="s" s="29">
        <v>39</v>
      </c>
      <c r="B776" t="s" s="21">
        <v>64</v>
      </c>
      <c r="C776" t="s" s="21">
        <v>53</v>
      </c>
      <c r="D776" s="22" cm="1">
        <f t="array" ref="D776">_xlfn.SUMIFS('Diseases'!F2:F4303,'Diseases'!B2:B4303,A776,'Diseases'!C2:C4303,B776,'Diseases'!D2:D4303,C776)</f>
        <v>1389</v>
      </c>
      <c r="E776" s="22" cm="1">
        <f t="array" ref="E776">_xlfn.IFERROR(IF(INDEX('Diseases'!G2:G4303,MATCH(C776,'Diseases'!D2:D4303,0))="","",INDEX('Diseases'!G2:G4303,MATCH(C776,'Diseases'!D2:D4303,0))),"")</f>
        <v>5049226</v>
      </c>
      <c r="F776" s="23" cm="1">
        <f t="array" ref="F776">_xlfn.IFERROR(IF(E776="","",D776/E776*100000),"")</f>
        <v>27.5091667514982</v>
      </c>
    </row>
    <row r="777" ht="13.65" customHeight="1">
      <c r="A777" t="s" s="27">
        <v>37</v>
      </c>
      <c r="B777" t="s" s="21">
        <v>64</v>
      </c>
      <c r="C777" t="s" s="21">
        <v>53</v>
      </c>
      <c r="D777" s="22" cm="1">
        <f t="array" ref="D777">_xlfn.SUMIFS('Diseases'!F2:F4303,'Diseases'!B2:B4303,A777,'Diseases'!C2:C4303,B777,'Diseases'!D2:D4303,C777)</f>
        <v>731</v>
      </c>
      <c r="E777" s="22" cm="1">
        <f t="array" ref="E777">_xlfn.IFERROR(IF(INDEX('Diseases'!G2:G4303,MATCH(C777,'Diseases'!D2:D4303,0))="","",INDEX('Diseases'!G2:G4303,MATCH(C777,'Diseases'!D2:D4303,0))),"")</f>
        <v>5049226</v>
      </c>
      <c r="F777" s="23" cm="1">
        <f t="array" ref="F777">_xlfn.IFERROR(IF(E777="","",D777/E777*100000),"")</f>
        <v>14.4774664473327</v>
      </c>
    </row>
    <row r="778" ht="13.65" customHeight="1">
      <c r="A778" t="s" s="26">
        <v>36</v>
      </c>
      <c r="B778" t="s" s="21">
        <v>64</v>
      </c>
      <c r="C778" t="s" s="21">
        <v>53</v>
      </c>
      <c r="D778" s="22" cm="1">
        <f t="array" ref="D778">_xlfn.SUMIFS('Diseases'!F2:F4303,'Diseases'!B2:B4303,A778,'Diseases'!C2:C4303,B778,'Diseases'!D2:D4303,C778)</f>
        <v>689</v>
      </c>
      <c r="E778" s="22" cm="1">
        <f t="array" ref="E778">_xlfn.IFERROR(IF(INDEX('Diseases'!G2:G4303,MATCH(C778,'Diseases'!D2:D4303,0))="","",INDEX('Diseases'!G2:G4303,MATCH(C778,'Diseases'!D2:D4303,0))),"")</f>
        <v>5049226</v>
      </c>
      <c r="F778" s="23" cm="1">
        <f t="array" ref="F778">_xlfn.IFERROR(IF(E778="","",D778/E778*100000),"")</f>
        <v>13.645655789620</v>
      </c>
    </row>
    <row r="779" ht="13.65" customHeight="1">
      <c r="A779" t="s" s="20">
        <v>30</v>
      </c>
      <c r="B779" t="s" s="21">
        <v>65</v>
      </c>
      <c r="C779" t="s" s="21">
        <v>53</v>
      </c>
      <c r="D779" s="22" cm="1">
        <f t="array" ref="D779">_xlfn.SUMIFS('Diseases'!F2:F4303,'Diseases'!B2:B4303,A779,'Diseases'!C2:C4303,B779,'Diseases'!D2:D4303,C779)</f>
        <v>13101</v>
      </c>
      <c r="E779" s="22" cm="1">
        <f t="array" ref="E779">_xlfn.IFERROR(IF(INDEX('Diseases'!G2:G4303,MATCH(C779,'Diseases'!D2:D4303,0))="","",INDEX('Diseases'!G2:G4303,MATCH(C779,'Diseases'!D2:D4303,0))),"")</f>
        <v>5049226</v>
      </c>
      <c r="F779" s="23" cm="1">
        <f t="array" ref="F779">_xlfn.IFERROR(IF(E779="","",D779/E779*100000),"")</f>
        <v>259.465510159379</v>
      </c>
    </row>
    <row r="780" ht="13.65" customHeight="1">
      <c r="A780" t="s" s="25">
        <v>35</v>
      </c>
      <c r="B780" t="s" s="21">
        <v>65</v>
      </c>
      <c r="C780" t="s" s="21">
        <v>53</v>
      </c>
      <c r="D780" s="22" cm="1">
        <f t="array" ref="D780">_xlfn.SUMIFS('Diseases'!F2:F4303,'Diseases'!B2:B4303,A780,'Diseases'!C2:C4303,B780,'Diseases'!D2:D4303,C780)</f>
        <v>4790</v>
      </c>
      <c r="E780" s="22" cm="1">
        <f t="array" ref="E780">_xlfn.IFERROR(IF(INDEX('Diseases'!G2:G4303,MATCH(C780,'Diseases'!D2:D4303,0))="","",INDEX('Diseases'!G2:G4303,MATCH(C780,'Diseases'!D2:D4303,0))),"")</f>
        <v>5049226</v>
      </c>
      <c r="F780" s="23" cm="1">
        <f t="array" ref="F780">_xlfn.IFERROR(IF(E780="","",D780/E780*100000),"")</f>
        <v>94.86602501056601</v>
      </c>
    </row>
    <row r="781" ht="13.65" customHeight="1">
      <c r="A781" t="s" s="24">
        <v>34</v>
      </c>
      <c r="B781" t="s" s="21">
        <v>65</v>
      </c>
      <c r="C781" t="s" s="21">
        <v>53</v>
      </c>
      <c r="D781" s="22" cm="1">
        <f t="array" ref="D781">_xlfn.SUMIFS('Diseases'!F2:F4303,'Diseases'!B2:B4303,A781,'Diseases'!C2:C4303,B781,'Diseases'!D2:D4303,C781)</f>
        <v>3679</v>
      </c>
      <c r="E781" s="22" cm="1">
        <f t="array" ref="E781">_xlfn.IFERROR(IF(INDEX('Diseases'!G2:G4303,MATCH(C781,'Diseases'!D2:D4303,0))="","",INDEX('Diseases'!G2:G4303,MATCH(C781,'Diseases'!D2:D4303,0))),"")</f>
        <v>5049226</v>
      </c>
      <c r="F781" s="23" cm="1">
        <f t="array" ref="F781">_xlfn.IFERROR(IF(E781="","",D781/E781*100000),"")</f>
        <v>72.8626526124994</v>
      </c>
    </row>
    <row r="782" ht="13.65" customHeight="1">
      <c r="A782" t="s" s="26">
        <v>36</v>
      </c>
      <c r="B782" t="s" s="21">
        <v>65</v>
      </c>
      <c r="C782" t="s" s="21">
        <v>53</v>
      </c>
      <c r="D782" s="22" cm="1">
        <f t="array" ref="D782">_xlfn.SUMIFS('Diseases'!F2:F4303,'Diseases'!B2:B4303,A782,'Diseases'!C2:C4303,B782,'Diseases'!D2:D4303,C782)</f>
        <v>2395</v>
      </c>
      <c r="E782" s="22" cm="1">
        <f t="array" ref="E782">_xlfn.IFERROR(IF(INDEX('Diseases'!G2:G4303,MATCH(C782,'Diseases'!D2:D4303,0))="","",INDEX('Diseases'!G2:G4303,MATCH(C782,'Diseases'!D2:D4303,0))),"")</f>
        <v>5049226</v>
      </c>
      <c r="F782" s="23" cm="1">
        <f t="array" ref="F782">_xlfn.IFERROR(IF(E782="","",D782/E782*100000),"")</f>
        <v>47.433012505283</v>
      </c>
    </row>
    <row r="783" ht="13.65" customHeight="1">
      <c r="A783" t="s" s="28">
        <v>41</v>
      </c>
      <c r="B783" t="s" s="21">
        <v>65</v>
      </c>
      <c r="C783" t="s" s="21">
        <v>53</v>
      </c>
      <c r="D783" s="22" cm="1">
        <f t="array" ref="D783">_xlfn.SUMIFS('Diseases'!F2:F4303,'Diseases'!B2:B4303,A783,'Diseases'!C2:C4303,B783,'Diseases'!D2:D4303,C783)</f>
        <v>2129</v>
      </c>
      <c r="E783" s="22" cm="1">
        <f t="array" ref="E783">_xlfn.IFERROR(IF(INDEX('Diseases'!G2:G4303,MATCH(C783,'Diseases'!D2:D4303,0))="","",INDEX('Diseases'!G2:G4303,MATCH(C783,'Diseases'!D2:D4303,0))),"")</f>
        <v>5049226</v>
      </c>
      <c r="F783" s="23" cm="1">
        <f t="array" ref="F783">_xlfn.IFERROR(IF(E783="","",D783/E783*100000),"")</f>
        <v>42.1648783397693</v>
      </c>
    </row>
    <row r="784" ht="13.65" customHeight="1">
      <c r="A784" t="s" s="29">
        <v>39</v>
      </c>
      <c r="B784" t="s" s="21">
        <v>65</v>
      </c>
      <c r="C784" t="s" s="21">
        <v>53</v>
      </c>
      <c r="D784" s="22" cm="1">
        <f t="array" ref="D784">_xlfn.SUMIFS('Diseases'!F2:F4303,'Diseases'!B2:B4303,A784,'Diseases'!C2:C4303,B784,'Diseases'!D2:D4303,C784)</f>
        <v>2041</v>
      </c>
      <c r="E784" s="22" cm="1">
        <f t="array" ref="E784">_xlfn.IFERROR(IF(INDEX('Diseases'!G2:G4303,MATCH(C784,'Diseases'!D2:D4303,0))="","",INDEX('Diseases'!G2:G4303,MATCH(C784,'Diseases'!D2:D4303,0))),"")</f>
        <v>5049226</v>
      </c>
      <c r="F784" s="23" cm="1">
        <f t="array" ref="F784">_xlfn.IFERROR(IF(E784="","",D784/E784*100000),"")</f>
        <v>40.4220369617046</v>
      </c>
    </row>
    <row r="785" ht="13.65" customHeight="1">
      <c r="A785" t="s" s="20">
        <v>30</v>
      </c>
      <c r="B785" t="s" s="21">
        <v>66</v>
      </c>
      <c r="C785" t="s" s="21">
        <v>53</v>
      </c>
      <c r="D785" s="22" cm="1">
        <f t="array" ref="D785">_xlfn.SUMIFS('Diseases'!F2:F4303,'Diseases'!B2:B4303,A785,'Diseases'!C2:C4303,B785,'Diseases'!D2:D4303,C785)</f>
        <v>14368</v>
      </c>
      <c r="E785" s="22" cm="1">
        <f t="array" ref="E785">_xlfn.IFERROR(IF(INDEX('Diseases'!G2:G4303,MATCH(C785,'Diseases'!D2:D4303,0))="","",INDEX('Diseases'!G2:G4303,MATCH(C785,'Diseases'!D2:D4303,0))),"")</f>
        <v>5049226</v>
      </c>
      <c r="F785" s="23" cm="1">
        <f t="array" ref="F785">_xlfn.IFERROR(IF(E785="","",D785/E785*100000),"")</f>
        <v>284.558465000378</v>
      </c>
    </row>
    <row r="786" ht="13.65" customHeight="1">
      <c r="A786" t="s" s="24">
        <v>34</v>
      </c>
      <c r="B786" t="s" s="21">
        <v>66</v>
      </c>
      <c r="C786" t="s" s="21">
        <v>53</v>
      </c>
      <c r="D786" s="22" cm="1">
        <f t="array" ref="D786">_xlfn.SUMIFS('Diseases'!F2:F4303,'Diseases'!B2:B4303,A786,'Diseases'!C2:C4303,B786,'Diseases'!D2:D4303,C786)</f>
        <v>5816</v>
      </c>
      <c r="E786" s="22" cm="1">
        <f t="array" ref="E786">_xlfn.IFERROR(IF(INDEX('Diseases'!G2:G4303,MATCH(C786,'Diseases'!D2:D4303,0))="","",INDEX('Diseases'!G2:G4303,MATCH(C786,'Diseases'!D2:D4303,0))),"")</f>
        <v>5049226</v>
      </c>
      <c r="F786" s="23" cm="1">
        <f t="array" ref="F786">_xlfn.IFERROR(IF(E786="","",D786/E786*100000),"")</f>
        <v>115.185971077547</v>
      </c>
    </row>
    <row r="787" ht="13.65" customHeight="1">
      <c r="A787" t="s" s="25">
        <v>35</v>
      </c>
      <c r="B787" t="s" s="21">
        <v>66</v>
      </c>
      <c r="C787" t="s" s="21">
        <v>53</v>
      </c>
      <c r="D787" s="22" cm="1">
        <f t="array" ref="D787">_xlfn.SUMIFS('Diseases'!F2:F4303,'Diseases'!B2:B4303,A787,'Diseases'!C2:C4303,B787,'Diseases'!D2:D4303,C787)</f>
        <v>4579</v>
      </c>
      <c r="E787" s="22" cm="1">
        <f t="array" ref="E787">_xlfn.IFERROR(IF(INDEX('Diseases'!G2:G4303,MATCH(C787,'Diseases'!D2:D4303,0))="","",INDEX('Diseases'!G2:G4303,MATCH(C787,'Diseases'!D2:D4303,0))),"")</f>
        <v>5049226</v>
      </c>
      <c r="F787" s="23" cm="1">
        <f t="array" ref="F787">_xlfn.IFERROR(IF(E787="","",D787/E787*100000),"")</f>
        <v>90.68716670634269</v>
      </c>
    </row>
    <row r="788" ht="13.65" customHeight="1">
      <c r="A788" t="s" s="26">
        <v>36</v>
      </c>
      <c r="B788" t="s" s="21">
        <v>66</v>
      </c>
      <c r="C788" t="s" s="21">
        <v>53</v>
      </c>
      <c r="D788" s="22" cm="1">
        <f t="array" ref="D788">_xlfn.SUMIFS('Diseases'!F2:F4303,'Diseases'!B2:B4303,A788,'Diseases'!C2:C4303,B788,'Diseases'!D2:D4303,C788)</f>
        <v>2653</v>
      </c>
      <c r="E788" s="22" cm="1">
        <f t="array" ref="E788">_xlfn.IFERROR(IF(INDEX('Diseases'!G2:G4303,MATCH(C788,'Diseases'!D2:D4303,0))="","",INDEX('Diseases'!G2:G4303,MATCH(C788,'Diseases'!D2:D4303,0))),"")</f>
        <v>5049226</v>
      </c>
      <c r="F788" s="23" cm="1">
        <f t="array" ref="F788">_xlfn.IFERROR(IF(E788="","",D788/E788*100000),"")</f>
        <v>52.5427065455181</v>
      </c>
    </row>
    <row r="789" ht="13.65" customHeight="1">
      <c r="A789" t="s" s="29">
        <v>39</v>
      </c>
      <c r="B789" t="s" s="21">
        <v>66</v>
      </c>
      <c r="C789" t="s" s="21">
        <v>53</v>
      </c>
      <c r="D789" s="22" cm="1">
        <f t="array" ref="D789">_xlfn.SUMIFS('Diseases'!F2:F4303,'Diseases'!B2:B4303,A789,'Diseases'!C2:C4303,B789,'Diseases'!D2:D4303,C789)</f>
        <v>1970</v>
      </c>
      <c r="E789" s="22" cm="1">
        <f t="array" ref="E789">_xlfn.IFERROR(IF(INDEX('Diseases'!G2:G4303,MATCH(C789,'Diseases'!D2:D4303,0))="","",INDEX('Diseases'!G2:G4303,MATCH(C789,'Diseases'!D2:D4303,0))),"")</f>
        <v>5049226</v>
      </c>
      <c r="F789" s="23" cm="1">
        <f t="array" ref="F789">_xlfn.IFERROR(IF(E789="","",D789/E789*100000),"")</f>
        <v>39.015880849857</v>
      </c>
    </row>
    <row r="790" ht="13.65" customHeight="1">
      <c r="A790" t="s" s="28">
        <v>41</v>
      </c>
      <c r="B790" t="s" s="21">
        <v>66</v>
      </c>
      <c r="C790" t="s" s="21">
        <v>53</v>
      </c>
      <c r="D790" s="22" cm="1">
        <f t="array" ref="D790">_xlfn.SUMIFS('Diseases'!F2:F4303,'Diseases'!B2:B4303,A790,'Diseases'!C2:C4303,B790,'Diseases'!D2:D4303,C790)</f>
        <v>1129</v>
      </c>
      <c r="E790" s="22" cm="1">
        <f t="array" ref="E790">_xlfn.IFERROR(IF(INDEX('Diseases'!G2:G4303,MATCH(C790,'Diseases'!D2:D4303,0))="","",INDEX('Diseases'!G2:G4303,MATCH(C790,'Diseases'!D2:D4303,0))),"")</f>
        <v>5049226</v>
      </c>
      <c r="F790" s="23" cm="1">
        <f t="array" ref="F790">_xlfn.IFERROR(IF(E790="","",D790/E790*100000),"")</f>
        <v>22.3598626799434</v>
      </c>
    </row>
    <row r="791" ht="13.65" customHeight="1">
      <c r="A791" t="s" s="20">
        <v>30</v>
      </c>
      <c r="B791" t="s" s="21">
        <v>67</v>
      </c>
      <c r="C791" t="s" s="21">
        <v>53</v>
      </c>
      <c r="D791" s="22" cm="1">
        <f t="array" ref="D791">_xlfn.SUMIFS('Diseases'!F2:F4303,'Diseases'!B2:B4303,A791,'Diseases'!C2:C4303,B791,'Diseases'!D2:D4303,C791)</f>
        <v>16121</v>
      </c>
      <c r="E791" s="22" cm="1">
        <f t="array" ref="E791">_xlfn.IFERROR(IF(INDEX('Diseases'!G2:G4303,MATCH(C791,'Diseases'!D2:D4303,0))="","",INDEX('Diseases'!G2:G4303,MATCH(C791,'Diseases'!D2:D4303,0))),"")</f>
        <v>5049226</v>
      </c>
      <c r="F791" s="23" cm="1">
        <f t="array" ref="F791">_xlfn.IFERROR(IF(E791="","",D791/E791*100000),"")</f>
        <v>319.276657452053</v>
      </c>
    </row>
    <row r="792" ht="13.65" customHeight="1">
      <c r="A792" t="s" s="24">
        <v>34</v>
      </c>
      <c r="B792" t="s" s="21">
        <v>67</v>
      </c>
      <c r="C792" t="s" s="21">
        <v>53</v>
      </c>
      <c r="D792" s="22" cm="1">
        <f t="array" ref="D792">_xlfn.SUMIFS('Diseases'!F2:F4303,'Diseases'!B2:B4303,A792,'Diseases'!C2:C4303,B792,'Diseases'!D2:D4303,C792)</f>
        <v>5626</v>
      </c>
      <c r="E792" s="22" cm="1">
        <f t="array" ref="E792">_xlfn.IFERROR(IF(INDEX('Diseases'!G2:G4303,MATCH(C792,'Diseases'!D2:D4303,0))="","",INDEX('Diseases'!G2:G4303,MATCH(C792,'Diseases'!D2:D4303,0))),"")</f>
        <v>5049226</v>
      </c>
      <c r="F792" s="23" cm="1">
        <f t="array" ref="F792">_xlfn.IFERROR(IF(E792="","",D792/E792*100000),"")</f>
        <v>111.423018102180</v>
      </c>
    </row>
    <row r="793" ht="13.65" customHeight="1">
      <c r="A793" t="s" s="25">
        <v>35</v>
      </c>
      <c r="B793" t="s" s="21">
        <v>67</v>
      </c>
      <c r="C793" t="s" s="21">
        <v>53</v>
      </c>
      <c r="D793" s="22" cm="1">
        <f t="array" ref="D793">_xlfn.SUMIFS('Diseases'!F2:F4303,'Diseases'!B2:B4303,A793,'Diseases'!C2:C4303,B793,'Diseases'!D2:D4303,C793)</f>
        <v>5212</v>
      </c>
      <c r="E793" s="22" cm="1">
        <f t="array" ref="E793">_xlfn.IFERROR(IF(INDEX('Diseases'!G2:G4303,MATCH(C793,'Diseases'!D2:D4303,0))="","",INDEX('Diseases'!G2:G4303,MATCH(C793,'Diseases'!D2:D4303,0))),"")</f>
        <v>5049226</v>
      </c>
      <c r="F793" s="23" cm="1">
        <f t="array" ref="F793">_xlfn.IFERROR(IF(E793="","",D793/E793*100000),"")</f>
        <v>103.223741619012</v>
      </c>
    </row>
    <row r="794" ht="13.65" customHeight="1">
      <c r="A794" t="s" s="26">
        <v>36</v>
      </c>
      <c r="B794" t="s" s="21">
        <v>67</v>
      </c>
      <c r="C794" t="s" s="21">
        <v>53</v>
      </c>
      <c r="D794" s="22" cm="1">
        <f t="array" ref="D794">_xlfn.SUMIFS('Diseases'!F2:F4303,'Diseases'!B2:B4303,A794,'Diseases'!C2:C4303,B794,'Diseases'!D2:D4303,C794)</f>
        <v>2442</v>
      </c>
      <c r="E794" s="22" cm="1">
        <f t="array" ref="E794">_xlfn.IFERROR(IF(INDEX('Diseases'!G2:G4303,MATCH(C794,'Diseases'!D2:D4303,0))="","",INDEX('Diseases'!G2:G4303,MATCH(C794,'Diseases'!D2:D4303,0))),"")</f>
        <v>5049226</v>
      </c>
      <c r="F794" s="23" cm="1">
        <f t="array" ref="F794">_xlfn.IFERROR(IF(E794="","",D794/E794*100000),"")</f>
        <v>48.3638482412948</v>
      </c>
    </row>
    <row r="795" ht="13.65" customHeight="1">
      <c r="A795" t="s" s="29">
        <v>39</v>
      </c>
      <c r="B795" t="s" s="21">
        <v>67</v>
      </c>
      <c r="C795" t="s" s="21">
        <v>53</v>
      </c>
      <c r="D795" s="22" cm="1">
        <f t="array" ref="D795">_xlfn.SUMIFS('Diseases'!F2:F4303,'Diseases'!B2:B4303,A795,'Diseases'!C2:C4303,B795,'Diseases'!D2:D4303,C795)</f>
        <v>2105</v>
      </c>
      <c r="E795" s="22" cm="1">
        <f t="array" ref="E795">_xlfn.IFERROR(IF(INDEX('Diseases'!G2:G4303,MATCH(C795,'Diseases'!D2:D4303,0))="","",INDEX('Diseases'!G2:G4303,MATCH(C795,'Diseases'!D2:D4303,0))),"")</f>
        <v>5049226</v>
      </c>
      <c r="F795" s="23" cm="1">
        <f t="array" ref="F795">_xlfn.IFERROR(IF(E795="","",D795/E795*100000),"")</f>
        <v>41.6895579639335</v>
      </c>
    </row>
    <row r="796" ht="13.65" customHeight="1">
      <c r="A796" t="s" s="28">
        <v>41</v>
      </c>
      <c r="B796" t="s" s="21">
        <v>67</v>
      </c>
      <c r="C796" t="s" s="21">
        <v>53</v>
      </c>
      <c r="D796" s="22" cm="1">
        <f t="array" ref="D796">_xlfn.SUMIFS('Diseases'!F2:F4303,'Diseases'!B2:B4303,A796,'Diseases'!C2:C4303,B796,'Diseases'!D2:D4303,C796)</f>
        <v>956</v>
      </c>
      <c r="E796" s="22" cm="1">
        <f t="array" ref="E796">_xlfn.IFERROR(IF(INDEX('Diseases'!G2:G4303,MATCH(C796,'Diseases'!D2:D4303,0))="","",INDEX('Diseases'!G2:G4303,MATCH(C796,'Diseases'!D2:D4303,0))),"")</f>
        <v>5049226</v>
      </c>
      <c r="F796" s="23" cm="1">
        <f t="array" ref="F796">_xlfn.IFERROR(IF(E796="","",D796/E796*100000),"")</f>
        <v>18.9335949707935</v>
      </c>
    </row>
    <row r="797" ht="13.65" customHeight="1">
      <c r="A797" t="s" s="20">
        <v>30</v>
      </c>
      <c r="B797" t="s" s="21">
        <v>68</v>
      </c>
      <c r="C797" t="s" s="21">
        <v>53</v>
      </c>
      <c r="D797" s="22" cm="1">
        <f t="array" ref="D797">_xlfn.SUMIFS('Diseases'!F2:F4303,'Diseases'!B2:B4303,A797,'Diseases'!C2:C4303,B797,'Diseases'!D2:D4303,C797)</f>
        <v>18858</v>
      </c>
      <c r="E797" s="22" cm="1">
        <f t="array" ref="E797">_xlfn.IFERROR(IF(INDEX('Diseases'!G2:G4303,MATCH(C797,'Diseases'!D2:D4303,0))="","",INDEX('Diseases'!G2:G4303,MATCH(C797,'Diseases'!D2:D4303,0))),"")</f>
        <v>5049226</v>
      </c>
      <c r="F797" s="23" cm="1">
        <f t="array" ref="F797">_xlfn.IFERROR(IF(E797="","",D797/E797*100000),"")</f>
        <v>373.482985312996</v>
      </c>
    </row>
    <row r="798" ht="13.65" customHeight="1">
      <c r="A798" t="s" s="25">
        <v>35</v>
      </c>
      <c r="B798" t="s" s="21">
        <v>68</v>
      </c>
      <c r="C798" t="s" s="21">
        <v>53</v>
      </c>
      <c r="D798" s="22" cm="1">
        <f t="array" ref="D798">_xlfn.SUMIFS('Diseases'!F2:F4303,'Diseases'!B2:B4303,A798,'Diseases'!C2:C4303,B798,'Diseases'!D2:D4303,C798)</f>
        <v>6539</v>
      </c>
      <c r="E798" s="22" cm="1">
        <f t="array" ref="E798">_xlfn.IFERROR(IF(INDEX('Diseases'!G2:G4303,MATCH(C798,'Diseases'!D2:D4303,0))="","",INDEX('Diseases'!G2:G4303,MATCH(C798,'Diseases'!D2:D4303,0))),"")</f>
        <v>5049226</v>
      </c>
      <c r="F798" s="23" cm="1">
        <f t="array" ref="F798">_xlfn.IFERROR(IF(E798="","",D798/E798*100000),"")</f>
        <v>129.504997399601</v>
      </c>
    </row>
    <row r="799" ht="13.65" customHeight="1">
      <c r="A799" t="s" s="24">
        <v>34</v>
      </c>
      <c r="B799" t="s" s="21">
        <v>68</v>
      </c>
      <c r="C799" t="s" s="21">
        <v>53</v>
      </c>
      <c r="D799" s="22" cm="1">
        <f t="array" ref="D799">_xlfn.SUMIFS('Diseases'!F2:F4303,'Diseases'!B2:B4303,A799,'Diseases'!C2:C4303,B799,'Diseases'!D2:D4303,C799)</f>
        <v>6106</v>
      </c>
      <c r="E799" s="22" cm="1">
        <f t="array" ref="E799">_xlfn.IFERROR(IF(INDEX('Diseases'!G2:G4303,MATCH(C799,'Diseases'!D2:D4303,0))="","",INDEX('Diseases'!G2:G4303,MATCH(C799,'Diseases'!D2:D4303,0))),"")</f>
        <v>5049226</v>
      </c>
      <c r="F799" s="23" cm="1">
        <f t="array" ref="F799">_xlfn.IFERROR(IF(E799="","",D799/E799*100000),"")</f>
        <v>120.929425618897</v>
      </c>
    </row>
    <row r="800" ht="13.65" customHeight="1">
      <c r="A800" t="s" s="26">
        <v>36</v>
      </c>
      <c r="B800" t="s" s="21">
        <v>68</v>
      </c>
      <c r="C800" t="s" s="21">
        <v>53</v>
      </c>
      <c r="D800" s="22" cm="1">
        <f t="array" ref="D800">_xlfn.SUMIFS('Diseases'!F2:F4303,'Diseases'!B2:B4303,A800,'Diseases'!C2:C4303,B800,'Diseases'!D2:D4303,C800)</f>
        <v>2515</v>
      </c>
      <c r="E800" s="22" cm="1">
        <f t="array" ref="E800">_xlfn.IFERROR(IF(INDEX('Diseases'!G2:G4303,MATCH(C800,'Diseases'!D2:D4303,0))="","",INDEX('Diseases'!G2:G4303,MATCH(C800,'Diseases'!D2:D4303,0))),"")</f>
        <v>5049226</v>
      </c>
      <c r="F800" s="23" cm="1">
        <f t="array" ref="F800">_xlfn.IFERROR(IF(E800="","",D800/E800*100000),"")</f>
        <v>49.8096143844621</v>
      </c>
    </row>
    <row r="801" ht="13.65" customHeight="1">
      <c r="A801" t="s" s="29">
        <v>39</v>
      </c>
      <c r="B801" t="s" s="21">
        <v>68</v>
      </c>
      <c r="C801" t="s" s="21">
        <v>53</v>
      </c>
      <c r="D801" s="22" cm="1">
        <f t="array" ref="D801">_xlfn.SUMIFS('Diseases'!F2:F4303,'Diseases'!B2:B4303,A801,'Diseases'!C2:C4303,B801,'Diseases'!D2:D4303,C801)</f>
        <v>2012</v>
      </c>
      <c r="E801" s="22" cm="1">
        <f t="array" ref="E801">_xlfn.IFERROR(IF(INDEX('Diseases'!G2:G4303,MATCH(C801,'Diseases'!D2:D4303,0))="","",INDEX('Diseases'!G2:G4303,MATCH(C801,'Diseases'!D2:D4303,0))),"")</f>
        <v>5049226</v>
      </c>
      <c r="F801" s="23" cm="1">
        <f t="array" ref="F801">_xlfn.IFERROR(IF(E801="","",D801/E801*100000),"")</f>
        <v>39.8476915075697</v>
      </c>
    </row>
    <row r="802" ht="13.65" customHeight="1">
      <c r="A802" t="s" s="28">
        <v>41</v>
      </c>
      <c r="B802" t="s" s="21">
        <v>68</v>
      </c>
      <c r="C802" t="s" s="21">
        <v>53</v>
      </c>
      <c r="D802" s="22" cm="1">
        <f t="array" ref="D802">_xlfn.SUMIFS('Diseases'!F2:F4303,'Diseases'!B2:B4303,A802,'Diseases'!C2:C4303,B802,'Diseases'!D2:D4303,C802)</f>
        <v>1277</v>
      </c>
      <c r="E802" s="22" cm="1">
        <f t="array" ref="E802">_xlfn.IFERROR(IF(INDEX('Diseases'!G2:G4303,MATCH(C802,'Diseases'!D2:D4303,0))="","",INDEX('Diseases'!G2:G4303,MATCH(C802,'Diseases'!D2:D4303,0))),"")</f>
        <v>5049226</v>
      </c>
      <c r="F802" s="23" cm="1">
        <f t="array" ref="F802">_xlfn.IFERROR(IF(E802="","",D802/E802*100000),"")</f>
        <v>25.2910049975977</v>
      </c>
    </row>
    <row r="803" ht="13.65" customHeight="1">
      <c r="A803" t="s" s="20">
        <v>30</v>
      </c>
      <c r="B803" t="s" s="21">
        <v>69</v>
      </c>
      <c r="C803" t="s" s="21">
        <v>53</v>
      </c>
      <c r="D803" s="22" cm="1">
        <f t="array" ref="D803">_xlfn.SUMIFS('Diseases'!F2:F4303,'Diseases'!B2:B4303,A803,'Diseases'!C2:C4303,B803,'Diseases'!D2:D4303,C803)</f>
        <v>19546</v>
      </c>
      <c r="E803" s="22" cm="1">
        <f t="array" ref="E803">_xlfn.IFERROR(IF(INDEX('Diseases'!G2:G4303,MATCH(C803,'Diseases'!D2:D4303,0))="","",INDEX('Diseases'!G2:G4303,MATCH(C803,'Diseases'!D2:D4303,0))),"")</f>
        <v>5049226</v>
      </c>
      <c r="F803" s="23" cm="1">
        <f t="array" ref="F803">_xlfn.IFERROR(IF(E803="","",D803/E803*100000),"")</f>
        <v>387.108836086957</v>
      </c>
    </row>
    <row r="804" ht="13.65" customHeight="1">
      <c r="A804" t="s" s="24">
        <v>34</v>
      </c>
      <c r="B804" t="s" s="21">
        <v>69</v>
      </c>
      <c r="C804" t="s" s="21">
        <v>53</v>
      </c>
      <c r="D804" s="22" cm="1">
        <f t="array" ref="D804">_xlfn.SUMIFS('Diseases'!F2:F4303,'Diseases'!B2:B4303,A804,'Diseases'!C2:C4303,B804,'Diseases'!D2:D4303,C804)</f>
        <v>5436</v>
      </c>
      <c r="E804" s="22" cm="1">
        <f t="array" ref="E804">_xlfn.IFERROR(IF(INDEX('Diseases'!G2:G4303,MATCH(C804,'Diseases'!D2:D4303,0))="","",INDEX('Diseases'!G2:G4303,MATCH(C804,'Diseases'!D2:D4303,0))),"")</f>
        <v>5049226</v>
      </c>
      <c r="F804" s="23" cm="1">
        <f t="array" ref="F804">_xlfn.IFERROR(IF(E804="","",D804/E804*100000),"")</f>
        <v>107.660065126813</v>
      </c>
    </row>
    <row r="805" ht="13.65" customHeight="1">
      <c r="A805" t="s" s="25">
        <v>35</v>
      </c>
      <c r="B805" t="s" s="21">
        <v>69</v>
      </c>
      <c r="C805" t="s" s="21">
        <v>53</v>
      </c>
      <c r="D805" s="22" cm="1">
        <f t="array" ref="D805">_xlfn.SUMIFS('Diseases'!F2:F4303,'Diseases'!B2:B4303,A805,'Diseases'!C2:C4303,B805,'Diseases'!D2:D4303,C805)</f>
        <v>4618</v>
      </c>
      <c r="E805" s="22" cm="1">
        <f t="array" ref="E805">_xlfn.IFERROR(IF(INDEX('Diseases'!G2:G4303,MATCH(C805,'Diseases'!D2:D4303,0))="","",INDEX('Diseases'!G2:G4303,MATCH(C805,'Diseases'!D2:D4303,0))),"")</f>
        <v>5049226</v>
      </c>
      <c r="F805" s="23" cm="1">
        <f t="array" ref="F805">_xlfn.IFERROR(IF(E805="","",D805/E805*100000),"")</f>
        <v>91.45956231707591</v>
      </c>
    </row>
    <row r="806" ht="13.65" customHeight="1">
      <c r="A806" t="s" s="26">
        <v>36</v>
      </c>
      <c r="B806" t="s" s="21">
        <v>69</v>
      </c>
      <c r="C806" t="s" s="21">
        <v>53</v>
      </c>
      <c r="D806" s="22" cm="1">
        <f t="array" ref="D806">_xlfn.SUMIFS('Diseases'!F2:F4303,'Diseases'!B2:B4303,A806,'Diseases'!C2:C4303,B806,'Diseases'!D2:D4303,C806)</f>
        <v>2563</v>
      </c>
      <c r="E806" s="22" cm="1">
        <f t="array" ref="E806">_xlfn.IFERROR(IF(INDEX('Diseases'!G2:G4303,MATCH(C806,'Diseases'!D2:D4303,0))="","",INDEX('Diseases'!G2:G4303,MATCH(C806,'Diseases'!D2:D4303,0))),"")</f>
        <v>5049226</v>
      </c>
      <c r="F806" s="23" cm="1">
        <f t="array" ref="F806">_xlfn.IFERROR(IF(E806="","",D806/E806*100000),"")</f>
        <v>50.7602551361337</v>
      </c>
    </row>
    <row r="807" ht="13.65" customHeight="1">
      <c r="A807" t="s" s="29">
        <v>39</v>
      </c>
      <c r="B807" t="s" s="21">
        <v>69</v>
      </c>
      <c r="C807" t="s" s="21">
        <v>53</v>
      </c>
      <c r="D807" s="22" cm="1">
        <f t="array" ref="D807">_xlfn.SUMIFS('Diseases'!F2:F4303,'Diseases'!B2:B4303,A807,'Diseases'!C2:C4303,B807,'Diseases'!D2:D4303,C807)</f>
        <v>1847</v>
      </c>
      <c r="E807" s="22" cm="1">
        <f t="array" ref="E807">_xlfn.IFERROR(IF(INDEX('Diseases'!G2:G4303,MATCH(C807,'Diseases'!D2:D4303,0))="","",INDEX('Diseases'!G2:G4303,MATCH(C807,'Diseases'!D2:D4303,0))),"")</f>
        <v>5049226</v>
      </c>
      <c r="F807" s="23" cm="1">
        <f t="array" ref="F807">_xlfn.IFERROR(IF(E807="","",D807/E807*100000),"")</f>
        <v>36.5798639236984</v>
      </c>
    </row>
    <row r="808" ht="13.65" customHeight="1">
      <c r="A808" t="s" s="28">
        <v>41</v>
      </c>
      <c r="B808" t="s" s="21">
        <v>69</v>
      </c>
      <c r="C808" t="s" s="21">
        <v>53</v>
      </c>
      <c r="D808" s="22" cm="1">
        <f t="array" ref="D808">_xlfn.SUMIFS('Diseases'!F2:F4303,'Diseases'!B2:B4303,A808,'Diseases'!C2:C4303,B808,'Diseases'!D2:D4303,C808)</f>
        <v>1032</v>
      </c>
      <c r="E808" s="22" cm="1">
        <f t="array" ref="E808">_xlfn.IFERROR(IF(INDEX('Diseases'!G2:G4303,MATCH(C808,'Diseases'!D2:D4303,0))="","",INDEX('Diseases'!G2:G4303,MATCH(C808,'Diseases'!D2:D4303,0))),"")</f>
        <v>5049226</v>
      </c>
      <c r="F808" s="23" cm="1">
        <f t="array" ref="F808">_xlfn.IFERROR(IF(E808="","",D808/E808*100000),"")</f>
        <v>20.4387761609403</v>
      </c>
    </row>
    <row r="809" ht="13.65" customHeight="1">
      <c r="A809" t="s" s="20">
        <v>30</v>
      </c>
      <c r="B809" t="s" s="21">
        <v>70</v>
      </c>
      <c r="C809" t="s" s="21">
        <v>53</v>
      </c>
      <c r="D809" s="22" cm="1">
        <f t="array" ref="D809">_xlfn.SUMIFS('Diseases'!F2:F4303,'Diseases'!B2:B4303,A809,'Diseases'!C2:C4303,B809,'Diseases'!D2:D4303,C809)</f>
        <v>15159</v>
      </c>
      <c r="E809" s="22" cm="1">
        <f t="array" ref="E809">_xlfn.IFERROR(IF(INDEX('Diseases'!G2:G4303,MATCH(C809,'Diseases'!D2:D4303,0))="","",INDEX('Diseases'!G2:G4303,MATCH(C809,'Diseases'!D2:D4303,0))),"")</f>
        <v>5049226</v>
      </c>
      <c r="F809" s="23" cm="1">
        <f t="array" ref="F809">_xlfn.IFERROR(IF(E809="","",D809/E809*100000),"")</f>
        <v>300.224232387301</v>
      </c>
    </row>
    <row r="810" ht="13.65" customHeight="1">
      <c r="A810" t="s" s="25">
        <v>35</v>
      </c>
      <c r="B810" t="s" s="21">
        <v>70</v>
      </c>
      <c r="C810" t="s" s="21">
        <v>53</v>
      </c>
      <c r="D810" s="22" cm="1">
        <f t="array" ref="D810">_xlfn.SUMIFS('Diseases'!F2:F4303,'Diseases'!B2:B4303,A810,'Diseases'!C2:C4303,B810,'Diseases'!D2:D4303,C810)</f>
        <v>4647</v>
      </c>
      <c r="E810" s="22" cm="1">
        <f t="array" ref="E810">_xlfn.IFERROR(IF(INDEX('Diseases'!G2:G4303,MATCH(C810,'Diseases'!D2:D4303,0))="","",INDEX('Diseases'!G2:G4303,MATCH(C810,'Diseases'!D2:D4303,0))),"")</f>
        <v>5049226</v>
      </c>
      <c r="F810" s="23" cm="1">
        <f t="array" ref="F810">_xlfn.IFERROR(IF(E810="","",D810/E810*100000),"")</f>
        <v>92.03390777121091</v>
      </c>
    </row>
    <row r="811" ht="13.65" customHeight="1">
      <c r="A811" t="s" s="24">
        <v>34</v>
      </c>
      <c r="B811" t="s" s="21">
        <v>70</v>
      </c>
      <c r="C811" t="s" s="21">
        <v>53</v>
      </c>
      <c r="D811" s="22" cm="1">
        <f t="array" ref="D811">_xlfn.SUMIFS('Diseases'!F2:F4303,'Diseases'!B2:B4303,A811,'Diseases'!C2:C4303,B811,'Diseases'!D2:D4303,C811)</f>
        <v>4599</v>
      </c>
      <c r="E811" s="22" cm="1">
        <f t="array" ref="E811">_xlfn.IFERROR(IF(INDEX('Diseases'!G2:G4303,MATCH(C811,'Diseases'!D2:D4303,0))="","",INDEX('Diseases'!G2:G4303,MATCH(C811,'Diseases'!D2:D4303,0))),"")</f>
        <v>5049226</v>
      </c>
      <c r="F811" s="23" cm="1">
        <f t="array" ref="F811">_xlfn.IFERROR(IF(E811="","",D811/E811*100000),"")</f>
        <v>91.08326701953921</v>
      </c>
    </row>
    <row r="812" ht="13.65" customHeight="1">
      <c r="A812" t="s" s="29">
        <v>39</v>
      </c>
      <c r="B812" t="s" s="21">
        <v>70</v>
      </c>
      <c r="C812" t="s" s="21">
        <v>53</v>
      </c>
      <c r="D812" s="22" cm="1">
        <f t="array" ref="D812">_xlfn.SUMIFS('Diseases'!F2:F4303,'Diseases'!B2:B4303,A812,'Diseases'!C2:C4303,B812,'Diseases'!D2:D4303,C812)</f>
        <v>1478</v>
      </c>
      <c r="E812" s="22" cm="1">
        <f t="array" ref="E812">_xlfn.IFERROR(IF(INDEX('Diseases'!G2:G4303,MATCH(C812,'Diseases'!D2:D4303,0))="","",INDEX('Diseases'!G2:G4303,MATCH(C812,'Diseases'!D2:D4303,0))),"")</f>
        <v>5049226</v>
      </c>
      <c r="F812" s="23" cm="1">
        <f t="array" ref="F812">_xlfn.IFERROR(IF(E812="","",D812/E812*100000),"")</f>
        <v>29.2718131452227</v>
      </c>
    </row>
    <row r="813" ht="13.65" customHeight="1">
      <c r="A813" t="s" s="26">
        <v>36</v>
      </c>
      <c r="B813" t="s" s="21">
        <v>70</v>
      </c>
      <c r="C813" t="s" s="21">
        <v>53</v>
      </c>
      <c r="D813" s="22" cm="1">
        <f t="array" ref="D813">_xlfn.SUMIFS('Diseases'!F2:F4303,'Diseases'!B2:B4303,A813,'Diseases'!C2:C4303,B813,'Diseases'!D2:D4303,C813)</f>
        <v>1102</v>
      </c>
      <c r="E813" s="22" cm="1">
        <f t="array" ref="E813">_xlfn.IFERROR(IF(INDEX('Diseases'!G2:G4303,MATCH(C813,'Diseases'!D2:D4303,0))="","",INDEX('Diseases'!G2:G4303,MATCH(C813,'Diseases'!D2:D4303,0))),"")</f>
        <v>5049226</v>
      </c>
      <c r="F813" s="23" cm="1">
        <f t="array" ref="F813">_xlfn.IFERROR(IF(E813="","",D813/E813*100000),"")</f>
        <v>21.8251272571281</v>
      </c>
    </row>
    <row r="814" ht="13.65" customHeight="1">
      <c r="A814" t="s" s="28">
        <v>41</v>
      </c>
      <c r="B814" t="s" s="21">
        <v>70</v>
      </c>
      <c r="C814" t="s" s="21">
        <v>53</v>
      </c>
      <c r="D814" s="22" cm="1">
        <f t="array" ref="D814">_xlfn.SUMIFS('Diseases'!F2:F4303,'Diseases'!B2:B4303,A814,'Diseases'!C2:C4303,B814,'Diseases'!D2:D4303,C814)</f>
        <v>900</v>
      </c>
      <c r="E814" s="22" cm="1">
        <f t="array" ref="E814">_xlfn.IFERROR(IF(INDEX('Diseases'!G2:G4303,MATCH(C814,'Diseases'!D2:D4303,0))="","",INDEX('Diseases'!G2:G4303,MATCH(C814,'Diseases'!D2:D4303,0))),"")</f>
        <v>5049226</v>
      </c>
      <c r="F814" s="23" cm="1">
        <f t="array" ref="F814">_xlfn.IFERROR(IF(E814="","",D814/E814*100000),"")</f>
        <v>17.8245140938433</v>
      </c>
    </row>
    <row r="815" ht="13.65" customHeight="1">
      <c r="A815" t="s" s="20">
        <v>30</v>
      </c>
      <c r="B815" t="s" s="21">
        <v>31</v>
      </c>
      <c r="C815" t="s" s="21">
        <v>54</v>
      </c>
      <c r="D815" s="22" cm="1">
        <f t="array" ref="D815">_xlfn.SUMIFS('Diseases'!F2:F4303,'Diseases'!B2:B4303,A815,'Diseases'!C2:C4303,B815,'Diseases'!D2:D4303,C815)</f>
        <v>11763</v>
      </c>
      <c r="E815" s="22" cm="1">
        <f t="array" ref="E815">_xlfn.IFERROR(IF(INDEX('Diseases'!G2:G4303,MATCH(C815,'Diseases'!D2:D4303,0))="","",INDEX('Diseases'!G2:G4303,MATCH(C815,'Diseases'!D2:D4303,0))),"")</f>
        <v>3901529</v>
      </c>
      <c r="F815" s="23" cm="1">
        <f t="array" ref="F815">_xlfn.IFERROR(IF(E815="","",D815/E815*100000),"")</f>
        <v>301.497182258545</v>
      </c>
    </row>
    <row r="816" ht="13.65" customHeight="1">
      <c r="A816" t="s" s="25">
        <v>35</v>
      </c>
      <c r="B816" t="s" s="21">
        <v>31</v>
      </c>
      <c r="C816" t="s" s="21">
        <v>54</v>
      </c>
      <c r="D816" s="22" cm="1">
        <f t="array" ref="D816">_xlfn.SUMIFS('Diseases'!F2:F4303,'Diseases'!B2:B4303,A816,'Diseases'!C2:C4303,B816,'Diseases'!D2:D4303,C816)</f>
        <v>6088</v>
      </c>
      <c r="E816" s="22" cm="1">
        <f t="array" ref="E816">_xlfn.IFERROR(IF(INDEX('Diseases'!G2:G4303,MATCH(C816,'Diseases'!D2:D4303,0))="","",INDEX('Diseases'!G2:G4303,MATCH(C816,'Diseases'!D2:D4303,0))),"")</f>
        <v>3901529</v>
      </c>
      <c r="F816" s="23" cm="1">
        <f t="array" ref="F816">_xlfn.IFERROR(IF(E816="","",D816/E816*100000),"")</f>
        <v>156.041387876394</v>
      </c>
    </row>
    <row r="817" ht="13.65" customHeight="1">
      <c r="A817" t="s" s="28">
        <v>41</v>
      </c>
      <c r="B817" t="s" s="21">
        <v>31</v>
      </c>
      <c r="C817" t="s" s="21">
        <v>54</v>
      </c>
      <c r="D817" s="22" cm="1">
        <f t="array" ref="D817">_xlfn.SUMIFS('Diseases'!F2:F4303,'Diseases'!B2:B4303,A817,'Diseases'!C2:C4303,B817,'Diseases'!D2:D4303,C817)</f>
        <v>2425</v>
      </c>
      <c r="E817" s="22" cm="1">
        <f t="array" ref="E817">_xlfn.IFERROR(IF(INDEX('Diseases'!G2:G4303,MATCH(C817,'Diseases'!D2:D4303,0))="","",INDEX('Diseases'!G2:G4303,MATCH(C817,'Diseases'!D2:D4303,0))),"")</f>
        <v>3901529</v>
      </c>
      <c r="F817" s="23" cm="1">
        <f t="array" ref="F817">_xlfn.IFERROR(IF(E817="","",D817/E817*100000),"")</f>
        <v>62.1551191853245</v>
      </c>
    </row>
    <row r="818" ht="13.65" customHeight="1">
      <c r="A818" t="s" s="24">
        <v>34</v>
      </c>
      <c r="B818" t="s" s="21">
        <v>31</v>
      </c>
      <c r="C818" t="s" s="21">
        <v>54</v>
      </c>
      <c r="D818" s="22" cm="1">
        <f t="array" ref="D818">_xlfn.SUMIFS('Diseases'!F2:F4303,'Diseases'!B2:B4303,A818,'Diseases'!C2:C4303,B818,'Diseases'!D2:D4303,C818)</f>
        <v>2318</v>
      </c>
      <c r="E818" s="22" cm="1">
        <f t="array" ref="E818">_xlfn.IFERROR(IF(INDEX('Diseases'!G2:G4303,MATCH(C818,'Diseases'!D2:D4303,0))="","",INDEX('Diseases'!G2:G4303,MATCH(C818,'Diseases'!D2:D4303,0))),"")</f>
        <v>3901529</v>
      </c>
      <c r="F818" s="23" cm="1">
        <f t="array" ref="F818">_xlfn.IFERROR(IF(E818="","",D818/E818*100000),"")</f>
        <v>59.4126046480752</v>
      </c>
    </row>
    <row r="819" ht="13.65" customHeight="1">
      <c r="A819" t="s" s="29">
        <v>39</v>
      </c>
      <c r="B819" t="s" s="21">
        <v>31</v>
      </c>
      <c r="C819" t="s" s="21">
        <v>54</v>
      </c>
      <c r="D819" s="22" cm="1">
        <f t="array" ref="D819">_xlfn.SUMIFS('Diseases'!F2:F4303,'Diseases'!B2:B4303,A819,'Diseases'!C2:C4303,B819,'Diseases'!D2:D4303,C819)</f>
        <v>1042</v>
      </c>
      <c r="E819" s="22" cm="1">
        <f t="array" ref="E819">_xlfn.IFERROR(IF(INDEX('Diseases'!G2:G4303,MATCH(C819,'Diseases'!D2:D4303,0))="","",INDEX('Diseases'!G2:G4303,MATCH(C819,'Diseases'!D2:D4303,0))),"")</f>
        <v>3901529</v>
      </c>
      <c r="F819" s="23" cm="1">
        <f t="array" ref="F819">_xlfn.IFERROR(IF(E819="","",D819/E819*100000),"")</f>
        <v>26.7074780169518</v>
      </c>
    </row>
    <row r="820" ht="13.65" customHeight="1">
      <c r="A820" t="s" s="30">
        <v>40</v>
      </c>
      <c r="B820" t="s" s="21">
        <v>31</v>
      </c>
      <c r="C820" t="s" s="21">
        <v>54</v>
      </c>
      <c r="D820" s="22" cm="1">
        <f t="array" ref="D820">_xlfn.SUMIFS('Diseases'!F2:F4303,'Diseases'!B2:B4303,A820,'Diseases'!C2:C4303,B820,'Diseases'!D2:D4303,C820)</f>
        <v>921</v>
      </c>
      <c r="E820" s="22" cm="1">
        <f t="array" ref="E820">_xlfn.IFERROR(IF(INDEX('Diseases'!G2:G4303,MATCH(C820,'Diseases'!D2:D4303,0))="","",INDEX('Diseases'!G2:G4303,MATCH(C820,'Diseases'!D2:D4303,0))),"")</f>
        <v>3901529</v>
      </c>
      <c r="F820" s="23" cm="1">
        <f t="array" ref="F820">_xlfn.IFERROR(IF(E820="","",D820/E820*100000),"")</f>
        <v>23.6061298019315</v>
      </c>
    </row>
    <row r="821" ht="13.65" customHeight="1">
      <c r="A821" t="s" s="31">
        <v>45</v>
      </c>
      <c r="B821" t="s" s="21">
        <v>31</v>
      </c>
      <c r="C821" t="s" s="21">
        <v>54</v>
      </c>
      <c r="D821" s="22" cm="1">
        <f t="array" ref="D821">_xlfn.SUMIFS('Diseases'!F2:F4303,'Diseases'!B2:B4303,A821,'Diseases'!C2:C4303,B821,'Diseases'!D2:D4303,C821)</f>
        <v>871</v>
      </c>
      <c r="E821" s="22" cm="1">
        <f t="array" ref="E821">_xlfn.IFERROR(IF(INDEX('Diseases'!G2:G4303,MATCH(C821,'Diseases'!D2:D4303,0))="","",INDEX('Diseases'!G2:G4303,MATCH(C821,'Diseases'!D2:D4303,0))),"")</f>
        <v>3901529</v>
      </c>
      <c r="F821" s="23" cm="1">
        <f t="array" ref="F821">_xlfn.IFERROR(IF(E821="","",D821/E821*100000),"")</f>
        <v>22.3245809527496</v>
      </c>
    </row>
    <row r="822" ht="13.65" customHeight="1">
      <c r="A822" t="s" s="20">
        <v>30</v>
      </c>
      <c r="B822" t="s" s="21">
        <v>60</v>
      </c>
      <c r="C822" t="s" s="21">
        <v>54</v>
      </c>
      <c r="D822" s="22" cm="1">
        <f t="array" ref="D822">_xlfn.SUMIFS('Diseases'!F2:F4303,'Diseases'!B2:B4303,A822,'Diseases'!C2:C4303,B822,'Diseases'!D2:D4303,C822)</f>
        <v>5839</v>
      </c>
      <c r="E822" s="22" cm="1">
        <f t="array" ref="E822">_xlfn.IFERROR(IF(INDEX('Diseases'!G2:G4303,MATCH(C822,'Diseases'!D2:D4303,0))="","",INDEX('Diseases'!G2:G4303,MATCH(C822,'Diseases'!D2:D4303,0))),"")</f>
        <v>3901529</v>
      </c>
      <c r="F822" s="23" cm="1">
        <f t="array" ref="F822">_xlfn.IFERROR(IF(E822="","",D822/E822*100000),"")</f>
        <v>149.659274607468</v>
      </c>
    </row>
    <row r="823" ht="13.65" customHeight="1">
      <c r="A823" t="s" s="25">
        <v>35</v>
      </c>
      <c r="B823" t="s" s="21">
        <v>60</v>
      </c>
      <c r="C823" t="s" s="21">
        <v>54</v>
      </c>
      <c r="D823" s="22" cm="1">
        <f t="array" ref="D823">_xlfn.SUMIFS('Diseases'!F2:F4303,'Diseases'!B2:B4303,A823,'Diseases'!C2:C4303,B823,'Diseases'!D2:D4303,C823)</f>
        <v>4072</v>
      </c>
      <c r="E823" s="22" cm="1">
        <f t="array" ref="E823">_xlfn.IFERROR(IF(INDEX('Diseases'!G2:G4303,MATCH(C823,'Diseases'!D2:D4303,0))="","",INDEX('Diseases'!G2:G4303,MATCH(C823,'Diseases'!D2:D4303,0))),"")</f>
        <v>3901529</v>
      </c>
      <c r="F823" s="23" cm="1">
        <f t="array" ref="F823">_xlfn.IFERROR(IF(E823="","",D823/E823*100000),"")</f>
        <v>104.369338277378</v>
      </c>
    </row>
    <row r="824" ht="13.65" customHeight="1">
      <c r="A824" t="s" s="24">
        <v>34</v>
      </c>
      <c r="B824" t="s" s="21">
        <v>60</v>
      </c>
      <c r="C824" t="s" s="21">
        <v>54</v>
      </c>
      <c r="D824" s="22" cm="1">
        <f t="array" ref="D824">_xlfn.SUMIFS('Diseases'!F2:F4303,'Diseases'!B2:B4303,A824,'Diseases'!C2:C4303,B824,'Diseases'!D2:D4303,C824)</f>
        <v>1443</v>
      </c>
      <c r="E824" s="22" cm="1">
        <f t="array" ref="E824">_xlfn.IFERROR(IF(INDEX('Diseases'!G2:G4303,MATCH(C824,'Diseases'!D2:D4303,0))="","",INDEX('Diseases'!G2:G4303,MATCH(C824,'Diseases'!D2:D4303,0))),"")</f>
        <v>3901529</v>
      </c>
      <c r="F824" s="23" cm="1">
        <f t="array" ref="F824">_xlfn.IFERROR(IF(E824="","",D824/E824*100000),"")</f>
        <v>36.985499787391</v>
      </c>
    </row>
    <row r="825" ht="13.65" customHeight="1">
      <c r="A825" t="s" s="28">
        <v>41</v>
      </c>
      <c r="B825" t="s" s="21">
        <v>60</v>
      </c>
      <c r="C825" t="s" s="21">
        <v>54</v>
      </c>
      <c r="D825" s="22" cm="1">
        <f t="array" ref="D825">_xlfn.SUMIFS('Diseases'!F2:F4303,'Diseases'!B2:B4303,A825,'Diseases'!C2:C4303,B825,'Diseases'!D2:D4303,C825)</f>
        <v>1232</v>
      </c>
      <c r="E825" s="22" cm="1">
        <f t="array" ref="E825">_xlfn.IFERROR(IF(INDEX('Diseases'!G2:G4303,MATCH(C825,'Diseases'!D2:D4303,0))="","",INDEX('Diseases'!G2:G4303,MATCH(C825,'Diseases'!D2:D4303,0))),"")</f>
        <v>3901529</v>
      </c>
      <c r="F825" s="23" cm="1">
        <f t="array" ref="F825">_xlfn.IFERROR(IF(E825="","",D825/E825*100000),"")</f>
        <v>31.5773636438432</v>
      </c>
    </row>
    <row r="826" ht="13.65" customHeight="1">
      <c r="A826" t="s" s="30">
        <v>40</v>
      </c>
      <c r="B826" t="s" s="21">
        <v>60</v>
      </c>
      <c r="C826" t="s" s="21">
        <v>54</v>
      </c>
      <c r="D826" s="22" cm="1">
        <f t="array" ref="D826">_xlfn.SUMIFS('Diseases'!F2:F4303,'Diseases'!B2:B4303,A826,'Diseases'!C2:C4303,B826,'Diseases'!D2:D4303,C826)</f>
        <v>863</v>
      </c>
      <c r="E826" s="22" cm="1">
        <f t="array" ref="E826">_xlfn.IFERROR(IF(INDEX('Diseases'!G2:G4303,MATCH(C826,'Diseases'!D2:D4303,0))="","",INDEX('Diseases'!G2:G4303,MATCH(C826,'Diseases'!D2:D4303,0))),"")</f>
        <v>3901529</v>
      </c>
      <c r="F826" s="23" cm="1">
        <f t="array" ref="F826">_xlfn.IFERROR(IF(E826="","",D826/E826*100000),"")</f>
        <v>22.1195331368804</v>
      </c>
    </row>
    <row r="827" ht="13.65" customHeight="1">
      <c r="A827" t="s" s="29">
        <v>39</v>
      </c>
      <c r="B827" t="s" s="21">
        <v>60</v>
      </c>
      <c r="C827" t="s" s="21">
        <v>54</v>
      </c>
      <c r="D827" s="22" cm="1">
        <f t="array" ref="D827">_xlfn.SUMIFS('Diseases'!F2:F4303,'Diseases'!B2:B4303,A827,'Diseases'!C2:C4303,B827,'Diseases'!D2:D4303,C827)</f>
        <v>786</v>
      </c>
      <c r="E827" s="22" cm="1">
        <f t="array" ref="E827">_xlfn.IFERROR(IF(INDEX('Diseases'!G2:G4303,MATCH(C827,'Diseases'!D2:D4303,0))="","",INDEX('Diseases'!G2:G4303,MATCH(C827,'Diseases'!D2:D4303,0))),"")</f>
        <v>3901529</v>
      </c>
      <c r="F827" s="23" cm="1">
        <f t="array" ref="F827">_xlfn.IFERROR(IF(E827="","",D827/E827*100000),"")</f>
        <v>20.1459479091402</v>
      </c>
    </row>
    <row r="828" ht="13.65" customHeight="1">
      <c r="A828" t="s" s="31">
        <v>45</v>
      </c>
      <c r="B828" t="s" s="21">
        <v>60</v>
      </c>
      <c r="C828" t="s" s="21">
        <v>54</v>
      </c>
      <c r="D828" s="22" cm="1">
        <f t="array" ref="D828">_xlfn.SUMIFS('Diseases'!F2:F4303,'Diseases'!B2:B4303,A828,'Diseases'!C2:C4303,B828,'Diseases'!D2:D4303,C828)</f>
        <v>538</v>
      </c>
      <c r="E828" s="22" cm="1">
        <f t="array" ref="E828">_xlfn.IFERROR(IF(INDEX('Diseases'!G2:G4303,MATCH(C828,'Diseases'!D2:D4303,0))="","",INDEX('Diseases'!G2:G4303,MATCH(C828,'Diseases'!D2:D4303,0))),"")</f>
        <v>3901529</v>
      </c>
      <c r="F828" s="23" cm="1">
        <f t="array" ref="F828">_xlfn.IFERROR(IF(E828="","",D828/E828*100000),"")</f>
        <v>13.7894656171978</v>
      </c>
    </row>
    <row r="829" ht="13.65" customHeight="1">
      <c r="A829" t="s" s="20">
        <v>30</v>
      </c>
      <c r="B829" t="s" s="21">
        <v>61</v>
      </c>
      <c r="C829" t="s" s="21">
        <v>54</v>
      </c>
      <c r="D829" s="22" cm="1">
        <f t="array" ref="D829">_xlfn.SUMIFS('Diseases'!F2:F4303,'Diseases'!B2:B4303,A829,'Diseases'!C2:C4303,B829,'Diseases'!D2:D4303,C829)</f>
        <v>12860</v>
      </c>
      <c r="E829" s="22" cm="1">
        <f t="array" ref="E829">_xlfn.IFERROR(IF(INDEX('Diseases'!G2:G4303,MATCH(C829,'Diseases'!D2:D4303,0))="","",INDEX('Diseases'!G2:G4303,MATCH(C829,'Diseases'!D2:D4303,0))),"")</f>
        <v>3901529</v>
      </c>
      <c r="F829" s="23" cm="1">
        <f t="array" ref="F829">_xlfn.IFERROR(IF(E829="","",D829/E829*100000),"")</f>
        <v>329.614364009597</v>
      </c>
    </row>
    <row r="830" ht="13.65" customHeight="1">
      <c r="A830" t="s" s="25">
        <v>35</v>
      </c>
      <c r="B830" t="s" s="21">
        <v>61</v>
      </c>
      <c r="C830" t="s" s="21">
        <v>54</v>
      </c>
      <c r="D830" s="22" cm="1">
        <f t="array" ref="D830">_xlfn.SUMIFS('Diseases'!F2:F4303,'Diseases'!B2:B4303,A830,'Diseases'!C2:C4303,B830,'Diseases'!D2:D4303,C830)</f>
        <v>2868</v>
      </c>
      <c r="E830" s="22" cm="1">
        <f t="array" ref="E830">_xlfn.IFERROR(IF(INDEX('Diseases'!G2:G4303,MATCH(C830,'Diseases'!D2:D4303,0))="","",INDEX('Diseases'!G2:G4303,MATCH(C830,'Diseases'!D2:D4303,0))),"")</f>
        <v>3901529</v>
      </c>
      <c r="F830" s="23" cm="1">
        <f t="array" ref="F830">_xlfn.IFERROR(IF(E830="","",D830/E830*100000),"")</f>
        <v>73.5096419890766</v>
      </c>
    </row>
    <row r="831" ht="13.65" customHeight="1">
      <c r="A831" t="s" s="24">
        <v>34</v>
      </c>
      <c r="B831" t="s" s="21">
        <v>61</v>
      </c>
      <c r="C831" t="s" s="21">
        <v>54</v>
      </c>
      <c r="D831" s="22" cm="1">
        <f t="array" ref="D831">_xlfn.SUMIFS('Diseases'!F2:F4303,'Diseases'!B2:B4303,A831,'Diseases'!C2:C4303,B831,'Diseases'!D2:D4303,C831)</f>
        <v>2636</v>
      </c>
      <c r="E831" s="22" cm="1">
        <f t="array" ref="E831">_xlfn.IFERROR(IF(INDEX('Diseases'!G2:G4303,MATCH(C831,'Diseases'!D2:D4303,0))="","",INDEX('Diseases'!G2:G4303,MATCH(C831,'Diseases'!D2:D4303,0))),"")</f>
        <v>3901529</v>
      </c>
      <c r="F831" s="23" cm="1">
        <f t="array" ref="F831">_xlfn.IFERROR(IF(E831="","",D831/E831*100000),"")</f>
        <v>67.5632553288723</v>
      </c>
    </row>
    <row r="832" ht="13.65" customHeight="1">
      <c r="A832" t="s" s="27">
        <v>37</v>
      </c>
      <c r="B832" t="s" s="21">
        <v>61</v>
      </c>
      <c r="C832" t="s" s="21">
        <v>54</v>
      </c>
      <c r="D832" s="22" cm="1">
        <f t="array" ref="D832">_xlfn.SUMIFS('Diseases'!F2:F4303,'Diseases'!B2:B4303,A832,'Diseases'!C2:C4303,B832,'Diseases'!D2:D4303,C832)</f>
        <v>980</v>
      </c>
      <c r="E832" s="22" cm="1">
        <f t="array" ref="E832">_xlfn.IFERROR(IF(INDEX('Diseases'!G2:G4303,MATCH(C832,'Diseases'!D2:D4303,0))="","",INDEX('Diseases'!G2:G4303,MATCH(C832,'Diseases'!D2:D4303,0))),"")</f>
        <v>3901529</v>
      </c>
      <c r="F832" s="23" cm="1">
        <f t="array" ref="F832">_xlfn.IFERROR(IF(E832="","",D832/E832*100000),"")</f>
        <v>25.1183574439662</v>
      </c>
    </row>
    <row r="833" ht="13.65" customHeight="1">
      <c r="A833" t="s" s="29">
        <v>39</v>
      </c>
      <c r="B833" t="s" s="21">
        <v>61</v>
      </c>
      <c r="C833" t="s" s="21">
        <v>54</v>
      </c>
      <c r="D833" s="22" cm="1">
        <f t="array" ref="D833">_xlfn.SUMIFS('Diseases'!F2:F4303,'Diseases'!B2:B4303,A833,'Diseases'!C2:C4303,B833,'Diseases'!D2:D4303,C833)</f>
        <v>824</v>
      </c>
      <c r="E833" s="22" cm="1">
        <f t="array" ref="E833">_xlfn.IFERROR(IF(INDEX('Diseases'!G2:G4303,MATCH(C833,'Diseases'!D2:D4303,0))="","",INDEX('Diseases'!G2:G4303,MATCH(C833,'Diseases'!D2:D4303,0))),"")</f>
        <v>3901529</v>
      </c>
      <c r="F833" s="23" cm="1">
        <f t="array" ref="F833">_xlfn.IFERROR(IF(E833="","",D833/E833*100000),"")</f>
        <v>21.1199250345185</v>
      </c>
    </row>
    <row r="834" ht="13.65" customHeight="1">
      <c r="A834" t="s" s="20">
        <v>30</v>
      </c>
      <c r="B834" t="s" s="21">
        <v>62</v>
      </c>
      <c r="C834" t="s" s="21">
        <v>54</v>
      </c>
      <c r="D834" s="22" cm="1">
        <f t="array" ref="D834">_xlfn.SUMIFS('Diseases'!F2:F4303,'Diseases'!B2:B4303,A834,'Diseases'!C2:C4303,B834,'Diseases'!D2:D4303,C834)</f>
        <v>48525</v>
      </c>
      <c r="E834" s="22" cm="1">
        <f t="array" ref="E834">_xlfn.IFERROR(IF(INDEX('Diseases'!G2:G4303,MATCH(C834,'Diseases'!D2:D4303,0))="","",INDEX('Diseases'!G2:G4303,MATCH(C834,'Diseases'!D2:D4303,0))),"")</f>
        <v>3901529</v>
      </c>
      <c r="F834" s="23" cm="1">
        <f t="array" ref="F834">_xlfn.IFERROR(IF(E834="","",D834/E834*100000),"")</f>
        <v>1243.743158131080</v>
      </c>
    </row>
    <row r="835" ht="13.65" customHeight="1">
      <c r="A835" t="s" s="25">
        <v>35</v>
      </c>
      <c r="B835" t="s" s="21">
        <v>62</v>
      </c>
      <c r="C835" t="s" s="21">
        <v>54</v>
      </c>
      <c r="D835" s="22" cm="1">
        <f t="array" ref="D835">_xlfn.SUMIFS('Diseases'!F2:F4303,'Diseases'!B2:B4303,A835,'Diseases'!C2:C4303,B835,'Diseases'!D2:D4303,C835)</f>
        <v>24180</v>
      </c>
      <c r="E835" s="22" cm="1">
        <f t="array" ref="E835">_xlfn.IFERROR(IF(INDEX('Diseases'!G2:G4303,MATCH(C835,'Diseases'!D2:D4303,0))="","",INDEX('Diseases'!G2:G4303,MATCH(C835,'Diseases'!D2:D4303,0))),"")</f>
        <v>3901529</v>
      </c>
      <c r="F835" s="23" cm="1">
        <f t="array" ref="F835">_xlfn.IFERROR(IF(E835="","",D835/E835*100000),"")</f>
        <v>619.757023464390</v>
      </c>
    </row>
    <row r="836" ht="13.65" customHeight="1">
      <c r="A836" t="s" s="24">
        <v>34</v>
      </c>
      <c r="B836" t="s" s="21">
        <v>62</v>
      </c>
      <c r="C836" t="s" s="21">
        <v>54</v>
      </c>
      <c r="D836" s="22" cm="1">
        <f t="array" ref="D836">_xlfn.SUMIFS('Diseases'!F2:F4303,'Diseases'!B2:B4303,A836,'Diseases'!C2:C4303,B836,'Diseases'!D2:D4303,C836)</f>
        <v>21315</v>
      </c>
      <c r="E836" s="22" cm="1">
        <f t="array" ref="E836">_xlfn.IFERROR(IF(INDEX('Diseases'!G2:G4303,MATCH(C836,'Diseases'!D2:D4303,0))="","",INDEX('Diseases'!G2:G4303,MATCH(C836,'Diseases'!D2:D4303,0))),"")</f>
        <v>3901529</v>
      </c>
      <c r="F836" s="23" cm="1">
        <f t="array" ref="F836">_xlfn.IFERROR(IF(E836="","",D836/E836*100000),"")</f>
        <v>546.324274406265</v>
      </c>
    </row>
    <row r="837" ht="13.65" customHeight="1">
      <c r="A837" t="s" s="28">
        <v>41</v>
      </c>
      <c r="B837" t="s" s="21">
        <v>62</v>
      </c>
      <c r="C837" t="s" s="21">
        <v>54</v>
      </c>
      <c r="D837" s="22" cm="1">
        <f t="array" ref="D837">_xlfn.SUMIFS('Diseases'!F2:F4303,'Diseases'!B2:B4303,A837,'Diseases'!C2:C4303,B837,'Diseases'!D2:D4303,C837)</f>
        <v>21045</v>
      </c>
      <c r="E837" s="22" cm="1">
        <f t="array" ref="E837">_xlfn.IFERROR(IF(INDEX('Diseases'!G2:G4303,MATCH(C837,'Diseases'!D2:D4303,0))="","",INDEX('Diseases'!G2:G4303,MATCH(C837,'Diseases'!D2:D4303,0))),"")</f>
        <v>3901529</v>
      </c>
      <c r="F837" s="23" cm="1">
        <f t="array" ref="F837">_xlfn.IFERROR(IF(E837="","",D837/E837*100000),"")</f>
        <v>539.403910620682</v>
      </c>
    </row>
    <row r="838" ht="13.65" customHeight="1">
      <c r="A838" t="s" s="31">
        <v>45</v>
      </c>
      <c r="B838" t="s" s="21">
        <v>62</v>
      </c>
      <c r="C838" t="s" s="21">
        <v>54</v>
      </c>
      <c r="D838" s="22" cm="1">
        <f t="array" ref="D838">_xlfn.SUMIFS('Diseases'!F2:F4303,'Diseases'!B2:B4303,A838,'Diseases'!C2:C4303,B838,'Diseases'!D2:D4303,C838)</f>
        <v>14595</v>
      </c>
      <c r="E838" s="22" cm="1">
        <f t="array" ref="E838">_xlfn.IFERROR(IF(INDEX('Diseases'!G2:G4303,MATCH(C838,'Diseases'!D2:D4303,0))="","",INDEX('Diseases'!G2:G4303,MATCH(C838,'Diseases'!D2:D4303,0))),"")</f>
        <v>3901529</v>
      </c>
      <c r="F838" s="23" cm="1">
        <f t="array" ref="F838">_xlfn.IFERROR(IF(E838="","",D838/E838*100000),"")</f>
        <v>374.084109076211</v>
      </c>
    </row>
    <row r="839" ht="13.65" customHeight="1">
      <c r="A839" t="s" s="29">
        <v>39</v>
      </c>
      <c r="B839" t="s" s="21">
        <v>62</v>
      </c>
      <c r="C839" t="s" s="21">
        <v>54</v>
      </c>
      <c r="D839" s="22" cm="1">
        <f t="array" ref="D839">_xlfn.SUMIFS('Diseases'!F2:F4303,'Diseases'!B2:B4303,A839,'Diseases'!C2:C4303,B839,'Diseases'!D2:D4303,C839)</f>
        <v>7155</v>
      </c>
      <c r="E839" s="22" cm="1">
        <f t="array" ref="E839">_xlfn.IFERROR(IF(INDEX('Diseases'!G2:G4303,MATCH(C839,'Diseases'!D2:D4303,0))="","",INDEX('Diseases'!G2:G4303,MATCH(C839,'Diseases'!D2:D4303,0))),"")</f>
        <v>3901529</v>
      </c>
      <c r="F839" s="23" cm="1">
        <f t="array" ref="F839">_xlfn.IFERROR(IF(E839="","",D839/E839*100000),"")</f>
        <v>183.389640317937</v>
      </c>
    </row>
    <row r="840" ht="13.65" customHeight="1">
      <c r="A840" t="s" s="20">
        <v>30</v>
      </c>
      <c r="B840" t="s" s="21">
        <v>63</v>
      </c>
      <c r="C840" t="s" s="21">
        <v>54</v>
      </c>
      <c r="D840" s="22" cm="1">
        <f t="array" ref="D840">_xlfn.SUMIFS('Diseases'!F2:F4303,'Diseases'!B2:B4303,A840,'Diseases'!C2:C4303,B840,'Diseases'!D2:D4303,C840)</f>
        <v>3303</v>
      </c>
      <c r="E840" s="22" cm="1">
        <f t="array" ref="E840">_xlfn.IFERROR(IF(INDEX('Diseases'!G2:G4303,MATCH(C840,'Diseases'!D2:D4303,0))="","",INDEX('Diseases'!G2:G4303,MATCH(C840,'Diseases'!D2:D4303,0))),"")</f>
        <v>3901529</v>
      </c>
      <c r="F840" s="23" cm="1">
        <f t="array" ref="F840">_xlfn.IFERROR(IF(E840="","",D840/E840*100000),"")</f>
        <v>84.6591169769595</v>
      </c>
    </row>
    <row r="841" ht="13.65" customHeight="1">
      <c r="A841" t="s" s="28">
        <v>41</v>
      </c>
      <c r="B841" t="s" s="21">
        <v>63</v>
      </c>
      <c r="C841" t="s" s="21">
        <v>54</v>
      </c>
      <c r="D841" s="22" cm="1">
        <f t="array" ref="D841">_xlfn.SUMIFS('Diseases'!F2:F4303,'Diseases'!B2:B4303,A841,'Diseases'!C2:C4303,B841,'Diseases'!D2:D4303,C841)</f>
        <v>1676</v>
      </c>
      <c r="E841" s="22" cm="1">
        <f t="array" ref="E841">_xlfn.IFERROR(IF(INDEX('Diseases'!G2:G4303,MATCH(C841,'Diseases'!D2:D4303,0))="","",INDEX('Diseases'!G2:G4303,MATCH(C841,'Diseases'!D2:D4303,0))),"")</f>
        <v>3901529</v>
      </c>
      <c r="F841" s="23" cm="1">
        <f t="array" ref="F841">_xlfn.IFERROR(IF(E841="","",D841/E841*100000),"")</f>
        <v>42.9575174245789</v>
      </c>
    </row>
    <row r="842" ht="13.65" customHeight="1">
      <c r="A842" t="s" s="24">
        <v>34</v>
      </c>
      <c r="B842" t="s" s="21">
        <v>63</v>
      </c>
      <c r="C842" t="s" s="21">
        <v>54</v>
      </c>
      <c r="D842" s="22" cm="1">
        <f t="array" ref="D842">_xlfn.SUMIFS('Diseases'!F2:F4303,'Diseases'!B2:B4303,A842,'Diseases'!C2:C4303,B842,'Diseases'!D2:D4303,C842)</f>
        <v>1458</v>
      </c>
      <c r="E842" s="22" cm="1">
        <f t="array" ref="E842">_xlfn.IFERROR(IF(INDEX('Diseases'!G2:G4303,MATCH(C842,'Diseases'!D2:D4303,0))="","",INDEX('Diseases'!G2:G4303,MATCH(C842,'Diseases'!D2:D4303,0))),"")</f>
        <v>3901529</v>
      </c>
      <c r="F842" s="23" cm="1">
        <f t="array" ref="F842">_xlfn.IFERROR(IF(E842="","",D842/E842*100000),"")</f>
        <v>37.3699644421456</v>
      </c>
    </row>
    <row r="843" ht="13.65" customHeight="1">
      <c r="A843" t="s" s="29">
        <v>39</v>
      </c>
      <c r="B843" t="s" s="21">
        <v>63</v>
      </c>
      <c r="C843" t="s" s="21">
        <v>54</v>
      </c>
      <c r="D843" s="22" cm="1">
        <f t="array" ref="D843">_xlfn.SUMIFS('Diseases'!F2:F4303,'Diseases'!B2:B4303,A843,'Diseases'!C2:C4303,B843,'Diseases'!D2:D4303,C843)</f>
        <v>1432</v>
      </c>
      <c r="E843" s="22" cm="1">
        <f t="array" ref="E843">_xlfn.IFERROR(IF(INDEX('Diseases'!G2:G4303,MATCH(C843,'Diseases'!D2:D4303,0))="","",INDEX('Diseases'!G2:G4303,MATCH(C843,'Diseases'!D2:D4303,0))),"")</f>
        <v>3901529</v>
      </c>
      <c r="F843" s="23" cm="1">
        <f t="array" ref="F843">_xlfn.IFERROR(IF(E843="","",D843/E843*100000),"")</f>
        <v>36.703559040571</v>
      </c>
    </row>
    <row r="844" ht="13.65" customHeight="1">
      <c r="A844" t="s" s="25">
        <v>35</v>
      </c>
      <c r="B844" t="s" s="21">
        <v>63</v>
      </c>
      <c r="C844" t="s" s="21">
        <v>54</v>
      </c>
      <c r="D844" s="22" cm="1">
        <f t="array" ref="D844">_xlfn.SUMIFS('Diseases'!F2:F4303,'Diseases'!B2:B4303,A844,'Diseases'!C2:C4303,B844,'Diseases'!D2:D4303,C844)</f>
        <v>1112</v>
      </c>
      <c r="E844" s="22" cm="1">
        <f t="array" ref="E844">_xlfn.IFERROR(IF(INDEX('Diseases'!G2:G4303,MATCH(C844,'Diseases'!D2:D4303,0))="","",INDEX('Diseases'!G2:G4303,MATCH(C844,'Diseases'!D2:D4303,0))),"")</f>
        <v>3901529</v>
      </c>
      <c r="F844" s="23" cm="1">
        <f t="array" ref="F844">_xlfn.IFERROR(IF(E844="","",D844/E844*100000),"")</f>
        <v>28.5016464058065</v>
      </c>
    </row>
    <row r="845" ht="13.65" customHeight="1">
      <c r="A845" t="s" s="31">
        <v>45</v>
      </c>
      <c r="B845" t="s" s="21">
        <v>63</v>
      </c>
      <c r="C845" t="s" s="21">
        <v>54</v>
      </c>
      <c r="D845" s="22" cm="1">
        <f t="array" ref="D845">_xlfn.SUMIFS('Diseases'!F2:F4303,'Diseases'!B2:B4303,A845,'Diseases'!C2:C4303,B845,'Diseases'!D2:D4303,C845)</f>
        <v>1081</v>
      </c>
      <c r="E845" s="22" cm="1">
        <f t="array" ref="E845">_xlfn.IFERROR(IF(INDEX('Diseases'!G2:G4303,MATCH(C845,'Diseases'!D2:D4303,0))="","",INDEX('Diseases'!G2:G4303,MATCH(C845,'Diseases'!D2:D4303,0))),"")</f>
        <v>3901529</v>
      </c>
      <c r="F845" s="23" cm="1">
        <f t="array" ref="F845">_xlfn.IFERROR(IF(E845="","",D845/E845*100000),"")</f>
        <v>27.7070861193137</v>
      </c>
    </row>
    <row r="846" ht="13.65" customHeight="1">
      <c r="A846" t="s" s="20">
        <v>30</v>
      </c>
      <c r="B846" t="s" s="21">
        <v>64</v>
      </c>
      <c r="C846" t="s" s="21">
        <v>54</v>
      </c>
      <c r="D846" s="22" cm="1">
        <f t="array" ref="D846">_xlfn.SUMIFS('Diseases'!F2:F4303,'Diseases'!B2:B4303,A846,'Diseases'!C2:C4303,B846,'Diseases'!D2:D4303,C846)</f>
        <v>4602</v>
      </c>
      <c r="E846" s="22" cm="1">
        <f t="array" ref="E846">_xlfn.IFERROR(IF(INDEX('Diseases'!G2:G4303,MATCH(C846,'Diseases'!D2:D4303,0))="","",INDEX('Diseases'!G2:G4303,MATCH(C846,'Diseases'!D2:D4303,0))),"")</f>
        <v>3901529</v>
      </c>
      <c r="F846" s="23" cm="1">
        <f t="array" ref="F846">_xlfn.IFERROR(IF(E846="","",D846/E846*100000),"")</f>
        <v>117.953756078707</v>
      </c>
    </row>
    <row r="847" ht="13.65" customHeight="1">
      <c r="A847" t="s" s="25">
        <v>35</v>
      </c>
      <c r="B847" t="s" s="21">
        <v>64</v>
      </c>
      <c r="C847" t="s" s="21">
        <v>54</v>
      </c>
      <c r="D847" s="22" cm="1">
        <f t="array" ref="D847">_xlfn.SUMIFS('Diseases'!F2:F4303,'Diseases'!B2:B4303,A847,'Diseases'!C2:C4303,B847,'Diseases'!D2:D4303,C847)</f>
        <v>2372</v>
      </c>
      <c r="E847" s="22" cm="1">
        <f t="array" ref="E847">_xlfn.IFERROR(IF(INDEX('Diseases'!G2:G4303,MATCH(C847,'Diseases'!D2:D4303,0))="","",INDEX('Diseases'!G2:G4303,MATCH(C847,'Diseases'!D2:D4303,0))),"")</f>
        <v>3901529</v>
      </c>
      <c r="F847" s="23" cm="1">
        <f t="array" ref="F847">_xlfn.IFERROR(IF(E847="","",D847/E847*100000),"")</f>
        <v>60.7966774051917</v>
      </c>
    </row>
    <row r="848" ht="13.65" customHeight="1">
      <c r="A848" t="s" s="28">
        <v>41</v>
      </c>
      <c r="B848" t="s" s="21">
        <v>64</v>
      </c>
      <c r="C848" t="s" s="21">
        <v>54</v>
      </c>
      <c r="D848" s="22" cm="1">
        <f t="array" ref="D848">_xlfn.SUMIFS('Diseases'!F2:F4303,'Diseases'!B2:B4303,A848,'Diseases'!C2:C4303,B848,'Diseases'!D2:D4303,C848)</f>
        <v>1867</v>
      </c>
      <c r="E848" s="22" cm="1">
        <f t="array" ref="E848">_xlfn.IFERROR(IF(INDEX('Diseases'!G2:G4303,MATCH(C848,'Diseases'!D2:D4303,0))="","",INDEX('Diseases'!G2:G4303,MATCH(C848,'Diseases'!D2:D4303,0))),"")</f>
        <v>3901529</v>
      </c>
      <c r="F848" s="23" cm="1">
        <f t="array" ref="F848">_xlfn.IFERROR(IF(E848="","",D848/E848*100000),"")</f>
        <v>47.853034028454</v>
      </c>
    </row>
    <row r="849" ht="13.65" customHeight="1">
      <c r="A849" t="s" s="24">
        <v>34</v>
      </c>
      <c r="B849" t="s" s="21">
        <v>64</v>
      </c>
      <c r="C849" t="s" s="21">
        <v>54</v>
      </c>
      <c r="D849" s="22" cm="1">
        <f t="array" ref="D849">_xlfn.SUMIFS('Diseases'!F2:F4303,'Diseases'!B2:B4303,A849,'Diseases'!C2:C4303,B849,'Diseases'!D2:D4303,C849)</f>
        <v>1720</v>
      </c>
      <c r="E849" s="22" cm="1">
        <f t="array" ref="E849">_xlfn.IFERROR(IF(INDEX('Diseases'!G2:G4303,MATCH(C849,'Diseases'!D2:D4303,0))="","",INDEX('Diseases'!G2:G4303,MATCH(C849,'Diseases'!D2:D4303,0))),"")</f>
        <v>3901529</v>
      </c>
      <c r="F849" s="23" cm="1">
        <f t="array" ref="F849">_xlfn.IFERROR(IF(E849="","",D849/E849*100000),"")</f>
        <v>44.085280411859</v>
      </c>
    </row>
    <row r="850" ht="13.65" customHeight="1">
      <c r="A850" t="s" s="29">
        <v>39</v>
      </c>
      <c r="B850" t="s" s="21">
        <v>64</v>
      </c>
      <c r="C850" t="s" s="21">
        <v>54</v>
      </c>
      <c r="D850" s="22" cm="1">
        <f t="array" ref="D850">_xlfn.SUMIFS('Diseases'!F2:F4303,'Diseases'!B2:B4303,A850,'Diseases'!C2:C4303,B850,'Diseases'!D2:D4303,C850)</f>
        <v>1499</v>
      </c>
      <c r="E850" s="22" cm="1">
        <f t="array" ref="E850">_xlfn.IFERROR(IF(INDEX('Diseases'!G2:G4303,MATCH(C850,'Diseases'!D2:D4303,0))="","",INDEX('Diseases'!G2:G4303,MATCH(C850,'Diseases'!D2:D4303,0))),"")</f>
        <v>3901529</v>
      </c>
      <c r="F850" s="23" cm="1">
        <f t="array" ref="F850">_xlfn.IFERROR(IF(E850="","",D850/E850*100000),"")</f>
        <v>38.4208344984748</v>
      </c>
    </row>
    <row r="851" ht="13.65" customHeight="1">
      <c r="A851" t="s" s="31">
        <v>45</v>
      </c>
      <c r="B851" t="s" s="21">
        <v>64</v>
      </c>
      <c r="C851" t="s" s="21">
        <v>54</v>
      </c>
      <c r="D851" s="22" cm="1">
        <f t="array" ref="D851">_xlfn.SUMIFS('Diseases'!F2:F4303,'Diseases'!B2:B4303,A851,'Diseases'!C2:C4303,B851,'Diseases'!D2:D4303,C851)</f>
        <v>957</v>
      </c>
      <c r="E851" s="22" cm="1">
        <f t="array" ref="E851">_xlfn.IFERROR(IF(INDEX('Diseases'!G2:G4303,MATCH(C851,'Diseases'!D2:D4303,0))="","",INDEX('Diseases'!G2:G4303,MATCH(C851,'Diseases'!D2:D4303,0))),"")</f>
        <v>3901529</v>
      </c>
      <c r="F851" s="23" cm="1">
        <f t="array" ref="F851">_xlfn.IFERROR(IF(E851="","",D851/E851*100000),"")</f>
        <v>24.5288449733425</v>
      </c>
    </row>
    <row r="852" ht="13.65" customHeight="1">
      <c r="A852" t="s" s="20">
        <v>30</v>
      </c>
      <c r="B852" t="s" s="21">
        <v>65</v>
      </c>
      <c r="C852" t="s" s="21">
        <v>54</v>
      </c>
      <c r="D852" s="22" cm="1">
        <f t="array" ref="D852">_xlfn.SUMIFS('Diseases'!F2:F4303,'Diseases'!B2:B4303,A852,'Diseases'!C2:C4303,B852,'Diseases'!D2:D4303,C852)</f>
        <v>8200</v>
      </c>
      <c r="E852" s="22" cm="1">
        <f t="array" ref="E852">_xlfn.IFERROR(IF(INDEX('Diseases'!G2:G4303,MATCH(C852,'Diseases'!D2:D4303,0))="","",INDEX('Diseases'!G2:G4303,MATCH(C852,'Diseases'!D2:D4303,0))),"")</f>
        <v>3901529</v>
      </c>
      <c r="F852" s="23" cm="1">
        <f t="array" ref="F852">_xlfn.IFERROR(IF(E852="","",D852/E852*100000),"")</f>
        <v>210.174011265840</v>
      </c>
    </row>
    <row r="853" ht="13.65" customHeight="1">
      <c r="A853" t="s" s="25">
        <v>35</v>
      </c>
      <c r="B853" t="s" s="21">
        <v>65</v>
      </c>
      <c r="C853" t="s" s="21">
        <v>54</v>
      </c>
      <c r="D853" s="22" cm="1">
        <f t="array" ref="D853">_xlfn.SUMIFS('Diseases'!F2:F4303,'Diseases'!B2:B4303,A853,'Diseases'!C2:C4303,B853,'Diseases'!D2:D4303,C853)</f>
        <v>2842</v>
      </c>
      <c r="E853" s="22" cm="1">
        <f t="array" ref="E853">_xlfn.IFERROR(IF(INDEX('Diseases'!G2:G4303,MATCH(C853,'Diseases'!D2:D4303,0))="","",INDEX('Diseases'!G2:G4303,MATCH(C853,'Diseases'!D2:D4303,0))),"")</f>
        <v>3901529</v>
      </c>
      <c r="F853" s="23" cm="1">
        <f t="array" ref="F853">_xlfn.IFERROR(IF(E853="","",D853/E853*100000),"")</f>
        <v>72.84323658750201</v>
      </c>
    </row>
    <row r="854" ht="13.65" customHeight="1">
      <c r="A854" t="s" s="28">
        <v>41</v>
      </c>
      <c r="B854" t="s" s="21">
        <v>65</v>
      </c>
      <c r="C854" t="s" s="21">
        <v>54</v>
      </c>
      <c r="D854" s="22" cm="1">
        <f t="array" ref="D854">_xlfn.SUMIFS('Diseases'!F2:F4303,'Diseases'!B2:B4303,A854,'Diseases'!C2:C4303,B854,'Diseases'!D2:D4303,C854)</f>
        <v>2149</v>
      </c>
      <c r="E854" s="22" cm="1">
        <f t="array" ref="E854">_xlfn.IFERROR(IF(INDEX('Diseases'!G2:G4303,MATCH(C854,'Diseases'!D2:D4303,0))="","",INDEX('Diseases'!G2:G4303,MATCH(C854,'Diseases'!D2:D4303,0))),"")</f>
        <v>3901529</v>
      </c>
      <c r="F854" s="23" cm="1">
        <f t="array" ref="F854">_xlfn.IFERROR(IF(E854="","",D854/E854*100000),"")</f>
        <v>55.0809695378402</v>
      </c>
    </row>
    <row r="855" ht="13.65" customHeight="1">
      <c r="A855" t="s" s="24">
        <v>34</v>
      </c>
      <c r="B855" t="s" s="21">
        <v>65</v>
      </c>
      <c r="C855" t="s" s="21">
        <v>54</v>
      </c>
      <c r="D855" s="22" cm="1">
        <f t="array" ref="D855">_xlfn.SUMIFS('Diseases'!F2:F4303,'Diseases'!B2:B4303,A855,'Diseases'!C2:C4303,B855,'Diseases'!D2:D4303,C855)</f>
        <v>1500</v>
      </c>
      <c r="E855" s="22" cm="1">
        <f t="array" ref="E855">_xlfn.IFERROR(IF(INDEX('Diseases'!G2:G4303,MATCH(C855,'Diseases'!D2:D4303,0))="","",INDEX('Diseases'!G2:G4303,MATCH(C855,'Diseases'!D2:D4303,0))),"")</f>
        <v>3901529</v>
      </c>
      <c r="F855" s="23" cm="1">
        <f t="array" ref="F855">_xlfn.IFERROR(IF(E855="","",D855/E855*100000),"")</f>
        <v>38.4464654754585</v>
      </c>
    </row>
    <row r="856" ht="13.65" customHeight="1">
      <c r="A856" t="s" s="29">
        <v>39</v>
      </c>
      <c r="B856" t="s" s="21">
        <v>65</v>
      </c>
      <c r="C856" t="s" s="21">
        <v>54</v>
      </c>
      <c r="D856" s="22" cm="1">
        <f t="array" ref="D856">_xlfn.SUMIFS('Diseases'!F2:F4303,'Diseases'!B2:B4303,A856,'Diseases'!C2:C4303,B856,'Diseases'!D2:D4303,C856)</f>
        <v>708</v>
      </c>
      <c r="E856" s="22" cm="1">
        <f t="array" ref="E856">_xlfn.IFERROR(IF(INDEX('Diseases'!G2:G4303,MATCH(C856,'Diseases'!D2:D4303,0))="","",INDEX('Diseases'!G2:G4303,MATCH(C856,'Diseases'!D2:D4303,0))),"")</f>
        <v>3901529</v>
      </c>
      <c r="F856" s="23" cm="1">
        <f t="array" ref="F856">_xlfn.IFERROR(IF(E856="","",D856/E856*100000),"")</f>
        <v>18.1467317044164</v>
      </c>
    </row>
    <row r="857" ht="13.65" customHeight="1">
      <c r="A857" t="s" s="20">
        <v>30</v>
      </c>
      <c r="B857" t="s" s="21">
        <v>66</v>
      </c>
      <c r="C857" t="s" s="21">
        <v>54</v>
      </c>
      <c r="D857" s="22" cm="1">
        <f t="array" ref="D857">_xlfn.SUMIFS('Diseases'!F2:F4303,'Diseases'!B2:B4303,A857,'Diseases'!C2:C4303,B857,'Diseases'!D2:D4303,C857)</f>
        <v>2327</v>
      </c>
      <c r="E857" s="22" cm="1">
        <f t="array" ref="E857">_xlfn.IFERROR(IF(INDEX('Diseases'!G2:G4303,MATCH(C857,'Diseases'!D2:D4303,0))="","",INDEX('Diseases'!G2:G4303,MATCH(C857,'Diseases'!D2:D4303,0))),"")</f>
        <v>3901529</v>
      </c>
      <c r="F857" s="23" cm="1">
        <f t="array" ref="F857">_xlfn.IFERROR(IF(E857="","",D857/E857*100000),"")</f>
        <v>59.6432834409279</v>
      </c>
    </row>
    <row r="858" ht="13.65" customHeight="1">
      <c r="A858" t="s" s="25">
        <v>35</v>
      </c>
      <c r="B858" t="s" s="21">
        <v>66</v>
      </c>
      <c r="C858" t="s" s="21">
        <v>54</v>
      </c>
      <c r="D858" s="22" cm="1">
        <f t="array" ref="D858">_xlfn.SUMIFS('Diseases'!F2:F4303,'Diseases'!B2:B4303,A858,'Diseases'!C2:C4303,B858,'Diseases'!D2:D4303,C858)</f>
        <v>1718</v>
      </c>
      <c r="E858" s="22" cm="1">
        <f t="array" ref="E858">_xlfn.IFERROR(IF(INDEX('Diseases'!G2:G4303,MATCH(C858,'Diseases'!D2:D4303,0))="","",INDEX('Diseases'!G2:G4303,MATCH(C858,'Diseases'!D2:D4303,0))),"")</f>
        <v>3901529</v>
      </c>
      <c r="F858" s="23" cm="1">
        <f t="array" ref="F858">_xlfn.IFERROR(IF(E858="","",D858/E858*100000),"")</f>
        <v>44.0340184578918</v>
      </c>
    </row>
    <row r="859" ht="13.65" customHeight="1">
      <c r="A859" t="s" s="29">
        <v>39</v>
      </c>
      <c r="B859" t="s" s="21">
        <v>66</v>
      </c>
      <c r="C859" t="s" s="21">
        <v>54</v>
      </c>
      <c r="D859" s="22" cm="1">
        <f t="array" ref="D859">_xlfn.SUMIFS('Diseases'!F2:F4303,'Diseases'!B2:B4303,A859,'Diseases'!C2:C4303,B859,'Diseases'!D2:D4303,C859)</f>
        <v>1011</v>
      </c>
      <c r="E859" s="22" cm="1">
        <f t="array" ref="E859">_xlfn.IFERROR(IF(INDEX('Diseases'!G2:G4303,MATCH(C859,'Diseases'!D2:D4303,0))="","",INDEX('Diseases'!G2:G4303,MATCH(C859,'Diseases'!D2:D4303,0))),"")</f>
        <v>3901529</v>
      </c>
      <c r="F859" s="23" cm="1">
        <f t="array" ref="F859">_xlfn.IFERROR(IF(E859="","",D859/E859*100000),"")</f>
        <v>25.912917730459</v>
      </c>
    </row>
    <row r="860" ht="13.65" customHeight="1">
      <c r="A860" t="s" s="24">
        <v>34</v>
      </c>
      <c r="B860" t="s" s="21">
        <v>66</v>
      </c>
      <c r="C860" t="s" s="21">
        <v>54</v>
      </c>
      <c r="D860" s="22" cm="1">
        <f t="array" ref="D860">_xlfn.SUMIFS('Diseases'!F2:F4303,'Diseases'!B2:B4303,A860,'Diseases'!C2:C4303,B860,'Diseases'!D2:D4303,C860)</f>
        <v>656</v>
      </c>
      <c r="E860" s="22" cm="1">
        <f t="array" ref="E860">_xlfn.IFERROR(IF(INDEX('Diseases'!G2:G4303,MATCH(C860,'Diseases'!D2:D4303,0))="","",INDEX('Diseases'!G2:G4303,MATCH(C860,'Diseases'!D2:D4303,0))),"")</f>
        <v>3901529</v>
      </c>
      <c r="F860" s="23" cm="1">
        <f t="array" ref="F860">_xlfn.IFERROR(IF(E860="","",D860/E860*100000),"")</f>
        <v>16.8139209012672</v>
      </c>
    </row>
    <row r="861" ht="13.65" customHeight="1">
      <c r="A861" t="s" s="28">
        <v>41</v>
      </c>
      <c r="B861" t="s" s="21">
        <v>66</v>
      </c>
      <c r="C861" t="s" s="21">
        <v>54</v>
      </c>
      <c r="D861" s="22" cm="1">
        <f t="array" ref="D861">_xlfn.SUMIFS('Diseases'!F2:F4303,'Diseases'!B2:B4303,A861,'Diseases'!C2:C4303,B861,'Diseases'!D2:D4303,C861)</f>
        <v>409</v>
      </c>
      <c r="E861" s="22" cm="1">
        <f t="array" ref="E861">_xlfn.IFERROR(IF(INDEX('Diseases'!G2:G4303,MATCH(C861,'Diseases'!D2:D4303,0))="","",INDEX('Diseases'!G2:G4303,MATCH(C861,'Diseases'!D2:D4303,0))),"")</f>
        <v>3901529</v>
      </c>
      <c r="F861" s="23" cm="1">
        <f t="array" ref="F861">_xlfn.IFERROR(IF(E861="","",D861/E861*100000),"")</f>
        <v>10.4830695863083</v>
      </c>
    </row>
    <row r="862" ht="13.65" customHeight="1">
      <c r="A862" t="s" s="31">
        <v>45</v>
      </c>
      <c r="B862" t="s" s="21">
        <v>66</v>
      </c>
      <c r="C862" t="s" s="21">
        <v>54</v>
      </c>
      <c r="D862" s="22" cm="1">
        <f t="array" ref="D862">_xlfn.SUMIFS('Diseases'!F2:F4303,'Diseases'!B2:B4303,A862,'Diseases'!C2:C4303,B862,'Diseases'!D2:D4303,C862)</f>
        <v>272</v>
      </c>
      <c r="E862" s="22" cm="1">
        <f t="array" ref="E862">_xlfn.IFERROR(IF(INDEX('Diseases'!G2:G4303,MATCH(C862,'Diseases'!D2:D4303,0))="","",INDEX('Diseases'!G2:G4303,MATCH(C862,'Diseases'!D2:D4303,0))),"")</f>
        <v>3901529</v>
      </c>
      <c r="F862" s="23" cm="1">
        <f t="array" ref="F862">_xlfn.IFERROR(IF(E862="","",D862/E862*100000),"")</f>
        <v>6.9716257395498</v>
      </c>
    </row>
    <row r="863" ht="13.65" customHeight="1">
      <c r="A863" t="s" s="20">
        <v>30</v>
      </c>
      <c r="B863" t="s" s="21">
        <v>67</v>
      </c>
      <c r="C863" t="s" s="21">
        <v>54</v>
      </c>
      <c r="D863" s="22" cm="1">
        <f t="array" ref="D863">_xlfn.SUMIFS('Diseases'!F2:F4303,'Diseases'!B2:B4303,A863,'Diseases'!C2:C4303,B863,'Diseases'!D2:D4303,C863)</f>
        <v>9342</v>
      </c>
      <c r="E863" s="22" cm="1">
        <f t="array" ref="E863">_xlfn.IFERROR(IF(INDEX('Diseases'!G2:G4303,MATCH(C863,'Diseases'!D2:D4303,0))="","",INDEX('Diseases'!G2:G4303,MATCH(C863,'Diseases'!D2:D4303,0))),"")</f>
        <v>3901529</v>
      </c>
      <c r="F863" s="23" cm="1">
        <f t="array" ref="F863">_xlfn.IFERROR(IF(E863="","",D863/E863*100000),"")</f>
        <v>239.444586981155</v>
      </c>
    </row>
    <row r="864" ht="13.65" customHeight="1">
      <c r="A864" t="s" s="28">
        <v>41</v>
      </c>
      <c r="B864" t="s" s="21">
        <v>67</v>
      </c>
      <c r="C864" t="s" s="21">
        <v>54</v>
      </c>
      <c r="D864" s="22" cm="1">
        <f t="array" ref="D864">_xlfn.SUMIFS('Diseases'!F2:F4303,'Diseases'!B2:B4303,A864,'Diseases'!C2:C4303,B864,'Diseases'!D2:D4303,C864)</f>
        <v>3195</v>
      </c>
      <c r="E864" s="22" cm="1">
        <f t="array" ref="E864">_xlfn.IFERROR(IF(INDEX('Diseases'!G2:G4303,MATCH(C864,'Diseases'!D2:D4303,0))="","",INDEX('Diseases'!G2:G4303,MATCH(C864,'Diseases'!D2:D4303,0))),"")</f>
        <v>3901529</v>
      </c>
      <c r="F864" s="23" cm="1">
        <f t="array" ref="F864">_xlfn.IFERROR(IF(E864="","",D864/E864*100000),"")</f>
        <v>81.8909714627265</v>
      </c>
    </row>
    <row r="865" ht="13.65" customHeight="1">
      <c r="A865" t="s" s="25">
        <v>35</v>
      </c>
      <c r="B865" t="s" s="21">
        <v>67</v>
      </c>
      <c r="C865" t="s" s="21">
        <v>54</v>
      </c>
      <c r="D865" s="22" cm="1">
        <f t="array" ref="D865">_xlfn.SUMIFS('Diseases'!F2:F4303,'Diseases'!B2:B4303,A865,'Diseases'!C2:C4303,B865,'Diseases'!D2:D4303,C865)</f>
        <v>2522</v>
      </c>
      <c r="E865" s="22" cm="1">
        <f t="array" ref="E865">_xlfn.IFERROR(IF(INDEX('Diseases'!G2:G4303,MATCH(C865,'Diseases'!D2:D4303,0))="","",INDEX('Diseases'!G2:G4303,MATCH(C865,'Diseases'!D2:D4303,0))),"")</f>
        <v>3901529</v>
      </c>
      <c r="F865" s="23" cm="1">
        <f t="array" ref="F865">_xlfn.IFERROR(IF(E865="","",D865/E865*100000),"")</f>
        <v>64.64132395273749</v>
      </c>
    </row>
    <row r="866" ht="13.65" customHeight="1">
      <c r="A866" t="s" s="24">
        <v>34</v>
      </c>
      <c r="B866" t="s" s="21">
        <v>67</v>
      </c>
      <c r="C866" t="s" s="21">
        <v>54</v>
      </c>
      <c r="D866" s="22" cm="1">
        <f t="array" ref="D866">_xlfn.SUMIFS('Diseases'!F2:F4303,'Diseases'!B2:B4303,A866,'Diseases'!C2:C4303,B866,'Diseases'!D2:D4303,C866)</f>
        <v>1988</v>
      </c>
      <c r="E866" s="22" cm="1">
        <f t="array" ref="E866">_xlfn.IFERROR(IF(INDEX('Diseases'!G2:G4303,MATCH(C866,'Diseases'!D2:D4303,0))="","",INDEX('Diseases'!G2:G4303,MATCH(C866,'Diseases'!D2:D4303,0))),"")</f>
        <v>3901529</v>
      </c>
      <c r="F866" s="23" cm="1">
        <f t="array" ref="F866">_xlfn.IFERROR(IF(E866="","",D866/E866*100000),"")</f>
        <v>50.9543822434743</v>
      </c>
    </row>
    <row r="867" ht="13.65" customHeight="1">
      <c r="A867" t="s" s="29">
        <v>39</v>
      </c>
      <c r="B867" t="s" s="21">
        <v>67</v>
      </c>
      <c r="C867" t="s" s="21">
        <v>54</v>
      </c>
      <c r="D867" s="22" cm="1">
        <f t="array" ref="D867">_xlfn.SUMIFS('Diseases'!F2:F4303,'Diseases'!B2:B4303,A867,'Diseases'!C2:C4303,B867,'Diseases'!D2:D4303,C867)</f>
        <v>635</v>
      </c>
      <c r="E867" s="22" cm="1">
        <f t="array" ref="E867">_xlfn.IFERROR(IF(INDEX('Diseases'!G2:G4303,MATCH(C867,'Diseases'!D2:D4303,0))="","",INDEX('Diseases'!G2:G4303,MATCH(C867,'Diseases'!D2:D4303,0))),"")</f>
        <v>3901529</v>
      </c>
      <c r="F867" s="23" cm="1">
        <f t="array" ref="F867">_xlfn.IFERROR(IF(E867="","",D867/E867*100000),"")</f>
        <v>16.2756703846108</v>
      </c>
    </row>
    <row r="868" ht="13.65" customHeight="1">
      <c r="A868" t="s" s="20">
        <v>30</v>
      </c>
      <c r="B868" t="s" s="21">
        <v>68</v>
      </c>
      <c r="C868" t="s" s="21">
        <v>54</v>
      </c>
      <c r="D868" s="22" cm="1">
        <f t="array" ref="D868">_xlfn.SUMIFS('Diseases'!F2:F4303,'Diseases'!B2:B4303,A868,'Diseases'!C2:C4303,B868,'Diseases'!D2:D4303,C868)</f>
        <v>10803</v>
      </c>
      <c r="E868" s="22" cm="1">
        <f t="array" ref="E868">_xlfn.IFERROR(IF(INDEX('Diseases'!G2:G4303,MATCH(C868,'Diseases'!D2:D4303,0))="","",INDEX('Diseases'!G2:G4303,MATCH(C868,'Diseases'!D2:D4303,0))),"")</f>
        <v>3901529</v>
      </c>
      <c r="F868" s="23" cm="1">
        <f t="array" ref="F868">_xlfn.IFERROR(IF(E868="","",D868/E868*100000),"")</f>
        <v>276.891444354252</v>
      </c>
    </row>
    <row r="869" ht="13.65" customHeight="1">
      <c r="A869" t="s" s="28">
        <v>41</v>
      </c>
      <c r="B869" t="s" s="21">
        <v>68</v>
      </c>
      <c r="C869" t="s" s="21">
        <v>54</v>
      </c>
      <c r="D869" s="22" cm="1">
        <f t="array" ref="D869">_xlfn.SUMIFS('Diseases'!F2:F4303,'Diseases'!B2:B4303,A869,'Diseases'!C2:C4303,B869,'Diseases'!D2:D4303,C869)</f>
        <v>3167</v>
      </c>
      <c r="E869" s="22" cm="1">
        <f t="array" ref="E869">_xlfn.IFERROR(IF(INDEX('Diseases'!G2:G4303,MATCH(C869,'Diseases'!D2:D4303,0))="","",INDEX('Diseases'!G2:G4303,MATCH(C869,'Diseases'!D2:D4303,0))),"")</f>
        <v>3901529</v>
      </c>
      <c r="F869" s="23" cm="1">
        <f t="array" ref="F869">_xlfn.IFERROR(IF(E869="","",D869/E869*100000),"")</f>
        <v>81.17330410718461</v>
      </c>
    </row>
    <row r="870" ht="13.65" customHeight="1">
      <c r="A870" t="s" s="25">
        <v>35</v>
      </c>
      <c r="B870" t="s" s="21">
        <v>68</v>
      </c>
      <c r="C870" t="s" s="21">
        <v>54</v>
      </c>
      <c r="D870" s="22" cm="1">
        <f t="array" ref="D870">_xlfn.SUMIFS('Diseases'!F2:F4303,'Diseases'!B2:B4303,A870,'Diseases'!C2:C4303,B870,'Diseases'!D2:D4303,C870)</f>
        <v>2933</v>
      </c>
      <c r="E870" s="22" cm="1">
        <f t="array" ref="E870">_xlfn.IFERROR(IF(INDEX('Diseases'!G2:G4303,MATCH(C870,'Diseases'!D2:D4303,0))="","",INDEX('Diseases'!G2:G4303,MATCH(C870,'Diseases'!D2:D4303,0))),"")</f>
        <v>3901529</v>
      </c>
      <c r="F870" s="23" cm="1">
        <f t="array" ref="F870">_xlfn.IFERROR(IF(E870="","",D870/E870*100000),"")</f>
        <v>75.1756554930131</v>
      </c>
    </row>
    <row r="871" ht="13.65" customHeight="1">
      <c r="A871" t="s" s="24">
        <v>34</v>
      </c>
      <c r="B871" t="s" s="21">
        <v>68</v>
      </c>
      <c r="C871" t="s" s="21">
        <v>54</v>
      </c>
      <c r="D871" s="22" cm="1">
        <f t="array" ref="D871">_xlfn.SUMIFS('Diseases'!F2:F4303,'Diseases'!B2:B4303,A871,'Diseases'!C2:C4303,B871,'Diseases'!D2:D4303,C871)</f>
        <v>2005</v>
      </c>
      <c r="E871" s="22" cm="1">
        <f t="array" ref="E871">_xlfn.IFERROR(IF(INDEX('Diseases'!G2:G4303,MATCH(C871,'Diseases'!D2:D4303,0))="","",INDEX('Diseases'!G2:G4303,MATCH(C871,'Diseases'!D2:D4303,0))),"")</f>
        <v>3901529</v>
      </c>
      <c r="F871" s="23" cm="1">
        <f t="array" ref="F871">_xlfn.IFERROR(IF(E871="","",D871/E871*100000),"")</f>
        <v>51.3901088521962</v>
      </c>
    </row>
    <row r="872" ht="13.65" customHeight="1">
      <c r="A872" t="s" s="29">
        <v>39</v>
      </c>
      <c r="B872" t="s" s="21">
        <v>68</v>
      </c>
      <c r="C872" t="s" s="21">
        <v>54</v>
      </c>
      <c r="D872" s="22" cm="1">
        <f t="array" ref="D872">_xlfn.SUMIFS('Diseases'!F2:F4303,'Diseases'!B2:B4303,A872,'Diseases'!C2:C4303,B872,'Diseases'!D2:D4303,C872)</f>
        <v>945</v>
      </c>
      <c r="E872" s="22" cm="1">
        <f t="array" ref="E872">_xlfn.IFERROR(IF(INDEX('Diseases'!G2:G4303,MATCH(C872,'Diseases'!D2:D4303,0))="","",INDEX('Diseases'!G2:G4303,MATCH(C872,'Diseases'!D2:D4303,0))),"")</f>
        <v>3901529</v>
      </c>
      <c r="F872" s="23" cm="1">
        <f t="array" ref="F872">_xlfn.IFERROR(IF(E872="","",D872/E872*100000),"")</f>
        <v>24.2212732495388</v>
      </c>
    </row>
    <row r="873" ht="13.65" customHeight="1">
      <c r="A873" t="s" s="20">
        <v>30</v>
      </c>
      <c r="B873" t="s" s="21">
        <v>69</v>
      </c>
      <c r="C873" t="s" s="21">
        <v>54</v>
      </c>
      <c r="D873" s="22" cm="1">
        <f t="array" ref="D873">_xlfn.SUMIFS('Diseases'!F2:F4303,'Diseases'!B2:B4303,A873,'Diseases'!C2:C4303,B873,'Diseases'!D2:D4303,C873)</f>
        <v>4725</v>
      </c>
      <c r="E873" s="22" cm="1">
        <f t="array" ref="E873">_xlfn.IFERROR(IF(INDEX('Diseases'!G2:G4303,MATCH(C873,'Diseases'!D2:D4303,0))="","",INDEX('Diseases'!G2:G4303,MATCH(C873,'Diseases'!D2:D4303,0))),"")</f>
        <v>3901529</v>
      </c>
      <c r="F873" s="23" cm="1">
        <f t="array" ref="F873">_xlfn.IFERROR(IF(E873="","",D873/E873*100000),"")</f>
        <v>121.106366247694</v>
      </c>
    </row>
    <row r="874" ht="13.65" customHeight="1">
      <c r="A874" t="s" s="25">
        <v>35</v>
      </c>
      <c r="B874" t="s" s="21">
        <v>69</v>
      </c>
      <c r="C874" t="s" s="21">
        <v>54</v>
      </c>
      <c r="D874" s="22" cm="1">
        <f t="array" ref="D874">_xlfn.SUMIFS('Diseases'!F2:F4303,'Diseases'!B2:B4303,A874,'Diseases'!C2:C4303,B874,'Diseases'!D2:D4303,C874)</f>
        <v>1619</v>
      </c>
      <c r="E874" s="22" cm="1">
        <f t="array" ref="E874">_xlfn.IFERROR(IF(INDEX('Diseases'!G2:G4303,MATCH(C874,'Diseases'!D2:D4303,0))="","",INDEX('Diseases'!G2:G4303,MATCH(C874,'Diseases'!D2:D4303,0))),"")</f>
        <v>3901529</v>
      </c>
      <c r="F874" s="23" cm="1">
        <f t="array" ref="F874">_xlfn.IFERROR(IF(E874="","",D874/E874*100000),"")</f>
        <v>41.4965517365115</v>
      </c>
    </row>
    <row r="875" ht="13.65" customHeight="1">
      <c r="A875" t="s" s="29">
        <v>39</v>
      </c>
      <c r="B875" t="s" s="21">
        <v>69</v>
      </c>
      <c r="C875" t="s" s="21">
        <v>54</v>
      </c>
      <c r="D875" s="22" cm="1">
        <f t="array" ref="D875">_xlfn.SUMIFS('Diseases'!F2:F4303,'Diseases'!B2:B4303,A875,'Diseases'!C2:C4303,B875,'Diseases'!D2:D4303,C875)</f>
        <v>1197</v>
      </c>
      <c r="E875" s="22" cm="1">
        <f t="array" ref="E875">_xlfn.IFERROR(IF(INDEX('Diseases'!G2:G4303,MATCH(C875,'Diseases'!D2:D4303,0))="","",INDEX('Diseases'!G2:G4303,MATCH(C875,'Diseases'!D2:D4303,0))),"")</f>
        <v>3901529</v>
      </c>
      <c r="F875" s="23" cm="1">
        <f t="array" ref="F875">_xlfn.IFERROR(IF(E875="","",D875/E875*100000),"")</f>
        <v>30.6802794494159</v>
      </c>
    </row>
    <row r="876" ht="13.65" customHeight="1">
      <c r="A876" t="s" s="24">
        <v>34</v>
      </c>
      <c r="B876" t="s" s="21">
        <v>69</v>
      </c>
      <c r="C876" t="s" s="21">
        <v>54</v>
      </c>
      <c r="D876" s="22" cm="1">
        <f t="array" ref="D876">_xlfn.SUMIFS('Diseases'!F2:F4303,'Diseases'!B2:B4303,A876,'Diseases'!C2:C4303,B876,'Diseases'!D2:D4303,C876)</f>
        <v>994</v>
      </c>
      <c r="E876" s="22" cm="1">
        <f t="array" ref="E876">_xlfn.IFERROR(IF(INDEX('Diseases'!G2:G4303,MATCH(C876,'Diseases'!D2:D4303,0))="","",INDEX('Diseases'!G2:G4303,MATCH(C876,'Diseases'!D2:D4303,0))),"")</f>
        <v>3901529</v>
      </c>
      <c r="F876" s="23" cm="1">
        <f t="array" ref="F876">_xlfn.IFERROR(IF(E876="","",D876/E876*100000),"")</f>
        <v>25.4771911217371</v>
      </c>
    </row>
    <row r="877" ht="13.65" customHeight="1">
      <c r="A877" t="s" s="31">
        <v>45</v>
      </c>
      <c r="B877" t="s" s="21">
        <v>69</v>
      </c>
      <c r="C877" t="s" s="21">
        <v>54</v>
      </c>
      <c r="D877" s="22" cm="1">
        <f t="array" ref="D877">_xlfn.SUMIFS('Diseases'!F2:F4303,'Diseases'!B2:B4303,A877,'Diseases'!C2:C4303,B877,'Diseases'!D2:D4303,C877)</f>
        <v>312</v>
      </c>
      <c r="E877" s="22" cm="1">
        <f t="array" ref="E877">_xlfn.IFERROR(IF(INDEX('Diseases'!G2:G4303,MATCH(C877,'Diseases'!D2:D4303,0))="","",INDEX('Diseases'!G2:G4303,MATCH(C877,'Diseases'!D2:D4303,0))),"")</f>
        <v>3901529</v>
      </c>
      <c r="F877" s="23" cm="1">
        <f t="array" ref="F877">_xlfn.IFERROR(IF(E877="","",D877/E877*100000),"")</f>
        <v>7.99686481889536</v>
      </c>
    </row>
    <row r="878" ht="13.65" customHeight="1">
      <c r="A878" t="s" s="27">
        <v>37</v>
      </c>
      <c r="B878" t="s" s="21">
        <v>69</v>
      </c>
      <c r="C878" t="s" s="21">
        <v>54</v>
      </c>
      <c r="D878" s="22" cm="1">
        <f t="array" ref="D878">_xlfn.SUMIFS('Diseases'!F2:F4303,'Diseases'!B2:B4303,A878,'Diseases'!C2:C4303,B878,'Diseases'!D2:D4303,C878)</f>
        <v>300</v>
      </c>
      <c r="E878" s="22" cm="1">
        <f t="array" ref="E878">_xlfn.IFERROR(IF(INDEX('Diseases'!G2:G4303,MATCH(C878,'Diseases'!D2:D4303,0))="","",INDEX('Diseases'!G2:G4303,MATCH(C878,'Diseases'!D2:D4303,0))),"")</f>
        <v>3901529</v>
      </c>
      <c r="F878" s="23" cm="1">
        <f t="array" ref="F878">_xlfn.IFERROR(IF(E878="","",D878/E878*100000),"")</f>
        <v>7.68929309509169</v>
      </c>
    </row>
    <row r="879" ht="13.65" customHeight="1">
      <c r="A879" t="s" s="20">
        <v>30</v>
      </c>
      <c r="B879" t="s" s="21">
        <v>70</v>
      </c>
      <c r="C879" t="s" s="21">
        <v>54</v>
      </c>
      <c r="D879" s="22" cm="1">
        <f t="array" ref="D879">_xlfn.SUMIFS('Diseases'!F2:F4303,'Diseases'!B2:B4303,A879,'Diseases'!C2:C4303,B879,'Diseases'!D2:D4303,C879)</f>
        <v>4411</v>
      </c>
      <c r="E879" s="22" cm="1">
        <f t="array" ref="E879">_xlfn.IFERROR(IF(INDEX('Diseases'!G2:G4303,MATCH(C879,'Diseases'!D2:D4303,0))="","",INDEX('Diseases'!G2:G4303,MATCH(C879,'Diseases'!D2:D4303,0))),"")</f>
        <v>3901529</v>
      </c>
      <c r="F879" s="23" cm="1">
        <f t="array" ref="F879">_xlfn.IFERROR(IF(E879="","",D879/E879*100000),"")</f>
        <v>113.058239474832</v>
      </c>
    </row>
    <row r="880" ht="13.65" customHeight="1">
      <c r="A880" t="s" s="25">
        <v>35</v>
      </c>
      <c r="B880" t="s" s="21">
        <v>70</v>
      </c>
      <c r="C880" t="s" s="21">
        <v>54</v>
      </c>
      <c r="D880" s="22" cm="1">
        <f t="array" ref="D880">_xlfn.SUMIFS('Diseases'!F2:F4303,'Diseases'!B2:B4303,A880,'Diseases'!C2:C4303,B880,'Diseases'!D2:D4303,C880)</f>
        <v>2129</v>
      </c>
      <c r="E880" s="22" cm="1">
        <f t="array" ref="E880">_xlfn.IFERROR(IF(INDEX('Diseases'!G2:G4303,MATCH(C880,'Diseases'!D2:D4303,0))="","",INDEX('Diseases'!G2:G4303,MATCH(C880,'Diseases'!D2:D4303,0))),"")</f>
        <v>3901529</v>
      </c>
      <c r="F880" s="23" cm="1">
        <f t="array" ref="F880">_xlfn.IFERROR(IF(E880="","",D880/E880*100000),"")</f>
        <v>54.5683499981674</v>
      </c>
    </row>
    <row r="881" ht="13.65" customHeight="1">
      <c r="A881" t="s" s="28">
        <v>41</v>
      </c>
      <c r="B881" t="s" s="21">
        <v>70</v>
      </c>
      <c r="C881" t="s" s="21">
        <v>54</v>
      </c>
      <c r="D881" s="22" cm="1">
        <f t="array" ref="D881">_xlfn.SUMIFS('Diseases'!F2:F4303,'Diseases'!B2:B4303,A881,'Diseases'!C2:C4303,B881,'Diseases'!D2:D4303,C881)</f>
        <v>1219</v>
      </c>
      <c r="E881" s="22" cm="1">
        <f t="array" ref="E881">_xlfn.IFERROR(IF(INDEX('Diseases'!G2:G4303,MATCH(C881,'Diseases'!D2:D4303,0))="","",INDEX('Diseases'!G2:G4303,MATCH(C881,'Diseases'!D2:D4303,0))),"")</f>
        <v>3901529</v>
      </c>
      <c r="F881" s="23" cm="1">
        <f t="array" ref="F881">_xlfn.IFERROR(IF(E881="","",D881/E881*100000),"")</f>
        <v>31.2441609430559</v>
      </c>
    </row>
    <row r="882" ht="13.65" customHeight="1">
      <c r="A882" t="s" s="29">
        <v>39</v>
      </c>
      <c r="B882" t="s" s="21">
        <v>70</v>
      </c>
      <c r="C882" t="s" s="21">
        <v>54</v>
      </c>
      <c r="D882" s="22" cm="1">
        <f t="array" ref="D882">_xlfn.SUMIFS('Diseases'!F2:F4303,'Diseases'!B2:B4303,A882,'Diseases'!C2:C4303,B882,'Diseases'!D2:D4303,C882)</f>
        <v>1215</v>
      </c>
      <c r="E882" s="22" cm="1">
        <f t="array" ref="E882">_xlfn.IFERROR(IF(INDEX('Diseases'!G2:G4303,MATCH(C882,'Diseases'!D2:D4303,0))="","",INDEX('Diseases'!G2:G4303,MATCH(C882,'Diseases'!D2:D4303,0))),"")</f>
        <v>3901529</v>
      </c>
      <c r="F882" s="23" cm="1">
        <f t="array" ref="F882">_xlfn.IFERROR(IF(E882="","",D882/E882*100000),"")</f>
        <v>31.1416370351214</v>
      </c>
    </row>
    <row r="883" ht="13.65" customHeight="1">
      <c r="A883" t="s" s="24">
        <v>34</v>
      </c>
      <c r="B883" t="s" s="21">
        <v>70</v>
      </c>
      <c r="C883" t="s" s="21">
        <v>54</v>
      </c>
      <c r="D883" s="22" cm="1">
        <f t="array" ref="D883">_xlfn.SUMIFS('Diseases'!F2:F4303,'Diseases'!B2:B4303,A883,'Diseases'!C2:C4303,B883,'Diseases'!D2:D4303,C883)</f>
        <v>888</v>
      </c>
      <c r="E883" s="22" cm="1">
        <f t="array" ref="E883">_xlfn.IFERROR(IF(INDEX('Diseases'!G2:G4303,MATCH(C883,'Diseases'!D2:D4303,0))="","",INDEX('Diseases'!G2:G4303,MATCH(C883,'Diseases'!D2:D4303,0))),"")</f>
        <v>3901529</v>
      </c>
      <c r="F883" s="23" cm="1">
        <f t="array" ref="F883">_xlfn.IFERROR(IF(E883="","",D883/E883*100000),"")</f>
        <v>22.7603075614714</v>
      </c>
    </row>
    <row r="884" ht="13.65" customHeight="1">
      <c r="A884" t="s" s="31">
        <v>45</v>
      </c>
      <c r="B884" t="s" s="21">
        <v>70</v>
      </c>
      <c r="C884" t="s" s="21">
        <v>54</v>
      </c>
      <c r="D884" s="22" cm="1">
        <f t="array" ref="D884">_xlfn.SUMIFS('Diseases'!F2:F4303,'Diseases'!B2:B4303,A884,'Diseases'!C2:C4303,B884,'Diseases'!D2:D4303,C884)</f>
        <v>355</v>
      </c>
      <c r="E884" s="22" cm="1">
        <f t="array" ref="E884">_xlfn.IFERROR(IF(INDEX('Diseases'!G2:G4303,MATCH(C884,'Diseases'!D2:D4303,0))="","",INDEX('Diseases'!G2:G4303,MATCH(C884,'Diseases'!D2:D4303,0))),"")</f>
        <v>3901529</v>
      </c>
      <c r="F884" s="23" cm="1">
        <f t="array" ref="F884">_xlfn.IFERROR(IF(E884="","",D884/E884*100000),"")</f>
        <v>9.09899682919184</v>
      </c>
    </row>
    <row r="885" ht="13.65" customHeight="1">
      <c r="A885" t="s" s="20">
        <v>30</v>
      </c>
      <c r="B885" t="s" s="21">
        <v>31</v>
      </c>
      <c r="C885" t="s" s="21">
        <v>55</v>
      </c>
      <c r="D885" s="22" cm="1">
        <f t="array" ref="D885">_xlfn.SUMIFS('Diseases'!F2:F4303,'Diseases'!B2:B4303,A885,'Diseases'!C2:C4303,B885,'Diseases'!D2:D4303,C885)</f>
        <v>11730</v>
      </c>
      <c r="E885" s="22" cm="1">
        <f t="array" ref="E885">_xlfn.IFERROR(IF(INDEX('Diseases'!G2:G4303,MATCH(C885,'Diseases'!D2:D4303,0))="","",INDEX('Diseases'!G2:G4303,MATCH(C885,'Diseases'!D2:D4303,0))),"")</f>
        <v>5273604</v>
      </c>
      <c r="F885" s="23" cm="1">
        <f t="array" ref="F885">_xlfn.IFERROR(IF(E885="","",D885/E885*100000),"")</f>
        <v>222.428532745348</v>
      </c>
    </row>
    <row r="886" ht="13.65" customHeight="1">
      <c r="A886" t="s" s="25">
        <v>35</v>
      </c>
      <c r="B886" t="s" s="21">
        <v>31</v>
      </c>
      <c r="C886" t="s" s="21">
        <v>55</v>
      </c>
      <c r="D886" s="22" cm="1">
        <f t="array" ref="D886">_xlfn.SUMIFS('Diseases'!F2:F4303,'Diseases'!B2:B4303,A886,'Diseases'!C2:C4303,B886,'Diseases'!D2:D4303,C886)</f>
        <v>10426</v>
      </c>
      <c r="E886" s="22" cm="1">
        <f t="array" ref="E886">_xlfn.IFERROR(IF(INDEX('Diseases'!G2:G4303,MATCH(C886,'Diseases'!D2:D4303,0))="","",INDEX('Diseases'!G2:G4303,MATCH(C886,'Diseases'!D2:D4303,0))),"")</f>
        <v>5273604</v>
      </c>
      <c r="F886" s="23" cm="1">
        <f t="array" ref="F886">_xlfn.IFERROR(IF(E886="","",D886/E886*100000),"")</f>
        <v>197.701609753027</v>
      </c>
    </row>
    <row r="887" ht="13.65" customHeight="1">
      <c r="A887" t="s" s="24">
        <v>34</v>
      </c>
      <c r="B887" t="s" s="21">
        <v>31</v>
      </c>
      <c r="C887" t="s" s="21">
        <v>55</v>
      </c>
      <c r="D887" s="22" cm="1">
        <f t="array" ref="D887">_xlfn.SUMIFS('Diseases'!F2:F4303,'Diseases'!B2:B4303,A887,'Diseases'!C2:C4303,B887,'Diseases'!D2:D4303,C887)</f>
        <v>3602</v>
      </c>
      <c r="E887" s="22" cm="1">
        <f t="array" ref="E887">_xlfn.IFERROR(IF(INDEX('Diseases'!G2:G4303,MATCH(C887,'Diseases'!D2:D4303,0))="","",INDEX('Diseases'!G2:G4303,MATCH(C887,'Diseases'!D2:D4303,0))),"")</f>
        <v>5273604</v>
      </c>
      <c r="F887" s="23" cm="1">
        <f t="array" ref="F887">_xlfn.IFERROR(IF(E887="","",D887/E887*100000),"")</f>
        <v>68.3024360570115</v>
      </c>
    </row>
    <row r="888" ht="13.65" customHeight="1">
      <c r="A888" t="s" s="29">
        <v>39</v>
      </c>
      <c r="B888" t="s" s="21">
        <v>31</v>
      </c>
      <c r="C888" t="s" s="21">
        <v>55</v>
      </c>
      <c r="D888" s="22" cm="1">
        <f t="array" ref="D888">_xlfn.SUMIFS('Diseases'!F2:F4303,'Diseases'!B2:B4303,A888,'Diseases'!C2:C4303,B888,'Diseases'!D2:D4303,C888)</f>
        <v>2301</v>
      </c>
      <c r="E888" s="22" cm="1">
        <f t="array" ref="E888">_xlfn.IFERROR(IF(INDEX('Diseases'!G2:G4303,MATCH(C888,'Diseases'!D2:D4303,0))="","",INDEX('Diseases'!G2:G4303,MATCH(C888,'Diseases'!D2:D4303,0))),"")</f>
        <v>5273604</v>
      </c>
      <c r="F888" s="23" cm="1">
        <f t="array" ref="F888">_xlfn.IFERROR(IF(E888="","",D888/E888*100000),"")</f>
        <v>43.6324001574635</v>
      </c>
    </row>
    <row r="889" ht="13.65" customHeight="1">
      <c r="A889" t="s" s="30">
        <v>40</v>
      </c>
      <c r="B889" t="s" s="21">
        <v>31</v>
      </c>
      <c r="C889" t="s" s="21">
        <v>55</v>
      </c>
      <c r="D889" s="22" cm="1">
        <f t="array" ref="D889">_xlfn.SUMIFS('Diseases'!F2:F4303,'Diseases'!B2:B4303,A889,'Diseases'!C2:C4303,B889,'Diseases'!D2:D4303,C889)</f>
        <v>1783</v>
      </c>
      <c r="E889" s="22" cm="1">
        <f t="array" ref="E889">_xlfn.IFERROR(IF(INDEX('Diseases'!G2:G4303,MATCH(C889,'Diseases'!D2:D4303,0))="","",INDEX('Diseases'!G2:G4303,MATCH(C889,'Diseases'!D2:D4303,0))),"")</f>
        <v>5273604</v>
      </c>
      <c r="F889" s="23" cm="1">
        <f t="array" ref="F889">_xlfn.IFERROR(IF(E889="","",D889/E889*100000),"")</f>
        <v>33.8098954718633</v>
      </c>
    </row>
    <row r="890" ht="13.65" customHeight="1">
      <c r="A890" t="s" s="28">
        <v>41</v>
      </c>
      <c r="B890" t="s" s="21">
        <v>31</v>
      </c>
      <c r="C890" t="s" s="21">
        <v>55</v>
      </c>
      <c r="D890" s="22" cm="1">
        <f t="array" ref="D890">_xlfn.SUMIFS('Diseases'!F2:F4303,'Diseases'!B2:B4303,A890,'Diseases'!C2:C4303,B890,'Diseases'!D2:D4303,C890)</f>
        <v>1332</v>
      </c>
      <c r="E890" s="22" cm="1">
        <f t="array" ref="E890">_xlfn.IFERROR(IF(INDEX('Diseases'!G2:G4303,MATCH(C890,'Diseases'!D2:D4303,0))="","",INDEX('Diseases'!G2:G4303,MATCH(C890,'Diseases'!D2:D4303,0))),"")</f>
        <v>5273604</v>
      </c>
      <c r="F890" s="23" cm="1">
        <f t="array" ref="F890">_xlfn.IFERROR(IF(E890="","",D890/E890*100000),"")</f>
        <v>25.2578691915434</v>
      </c>
    </row>
    <row r="891" ht="13.65" customHeight="1">
      <c r="A891" t="s" s="26">
        <v>36</v>
      </c>
      <c r="B891" t="s" s="21">
        <v>31</v>
      </c>
      <c r="C891" t="s" s="21">
        <v>55</v>
      </c>
      <c r="D891" s="22" cm="1">
        <f t="array" ref="D891">_xlfn.SUMIFS('Diseases'!F2:F4303,'Diseases'!B2:B4303,A891,'Diseases'!C2:C4303,B891,'Diseases'!D2:D4303,C891)</f>
        <v>1268</v>
      </c>
      <c r="E891" s="22" cm="1">
        <f t="array" ref="E891">_xlfn.IFERROR(IF(INDEX('Diseases'!G2:G4303,MATCH(C891,'Diseases'!D2:D4303,0))="","",INDEX('Diseases'!G2:G4303,MATCH(C891,'Diseases'!D2:D4303,0))),"")</f>
        <v>5273604</v>
      </c>
      <c r="F891" s="23" cm="1">
        <f t="array" ref="F891">_xlfn.IFERROR(IF(E891="","",D891/E891*100000),"")</f>
        <v>24.0442778790368</v>
      </c>
    </row>
    <row r="892" ht="13.65" customHeight="1">
      <c r="A892" t="s" s="27">
        <v>37</v>
      </c>
      <c r="B892" t="s" s="21">
        <v>31</v>
      </c>
      <c r="C892" t="s" s="21">
        <v>55</v>
      </c>
      <c r="D892" s="22" cm="1">
        <f t="array" ref="D892">_xlfn.SUMIFS('Diseases'!F2:F4303,'Diseases'!B2:B4303,A892,'Diseases'!C2:C4303,B892,'Diseases'!D2:D4303,C892)</f>
        <v>986</v>
      </c>
      <c r="E892" s="22" cm="1">
        <f t="array" ref="E892">_xlfn.IFERROR(IF(INDEX('Diseases'!G2:G4303,MATCH(C892,'Diseases'!D2:D4303,0))="","",INDEX('Diseases'!G2:G4303,MATCH(C892,'Diseases'!D2:D4303,0))),"")</f>
        <v>5273604</v>
      </c>
      <c r="F892" s="23" cm="1">
        <f t="array" ref="F892">_xlfn.IFERROR(IF(E892="","",D892/E892*100000),"")</f>
        <v>18.6968911583046</v>
      </c>
    </row>
    <row r="893" ht="13.65" customHeight="1">
      <c r="A893" t="s" s="20">
        <v>30</v>
      </c>
      <c r="B893" t="s" s="21">
        <v>60</v>
      </c>
      <c r="C893" t="s" s="21">
        <v>55</v>
      </c>
      <c r="D893" s="22" cm="1">
        <f t="array" ref="D893">_xlfn.SUMIFS('Diseases'!F2:F4303,'Diseases'!B2:B4303,A893,'Diseases'!C2:C4303,B893,'Diseases'!D2:D4303,C893)</f>
        <v>9329</v>
      </c>
      <c r="E893" s="22" cm="1">
        <f t="array" ref="E893">_xlfn.IFERROR(IF(INDEX('Diseases'!G2:G4303,MATCH(C893,'Diseases'!D2:D4303,0))="","",INDEX('Diseases'!G2:G4303,MATCH(C893,'Diseases'!D2:D4303,0))),"")</f>
        <v>5273604</v>
      </c>
      <c r="F893" s="23" cm="1">
        <f t="array" ref="F893">_xlfn.IFERROR(IF(E893="","",D893/E893*100000),"")</f>
        <v>176.899896162093</v>
      </c>
    </row>
    <row r="894" ht="13.65" customHeight="1">
      <c r="A894" t="s" s="25">
        <v>35</v>
      </c>
      <c r="B894" t="s" s="21">
        <v>60</v>
      </c>
      <c r="C894" t="s" s="21">
        <v>55</v>
      </c>
      <c r="D894" s="22" cm="1">
        <f t="array" ref="D894">_xlfn.SUMIFS('Diseases'!F2:F4303,'Diseases'!B2:B4303,A894,'Diseases'!C2:C4303,B894,'Diseases'!D2:D4303,C894)</f>
        <v>6574</v>
      </c>
      <c r="E894" s="22" cm="1">
        <f t="array" ref="E894">_xlfn.IFERROR(IF(INDEX('Diseases'!G2:G4303,MATCH(C894,'Diseases'!D2:D4303,0))="","",INDEX('Diseases'!G2:G4303,MATCH(C894,'Diseases'!D2:D4303,0))),"")</f>
        <v>5273604</v>
      </c>
      <c r="F894" s="23" cm="1">
        <f t="array" ref="F894">_xlfn.IFERROR(IF(E894="","",D894/E894*100000),"")</f>
        <v>124.658582631536</v>
      </c>
    </row>
    <row r="895" ht="13.65" customHeight="1">
      <c r="A895" t="s" s="24">
        <v>34</v>
      </c>
      <c r="B895" t="s" s="21">
        <v>60</v>
      </c>
      <c r="C895" t="s" s="21">
        <v>55</v>
      </c>
      <c r="D895" s="22" cm="1">
        <f t="array" ref="D895">_xlfn.SUMIFS('Diseases'!F2:F4303,'Diseases'!B2:B4303,A895,'Diseases'!C2:C4303,B895,'Diseases'!D2:D4303,C895)</f>
        <v>2350</v>
      </c>
      <c r="E895" s="22" cm="1">
        <f t="array" ref="E895">_xlfn.IFERROR(IF(INDEX('Diseases'!G2:G4303,MATCH(C895,'Diseases'!D2:D4303,0))="","",INDEX('Diseases'!G2:G4303,MATCH(C895,'Diseases'!D2:D4303,0))),"")</f>
        <v>5273604</v>
      </c>
      <c r="F895" s="23" cm="1">
        <f t="array" ref="F895">_xlfn.IFERROR(IF(E895="","",D895/E895*100000),"")</f>
        <v>44.5615560061013</v>
      </c>
    </row>
    <row r="896" ht="13.65" customHeight="1">
      <c r="A896" t="s" s="29">
        <v>39</v>
      </c>
      <c r="B896" t="s" s="21">
        <v>60</v>
      </c>
      <c r="C896" t="s" s="21">
        <v>55</v>
      </c>
      <c r="D896" s="22" cm="1">
        <f t="array" ref="D896">_xlfn.SUMIFS('Diseases'!F2:F4303,'Diseases'!B2:B4303,A896,'Diseases'!C2:C4303,B896,'Diseases'!D2:D4303,C896)</f>
        <v>1961</v>
      </c>
      <c r="E896" s="22" cm="1">
        <f t="array" ref="E896">_xlfn.IFERROR(IF(INDEX('Diseases'!G2:G4303,MATCH(C896,'Diseases'!D2:D4303,0))="","",INDEX('Diseases'!G2:G4303,MATCH(C896,'Diseases'!D2:D4303,0))),"")</f>
        <v>5273604</v>
      </c>
      <c r="F896" s="23" cm="1">
        <f t="array" ref="F896">_xlfn.IFERROR(IF(E896="","",D896/E896*100000),"")</f>
        <v>37.1851963097722</v>
      </c>
    </row>
    <row r="897" ht="13.65" customHeight="1">
      <c r="A897" t="s" s="26">
        <v>36</v>
      </c>
      <c r="B897" t="s" s="21">
        <v>60</v>
      </c>
      <c r="C897" t="s" s="21">
        <v>55</v>
      </c>
      <c r="D897" s="22" cm="1">
        <f t="array" ref="D897">_xlfn.SUMIFS('Diseases'!F2:F4303,'Diseases'!B2:B4303,A897,'Diseases'!C2:C4303,B897,'Diseases'!D2:D4303,C897)</f>
        <v>1652</v>
      </c>
      <c r="E897" s="22" cm="1">
        <f t="array" ref="E897">_xlfn.IFERROR(IF(INDEX('Diseases'!G2:G4303,MATCH(C897,'Diseases'!D2:D4303,0))="","",INDEX('Diseases'!G2:G4303,MATCH(C897,'Diseases'!D2:D4303,0))),"")</f>
        <v>5273604</v>
      </c>
      <c r="F897" s="23" cm="1">
        <f t="array" ref="F897">_xlfn.IFERROR(IF(E897="","",D897/E897*100000),"")</f>
        <v>31.3258257540763</v>
      </c>
    </row>
    <row r="898" ht="13.65" customHeight="1">
      <c r="A898" t="s" s="28">
        <v>41</v>
      </c>
      <c r="B898" t="s" s="21">
        <v>60</v>
      </c>
      <c r="C898" t="s" s="21">
        <v>55</v>
      </c>
      <c r="D898" s="22" cm="1">
        <f t="array" ref="D898">_xlfn.SUMIFS('Diseases'!F2:F4303,'Diseases'!B2:B4303,A898,'Diseases'!C2:C4303,B898,'Diseases'!D2:D4303,C898)</f>
        <v>776</v>
      </c>
      <c r="E898" s="22" cm="1">
        <f t="array" ref="E898">_xlfn.IFERROR(IF(INDEX('Diseases'!G2:G4303,MATCH(C898,'Diseases'!D2:D4303,0))="","",INDEX('Diseases'!G2:G4303,MATCH(C898,'Diseases'!D2:D4303,0))),"")</f>
        <v>5273604</v>
      </c>
      <c r="F898" s="23" cm="1">
        <f t="array" ref="F898">_xlfn.IFERROR(IF(E898="","",D898/E898*100000),"")</f>
        <v>14.7147946641424</v>
      </c>
    </row>
    <row r="899" ht="13.65" customHeight="1">
      <c r="A899" t="s" s="31">
        <v>45</v>
      </c>
      <c r="B899" t="s" s="21">
        <v>60</v>
      </c>
      <c r="C899" t="s" s="21">
        <v>55</v>
      </c>
      <c r="D899" s="22" cm="1">
        <f t="array" ref="D899">_xlfn.SUMIFS('Diseases'!F2:F4303,'Diseases'!B2:B4303,A899,'Diseases'!C2:C4303,B899,'Diseases'!D2:D4303,C899)</f>
        <v>746</v>
      </c>
      <c r="E899" s="22" cm="1">
        <f t="array" ref="E899">_xlfn.IFERROR(IF(INDEX('Diseases'!G2:G4303,MATCH(C899,'Diseases'!D2:D4303,0))="","",INDEX('Diseases'!G2:G4303,MATCH(C899,'Diseases'!D2:D4303,0))),"")</f>
        <v>5273604</v>
      </c>
      <c r="F899" s="23" cm="1">
        <f t="array" ref="F899">_xlfn.IFERROR(IF(E899="","",D899/E899*100000),"")</f>
        <v>14.1459237364049</v>
      </c>
    </row>
    <row r="900" ht="13.65" customHeight="1">
      <c r="A900" t="s" s="20">
        <v>30</v>
      </c>
      <c r="B900" t="s" s="21">
        <v>61</v>
      </c>
      <c r="C900" t="s" s="21">
        <v>55</v>
      </c>
      <c r="D900" s="22" cm="1">
        <f t="array" ref="D900">_xlfn.SUMIFS('Diseases'!F2:F4303,'Diseases'!B2:B4303,A900,'Diseases'!C2:C4303,B900,'Diseases'!D2:D4303,C900)</f>
        <v>11056</v>
      </c>
      <c r="E900" s="22" cm="1">
        <f t="array" ref="E900">_xlfn.IFERROR(IF(INDEX('Diseases'!G2:G4303,MATCH(C900,'Diseases'!D2:D4303,0))="","",INDEX('Diseases'!G2:G4303,MATCH(C900,'Diseases'!D2:D4303,0))),"")</f>
        <v>5273604</v>
      </c>
      <c r="F900" s="23" cm="1">
        <f t="array" ref="F900">_xlfn.IFERROR(IF(E900="","",D900/E900*100000),"")</f>
        <v>209.647899235513</v>
      </c>
    </row>
    <row r="901" ht="13.65" customHeight="1">
      <c r="A901" t="s" s="25">
        <v>35</v>
      </c>
      <c r="B901" t="s" s="21">
        <v>61</v>
      </c>
      <c r="C901" t="s" s="21">
        <v>55</v>
      </c>
      <c r="D901" s="22" cm="1">
        <f t="array" ref="D901">_xlfn.SUMIFS('Diseases'!F2:F4303,'Diseases'!B2:B4303,A901,'Diseases'!C2:C4303,B901,'Diseases'!D2:D4303,C901)</f>
        <v>2965</v>
      </c>
      <c r="E901" s="22" cm="1">
        <f t="array" ref="E901">_xlfn.IFERROR(IF(INDEX('Diseases'!G2:G4303,MATCH(C901,'Diseases'!D2:D4303,0))="","",INDEX('Diseases'!G2:G4303,MATCH(C901,'Diseases'!D2:D4303,0))),"")</f>
        <v>5273604</v>
      </c>
      <c r="F901" s="23" cm="1">
        <f t="array" ref="F901">_xlfn.IFERROR(IF(E901="","",D901/E901*100000),"")</f>
        <v>56.2234100247193</v>
      </c>
    </row>
    <row r="902" ht="13.65" customHeight="1">
      <c r="A902" t="s" s="24">
        <v>34</v>
      </c>
      <c r="B902" t="s" s="21">
        <v>61</v>
      </c>
      <c r="C902" t="s" s="21">
        <v>55</v>
      </c>
      <c r="D902" s="22" cm="1">
        <f t="array" ref="D902">_xlfn.SUMIFS('Diseases'!F2:F4303,'Diseases'!B2:B4303,A902,'Diseases'!C2:C4303,B902,'Diseases'!D2:D4303,C902)</f>
        <v>2701</v>
      </c>
      <c r="E902" s="22" cm="1">
        <f t="array" ref="E902">_xlfn.IFERROR(IF(INDEX('Diseases'!G2:G4303,MATCH(C902,'Diseases'!D2:D4303,0))="","",INDEX('Diseases'!G2:G4303,MATCH(C902,'Diseases'!D2:D4303,0))),"")</f>
        <v>5273604</v>
      </c>
      <c r="F902" s="23" cm="1">
        <f t="array" ref="F902">_xlfn.IFERROR(IF(E902="","",D902/E902*100000),"")</f>
        <v>51.2173458606297</v>
      </c>
    </row>
    <row r="903" ht="13.65" customHeight="1">
      <c r="A903" t="s" s="31">
        <v>45</v>
      </c>
      <c r="B903" t="s" s="21">
        <v>61</v>
      </c>
      <c r="C903" t="s" s="21">
        <v>55</v>
      </c>
      <c r="D903" s="22" cm="1">
        <f t="array" ref="D903">_xlfn.SUMIFS('Diseases'!F2:F4303,'Diseases'!B2:B4303,A903,'Diseases'!C2:C4303,B903,'Diseases'!D2:D4303,C903)</f>
        <v>1854</v>
      </c>
      <c r="E903" s="22" cm="1">
        <f t="array" ref="E903">_xlfn.IFERROR(IF(INDEX('Diseases'!G2:G4303,MATCH(C903,'Diseases'!D2:D4303,0))="","",INDEX('Diseases'!G2:G4303,MATCH(C903,'Diseases'!D2:D4303,0))),"")</f>
        <v>5273604</v>
      </c>
      <c r="F903" s="23" cm="1">
        <f t="array" ref="F903">_xlfn.IFERROR(IF(E903="","",D903/E903*100000),"")</f>
        <v>35.1562233341753</v>
      </c>
    </row>
    <row r="904" ht="13.65" customHeight="1">
      <c r="A904" t="s" s="29">
        <v>39</v>
      </c>
      <c r="B904" t="s" s="21">
        <v>61</v>
      </c>
      <c r="C904" t="s" s="21">
        <v>55</v>
      </c>
      <c r="D904" s="22" cm="1">
        <f t="array" ref="D904">_xlfn.SUMIFS('Diseases'!F2:F4303,'Diseases'!B2:B4303,A904,'Diseases'!C2:C4303,B904,'Diseases'!D2:D4303,C904)</f>
        <v>761</v>
      </c>
      <c r="E904" s="22" cm="1">
        <f t="array" ref="E904">_xlfn.IFERROR(IF(INDEX('Diseases'!G2:G4303,MATCH(C904,'Diseases'!D2:D4303,0))="","",INDEX('Diseases'!G2:G4303,MATCH(C904,'Diseases'!D2:D4303,0))),"")</f>
        <v>5273604</v>
      </c>
      <c r="F904" s="23" cm="1">
        <f t="array" ref="F904">_xlfn.IFERROR(IF(E904="","",D904/E904*100000),"")</f>
        <v>14.4303592002737</v>
      </c>
    </row>
    <row r="905" ht="13.65" customHeight="1">
      <c r="A905" t="s" s="20">
        <v>30</v>
      </c>
      <c r="B905" t="s" s="21">
        <v>62</v>
      </c>
      <c r="C905" t="s" s="21">
        <v>55</v>
      </c>
      <c r="D905" s="22" cm="1">
        <f t="array" ref="D905">_xlfn.SUMIFS('Diseases'!F2:F4303,'Diseases'!B2:B4303,A905,'Diseases'!C2:C4303,B905,'Diseases'!D2:D4303,C905)</f>
        <v>125550</v>
      </c>
      <c r="E905" s="22" cm="1">
        <f t="array" ref="E905">_xlfn.IFERROR(IF(INDEX('Diseases'!G2:G4303,MATCH(C905,'Diseases'!D2:D4303,0))="","",INDEX('Diseases'!G2:G4303,MATCH(C905,'Diseases'!D2:D4303,0))),"")</f>
        <v>5273604</v>
      </c>
      <c r="F905" s="23" cm="1">
        <f t="array" ref="F905">_xlfn.IFERROR(IF(E905="","",D905/E905*100000),"")</f>
        <v>2380.724832581290</v>
      </c>
    </row>
    <row r="906" ht="13.65" customHeight="1">
      <c r="A906" t="s" s="25">
        <v>35</v>
      </c>
      <c r="B906" t="s" s="21">
        <v>62</v>
      </c>
      <c r="C906" t="s" s="21">
        <v>55</v>
      </c>
      <c r="D906" s="22" cm="1">
        <f t="array" ref="D906">_xlfn.SUMIFS('Diseases'!F2:F4303,'Diseases'!B2:B4303,A906,'Diseases'!C2:C4303,B906,'Diseases'!D2:D4303,C906)</f>
        <v>113715</v>
      </c>
      <c r="E906" s="22" cm="1">
        <f t="array" ref="E906">_xlfn.IFERROR(IF(INDEX('Diseases'!G2:G4303,MATCH(C906,'Diseases'!D2:D4303,0))="","",INDEX('Diseases'!G2:G4303,MATCH(C906,'Diseases'!D2:D4303,0))),"")</f>
        <v>5273604</v>
      </c>
      <c r="F906" s="23" cm="1">
        <f t="array" ref="F906">_xlfn.IFERROR(IF(E906="","",D906/E906*100000),"")</f>
        <v>2156.305251588860</v>
      </c>
    </row>
    <row r="907" ht="13.65" customHeight="1">
      <c r="A907" t="s" s="24">
        <v>34</v>
      </c>
      <c r="B907" t="s" s="21">
        <v>62</v>
      </c>
      <c r="C907" t="s" s="21">
        <v>55</v>
      </c>
      <c r="D907" s="22" cm="1">
        <f t="array" ref="D907">_xlfn.SUMIFS('Diseases'!F2:F4303,'Diseases'!B2:B4303,A907,'Diseases'!C2:C4303,B907,'Diseases'!D2:D4303,C907)</f>
        <v>45015</v>
      </c>
      <c r="E907" s="22" cm="1">
        <f t="array" ref="E907">_xlfn.IFERROR(IF(INDEX('Diseases'!G2:G4303,MATCH(C907,'Diseases'!D2:D4303,0))="","",INDEX('Diseases'!G2:G4303,MATCH(C907,'Diseases'!D2:D4303,0))),"")</f>
        <v>5273604</v>
      </c>
      <c r="F907" s="23" cm="1">
        <f t="array" ref="F907">_xlfn.IFERROR(IF(E907="","",D907/E907*100000),"")</f>
        <v>853.5908270700641</v>
      </c>
    </row>
    <row r="908" ht="13.65" customHeight="1">
      <c r="A908" t="s" s="26">
        <v>36</v>
      </c>
      <c r="B908" t="s" s="21">
        <v>62</v>
      </c>
      <c r="C908" t="s" s="21">
        <v>55</v>
      </c>
      <c r="D908" s="22" cm="1">
        <f t="array" ref="D908">_xlfn.SUMIFS('Diseases'!F2:F4303,'Diseases'!B2:B4303,A908,'Diseases'!C2:C4303,B908,'Diseases'!D2:D4303,C908)</f>
        <v>38670</v>
      </c>
      <c r="E908" s="22" cm="1">
        <f t="array" ref="E908">_xlfn.IFERROR(IF(INDEX('Diseases'!G2:G4303,MATCH(C908,'Diseases'!D2:D4303,0))="","",INDEX('Diseases'!G2:G4303,MATCH(C908,'Diseases'!D2:D4303,0))),"")</f>
        <v>5273604</v>
      </c>
      <c r="F908" s="23" cm="1">
        <f t="array" ref="F908">_xlfn.IFERROR(IF(E908="","",D908/E908*100000),"")</f>
        <v>733.274625853591</v>
      </c>
    </row>
    <row r="909" ht="13.65" customHeight="1">
      <c r="A909" t="s" s="29">
        <v>39</v>
      </c>
      <c r="B909" t="s" s="21">
        <v>62</v>
      </c>
      <c r="C909" t="s" s="21">
        <v>55</v>
      </c>
      <c r="D909" s="22" cm="1">
        <f t="array" ref="D909">_xlfn.SUMIFS('Diseases'!F2:F4303,'Diseases'!B2:B4303,A909,'Diseases'!C2:C4303,B909,'Diseases'!D2:D4303,C909)</f>
        <v>27735</v>
      </c>
      <c r="E909" s="22" cm="1">
        <f t="array" ref="E909">_xlfn.IFERROR(IF(INDEX('Diseases'!G2:G4303,MATCH(C909,'Diseases'!D2:D4303,0))="","",INDEX('Diseases'!G2:G4303,MATCH(C909,'Diseases'!D2:D4303,0))),"")</f>
        <v>5273604</v>
      </c>
      <c r="F909" s="23" cm="1">
        <f t="array" ref="F909">_xlfn.IFERROR(IF(E909="","",D909/E909*100000),"")</f>
        <v>525.921172693285</v>
      </c>
    </row>
    <row r="910" ht="13.65" customHeight="1">
      <c r="A910" t="s" s="28">
        <v>41</v>
      </c>
      <c r="B910" t="s" s="21">
        <v>62</v>
      </c>
      <c r="C910" t="s" s="21">
        <v>55</v>
      </c>
      <c r="D910" s="22" cm="1">
        <f t="array" ref="D910">_xlfn.SUMIFS('Diseases'!F2:F4303,'Diseases'!B2:B4303,A910,'Diseases'!C2:C4303,B910,'Diseases'!D2:D4303,C910)</f>
        <v>19785</v>
      </c>
      <c r="E910" s="22" cm="1">
        <f t="array" ref="E910">_xlfn.IFERROR(IF(INDEX('Diseases'!G2:G4303,MATCH(C910,'Diseases'!D2:D4303,0))="","",INDEX('Diseases'!G2:G4303,MATCH(C910,'Diseases'!D2:D4303,0))),"")</f>
        <v>5273604</v>
      </c>
      <c r="F910" s="23" cm="1">
        <f t="array" ref="F910">_xlfn.IFERROR(IF(E910="","",D910/E910*100000),"")</f>
        <v>375.170376842857</v>
      </c>
    </row>
    <row r="911" ht="13.65" customHeight="1">
      <c r="A911" t="s" s="27">
        <v>37</v>
      </c>
      <c r="B911" t="s" s="21">
        <v>62</v>
      </c>
      <c r="C911" t="s" s="21">
        <v>55</v>
      </c>
      <c r="D911" s="22" cm="1">
        <f t="array" ref="D911">_xlfn.SUMIFS('Diseases'!F2:F4303,'Diseases'!B2:B4303,A911,'Diseases'!C2:C4303,B911,'Diseases'!D2:D4303,C911)</f>
        <v>10710</v>
      </c>
      <c r="E911" s="22" cm="1">
        <f t="array" ref="E911">_xlfn.IFERROR(IF(INDEX('Diseases'!G2:G4303,MATCH(C911,'Diseases'!D2:D4303,0))="","",INDEX('Diseases'!G2:G4303,MATCH(C911,'Diseases'!D2:D4303,0))),"")</f>
        <v>5273604</v>
      </c>
      <c r="F911" s="23" cm="1">
        <f t="array" ref="F911">_xlfn.IFERROR(IF(E911="","",D911/E911*100000),"")</f>
        <v>203.086921202275</v>
      </c>
    </row>
    <row r="912" ht="13.65" customHeight="1">
      <c r="A912" t="s" s="20">
        <v>30</v>
      </c>
      <c r="B912" t="s" s="21">
        <v>63</v>
      </c>
      <c r="C912" t="s" s="21">
        <v>55</v>
      </c>
      <c r="D912" s="22" cm="1">
        <f t="array" ref="D912">_xlfn.SUMIFS('Diseases'!F2:F4303,'Diseases'!B2:B4303,A912,'Diseases'!C2:C4303,B912,'Diseases'!D2:D4303,C912)</f>
        <v>7868</v>
      </c>
      <c r="E912" s="22" cm="1">
        <f t="array" ref="E912">_xlfn.IFERROR(IF(INDEX('Diseases'!G2:G4303,MATCH(C912,'Diseases'!D2:D4303,0))="","",INDEX('Diseases'!G2:G4303,MATCH(C912,'Diseases'!D2:D4303,0))),"")</f>
        <v>5273604</v>
      </c>
      <c r="F912" s="23" cm="1">
        <f t="array" ref="F912">_xlfn.IFERROR(IF(E912="","",D912/E912*100000),"")</f>
        <v>149.195881981279</v>
      </c>
    </row>
    <row r="913" ht="13.65" customHeight="1">
      <c r="A913" t="s" s="25">
        <v>35</v>
      </c>
      <c r="B913" t="s" s="21">
        <v>63</v>
      </c>
      <c r="C913" t="s" s="21">
        <v>55</v>
      </c>
      <c r="D913" s="22" cm="1">
        <f t="array" ref="D913">_xlfn.SUMIFS('Diseases'!F2:F4303,'Diseases'!B2:B4303,A913,'Diseases'!C2:C4303,B913,'Diseases'!D2:D4303,C913)</f>
        <v>7782</v>
      </c>
      <c r="E913" s="22" cm="1">
        <f t="array" ref="E913">_xlfn.IFERROR(IF(INDEX('Diseases'!G2:G4303,MATCH(C913,'Diseases'!D2:D4303,0))="","",INDEX('Diseases'!G2:G4303,MATCH(C913,'Diseases'!D2:D4303,0))),"")</f>
        <v>5273604</v>
      </c>
      <c r="F913" s="23" cm="1">
        <f t="array" ref="F913">_xlfn.IFERROR(IF(E913="","",D913/E913*100000),"")</f>
        <v>147.565118655098</v>
      </c>
    </row>
    <row r="914" ht="13.65" customHeight="1">
      <c r="A914" t="s" s="24">
        <v>34</v>
      </c>
      <c r="B914" t="s" s="21">
        <v>63</v>
      </c>
      <c r="C914" t="s" s="21">
        <v>55</v>
      </c>
      <c r="D914" s="22" cm="1">
        <f t="array" ref="D914">_xlfn.SUMIFS('Diseases'!F2:F4303,'Diseases'!B2:B4303,A914,'Diseases'!C2:C4303,B914,'Diseases'!D2:D4303,C914)</f>
        <v>2197</v>
      </c>
      <c r="E914" s="22" cm="1">
        <f t="array" ref="E914">_xlfn.IFERROR(IF(INDEX('Diseases'!G2:G4303,MATCH(C914,'Diseases'!D2:D4303,0))="","",INDEX('Diseases'!G2:G4303,MATCH(C914,'Diseases'!D2:D4303,0))),"")</f>
        <v>5273604</v>
      </c>
      <c r="F914" s="23" cm="1">
        <f t="array" ref="F914">_xlfn.IFERROR(IF(E914="","",D914/E914*100000),"")</f>
        <v>41.6603142746403</v>
      </c>
    </row>
    <row r="915" ht="13.65" customHeight="1">
      <c r="A915" t="s" s="26">
        <v>36</v>
      </c>
      <c r="B915" t="s" s="21">
        <v>63</v>
      </c>
      <c r="C915" t="s" s="21">
        <v>55</v>
      </c>
      <c r="D915" s="22" cm="1">
        <f t="array" ref="D915">_xlfn.SUMIFS('Diseases'!F2:F4303,'Diseases'!B2:B4303,A915,'Diseases'!C2:C4303,B915,'Diseases'!D2:D4303,C915)</f>
        <v>2163</v>
      </c>
      <c r="E915" s="22" cm="1">
        <f t="array" ref="E915">_xlfn.IFERROR(IF(INDEX('Diseases'!G2:G4303,MATCH(C915,'Diseases'!D2:D4303,0))="","",INDEX('Diseases'!G2:G4303,MATCH(C915,'Diseases'!D2:D4303,0))),"")</f>
        <v>5273604</v>
      </c>
      <c r="F915" s="23" cm="1">
        <f t="array" ref="F915">_xlfn.IFERROR(IF(E915="","",D915/E915*100000),"")</f>
        <v>41.0155938898711</v>
      </c>
    </row>
    <row r="916" ht="13.65" customHeight="1">
      <c r="A916" t="s" s="29">
        <v>39</v>
      </c>
      <c r="B916" t="s" s="21">
        <v>63</v>
      </c>
      <c r="C916" t="s" s="21">
        <v>55</v>
      </c>
      <c r="D916" s="22" cm="1">
        <f t="array" ref="D916">_xlfn.SUMIFS('Diseases'!F2:F4303,'Diseases'!B2:B4303,A916,'Diseases'!C2:C4303,B916,'Diseases'!D2:D4303,C916)</f>
        <v>1087</v>
      </c>
      <c r="E916" s="22" cm="1">
        <f t="array" ref="E916">_xlfn.IFERROR(IF(INDEX('Diseases'!G2:G4303,MATCH(C916,'Diseases'!D2:D4303,0))="","",INDEX('Diseases'!G2:G4303,MATCH(C916,'Diseases'!D2:D4303,0))),"")</f>
        <v>5273604</v>
      </c>
      <c r="F916" s="23" cm="1">
        <f t="array" ref="F916">_xlfn.IFERROR(IF(E916="","",D916/E916*100000),"")</f>
        <v>20.6120899483541</v>
      </c>
    </row>
    <row r="917" ht="13.65" customHeight="1">
      <c r="A917" t="s" s="31">
        <v>45</v>
      </c>
      <c r="B917" t="s" s="21">
        <v>63</v>
      </c>
      <c r="C917" t="s" s="21">
        <v>55</v>
      </c>
      <c r="D917" s="22" cm="1">
        <f t="array" ref="D917">_xlfn.SUMIFS('Diseases'!F2:F4303,'Diseases'!B2:B4303,A917,'Diseases'!C2:C4303,B917,'Diseases'!D2:D4303,C917)</f>
        <v>603</v>
      </c>
      <c r="E917" s="22" cm="1">
        <f t="array" ref="E917">_xlfn.IFERROR(IF(INDEX('Diseases'!G2:G4303,MATCH(C917,'Diseases'!D2:D4303,0))="","",INDEX('Diseases'!G2:G4303,MATCH(C917,'Diseases'!D2:D4303,0))),"")</f>
        <v>5273604</v>
      </c>
      <c r="F917" s="23" cm="1">
        <f t="array" ref="F917">_xlfn.IFERROR(IF(E917="","",D917/E917*100000),"")</f>
        <v>11.434305647523</v>
      </c>
    </row>
    <row r="918" ht="13.65" customHeight="1">
      <c r="A918" t="s" s="27">
        <v>37</v>
      </c>
      <c r="B918" t="s" s="21">
        <v>63</v>
      </c>
      <c r="C918" t="s" s="21">
        <v>55</v>
      </c>
      <c r="D918" s="22" cm="1">
        <f t="array" ref="D918">_xlfn.SUMIFS('Diseases'!F2:F4303,'Diseases'!B2:B4303,A918,'Diseases'!C2:C4303,B918,'Diseases'!D2:D4303,C918)</f>
        <v>556</v>
      </c>
      <c r="E918" s="22" cm="1">
        <f t="array" ref="E918">_xlfn.IFERROR(IF(INDEX('Diseases'!G2:G4303,MATCH(C918,'Diseases'!D2:D4303,0))="","",INDEX('Diseases'!G2:G4303,MATCH(C918,'Diseases'!D2:D4303,0))),"")</f>
        <v>5273604</v>
      </c>
      <c r="F918" s="23" cm="1">
        <f t="array" ref="F918">_xlfn.IFERROR(IF(E918="","",D918/E918*100000),"")</f>
        <v>10.543074527401</v>
      </c>
    </row>
    <row r="919" ht="13.65" customHeight="1">
      <c r="A919" t="s" s="25">
        <v>35</v>
      </c>
      <c r="B919" t="s" s="21">
        <v>64</v>
      </c>
      <c r="C919" t="s" s="21">
        <v>55</v>
      </c>
      <c r="D919" s="22" cm="1">
        <f t="array" ref="D919">_xlfn.SUMIFS('Diseases'!F2:F4303,'Diseases'!B2:B4303,A919,'Diseases'!C2:C4303,B919,'Diseases'!D2:D4303,C919)</f>
        <v>12578</v>
      </c>
      <c r="E919" s="22" cm="1">
        <f t="array" ref="E919">_xlfn.IFERROR(IF(INDEX('Diseases'!G2:G4303,MATCH(C919,'Diseases'!D2:D4303,0))="","",INDEX('Diseases'!G2:G4303,MATCH(C919,'Diseases'!D2:D4303,0))),"")</f>
        <v>5273604</v>
      </c>
      <c r="F919" s="23" cm="1">
        <f t="array" ref="F919">_xlfn.IFERROR(IF(E919="","",D919/E919*100000),"")</f>
        <v>238.508617636061</v>
      </c>
    </row>
    <row r="920" ht="13.65" customHeight="1">
      <c r="A920" t="s" s="20">
        <v>30</v>
      </c>
      <c r="B920" t="s" s="21">
        <v>64</v>
      </c>
      <c r="C920" t="s" s="21">
        <v>55</v>
      </c>
      <c r="D920" s="22" cm="1">
        <f t="array" ref="D920">_xlfn.SUMIFS('Diseases'!F2:F4303,'Diseases'!B2:B4303,A920,'Diseases'!C2:C4303,B920,'Diseases'!D2:D4303,C920)</f>
        <v>9518</v>
      </c>
      <c r="E920" s="22" cm="1">
        <f t="array" ref="E920">_xlfn.IFERROR(IF(INDEX('Diseases'!G2:G4303,MATCH(C920,'Diseases'!D2:D4303,0))="","",INDEX('Diseases'!G2:G4303,MATCH(C920,'Diseases'!D2:D4303,0))),"")</f>
        <v>5273604</v>
      </c>
      <c r="F920" s="23" cm="1">
        <f t="array" ref="F920">_xlfn.IFERROR(IF(E920="","",D920/E920*100000),"")</f>
        <v>180.483783006839</v>
      </c>
    </row>
    <row r="921" ht="13.65" customHeight="1">
      <c r="A921" t="s" s="24">
        <v>34</v>
      </c>
      <c r="B921" t="s" s="21">
        <v>64</v>
      </c>
      <c r="C921" t="s" s="21">
        <v>55</v>
      </c>
      <c r="D921" s="22" cm="1">
        <f t="array" ref="D921">_xlfn.SUMIFS('Diseases'!F2:F4303,'Diseases'!B2:B4303,A921,'Diseases'!C2:C4303,B921,'Diseases'!D2:D4303,C921)</f>
        <v>3162</v>
      </c>
      <c r="E921" s="22" cm="1">
        <f t="array" ref="E921">_xlfn.IFERROR(IF(INDEX('Diseases'!G2:G4303,MATCH(C921,'Diseases'!D2:D4303,0))="","",INDEX('Diseases'!G2:G4303,MATCH(C921,'Diseases'!D2:D4303,0))),"")</f>
        <v>5273604</v>
      </c>
      <c r="F921" s="23" cm="1">
        <f t="array" ref="F921">_xlfn.IFERROR(IF(E921="","",D921/E921*100000),"")</f>
        <v>59.9589957835287</v>
      </c>
    </row>
    <row r="922" ht="13.65" customHeight="1">
      <c r="A922" t="s" s="26">
        <v>36</v>
      </c>
      <c r="B922" t="s" s="21">
        <v>64</v>
      </c>
      <c r="C922" t="s" s="21">
        <v>55</v>
      </c>
      <c r="D922" s="22" cm="1">
        <f t="array" ref="D922">_xlfn.SUMIFS('Diseases'!F2:F4303,'Diseases'!B2:B4303,A922,'Diseases'!C2:C4303,B922,'Diseases'!D2:D4303,C922)</f>
        <v>2610</v>
      </c>
      <c r="E922" s="22" cm="1">
        <f t="array" ref="E922">_xlfn.IFERROR(IF(INDEX('Diseases'!G2:G4303,MATCH(C922,'Diseases'!D2:D4303,0))="","",INDEX('Diseases'!G2:G4303,MATCH(C922,'Diseases'!D2:D4303,0))),"")</f>
        <v>5273604</v>
      </c>
      <c r="F922" s="23" cm="1">
        <f t="array" ref="F922">_xlfn.IFERROR(IF(E922="","",D922/E922*100000),"")</f>
        <v>49.4917707131593</v>
      </c>
    </row>
    <row r="923" ht="13.65" customHeight="1">
      <c r="A923" t="s" s="28">
        <v>41</v>
      </c>
      <c r="B923" t="s" s="21">
        <v>64</v>
      </c>
      <c r="C923" t="s" s="21">
        <v>55</v>
      </c>
      <c r="D923" s="22" cm="1">
        <f t="array" ref="D923">_xlfn.SUMIFS('Diseases'!F2:F4303,'Diseases'!B2:B4303,A923,'Diseases'!C2:C4303,B923,'Diseases'!D2:D4303,C923)</f>
        <v>1592</v>
      </c>
      <c r="E923" s="22" cm="1">
        <f t="array" ref="E923">_xlfn.IFERROR(IF(INDEX('Diseases'!G2:G4303,MATCH(C923,'Diseases'!D2:D4303,0))="","",INDEX('Diseases'!G2:G4303,MATCH(C923,'Diseases'!D2:D4303,0))),"")</f>
        <v>5273604</v>
      </c>
      <c r="F923" s="23" cm="1">
        <f t="array" ref="F923">_xlfn.IFERROR(IF(E923="","",D923/E923*100000),"")</f>
        <v>30.1880838986014</v>
      </c>
    </row>
    <row r="924" ht="13.65" customHeight="1">
      <c r="A924" t="s" s="29">
        <v>39</v>
      </c>
      <c r="B924" t="s" s="21">
        <v>64</v>
      </c>
      <c r="C924" t="s" s="21">
        <v>55</v>
      </c>
      <c r="D924" s="22" cm="1">
        <f t="array" ref="D924">_xlfn.SUMIFS('Diseases'!F2:F4303,'Diseases'!B2:B4303,A924,'Diseases'!C2:C4303,B924,'Diseases'!D2:D4303,C924)</f>
        <v>1428</v>
      </c>
      <c r="E924" s="22" cm="1">
        <f t="array" ref="E924">_xlfn.IFERROR(IF(INDEX('Diseases'!G2:G4303,MATCH(C924,'Diseases'!D2:D4303,0))="","",INDEX('Diseases'!G2:G4303,MATCH(C924,'Diseases'!D2:D4303,0))),"")</f>
        <v>5273604</v>
      </c>
      <c r="F924" s="23" cm="1">
        <f t="array" ref="F924">_xlfn.IFERROR(IF(E924="","",D924/E924*100000),"")</f>
        <v>27.0782561603033</v>
      </c>
    </row>
    <row r="925" ht="13.65" customHeight="1">
      <c r="A925" t="s" s="31">
        <v>45</v>
      </c>
      <c r="B925" t="s" s="21">
        <v>64</v>
      </c>
      <c r="C925" t="s" s="21">
        <v>55</v>
      </c>
      <c r="D925" s="22" cm="1">
        <f t="array" ref="D925">_xlfn.SUMIFS('Diseases'!F2:F4303,'Diseases'!B2:B4303,A925,'Diseases'!C2:C4303,B925,'Diseases'!D2:D4303,C925)</f>
        <v>1032</v>
      </c>
      <c r="E925" s="22" cm="1">
        <f t="array" ref="E925">_xlfn.IFERROR(IF(INDEX('Diseases'!G2:G4303,MATCH(C925,'Diseases'!D2:D4303,0))="","",INDEX('Diseases'!G2:G4303,MATCH(C925,'Diseases'!D2:D4303,0))),"")</f>
        <v>5273604</v>
      </c>
      <c r="F925" s="23" cm="1">
        <f t="array" ref="F925">_xlfn.IFERROR(IF(E925="","",D925/E925*100000),"")</f>
        <v>19.5691599141688</v>
      </c>
    </row>
    <row r="926" ht="13.65" customHeight="1">
      <c r="A926" t="s" s="20">
        <v>30</v>
      </c>
      <c r="B926" t="s" s="21">
        <v>65</v>
      </c>
      <c r="C926" t="s" s="21">
        <v>55</v>
      </c>
      <c r="D926" s="22" cm="1">
        <f t="array" ref="D926">_xlfn.SUMIFS('Diseases'!F2:F4303,'Diseases'!B2:B4303,A926,'Diseases'!C2:C4303,B926,'Diseases'!D2:D4303,C926)</f>
        <v>12584</v>
      </c>
      <c r="E926" s="22" cm="1">
        <f t="array" ref="E926">_xlfn.IFERROR(IF(INDEX('Diseases'!G2:G4303,MATCH(C926,'Diseases'!D2:D4303,0))="","",INDEX('Diseases'!G2:G4303,MATCH(C926,'Diseases'!D2:D4303,0))),"")</f>
        <v>5273604</v>
      </c>
      <c r="F926" s="23" cm="1">
        <f t="array" ref="F926">_xlfn.IFERROR(IF(E926="","",D926/E926*100000),"")</f>
        <v>238.622391821608</v>
      </c>
    </row>
    <row r="927" ht="13.65" customHeight="1">
      <c r="A927" t="s" s="25">
        <v>35</v>
      </c>
      <c r="B927" t="s" s="21">
        <v>65</v>
      </c>
      <c r="C927" t="s" s="21">
        <v>55</v>
      </c>
      <c r="D927" s="22" cm="1">
        <f t="array" ref="D927">_xlfn.SUMIFS('Diseases'!F2:F4303,'Diseases'!B2:B4303,A927,'Diseases'!C2:C4303,B927,'Diseases'!D2:D4303,C927)</f>
        <v>8802</v>
      </c>
      <c r="E927" s="22" cm="1">
        <f t="array" ref="E927">_xlfn.IFERROR(IF(INDEX('Diseases'!G2:G4303,MATCH(C927,'Diseases'!D2:D4303,0))="","",INDEX('Diseases'!G2:G4303,MATCH(C927,'Diseases'!D2:D4303,0))),"")</f>
        <v>5273604</v>
      </c>
      <c r="F927" s="23" cm="1">
        <f t="array" ref="F927">_xlfn.IFERROR(IF(E927="","",D927/E927*100000),"")</f>
        <v>166.906730198172</v>
      </c>
    </row>
    <row r="928" ht="13.65" customHeight="1">
      <c r="A928" t="s" s="24">
        <v>34</v>
      </c>
      <c r="B928" t="s" s="21">
        <v>65</v>
      </c>
      <c r="C928" t="s" s="21">
        <v>55</v>
      </c>
      <c r="D928" s="22" cm="1">
        <f t="array" ref="D928">_xlfn.SUMIFS('Diseases'!F2:F4303,'Diseases'!B2:B4303,A928,'Diseases'!C2:C4303,B928,'Diseases'!D2:D4303,C928)</f>
        <v>3744</v>
      </c>
      <c r="E928" s="22" cm="1">
        <f t="array" ref="E928">_xlfn.IFERROR(IF(INDEX('Diseases'!G2:G4303,MATCH(C928,'Diseases'!D2:D4303,0))="","",INDEX('Diseases'!G2:G4303,MATCH(C928,'Diseases'!D2:D4303,0))),"")</f>
        <v>5273604</v>
      </c>
      <c r="F928" s="23" cm="1">
        <f t="array" ref="F928">_xlfn.IFERROR(IF(E928="","",D928/E928*100000),"")</f>
        <v>70.99509178163549</v>
      </c>
    </row>
    <row r="929" ht="13.65" customHeight="1">
      <c r="A929" t="s" s="26">
        <v>36</v>
      </c>
      <c r="B929" t="s" s="21">
        <v>65</v>
      </c>
      <c r="C929" t="s" s="21">
        <v>55</v>
      </c>
      <c r="D929" s="22" cm="1">
        <f t="array" ref="D929">_xlfn.SUMIFS('Diseases'!F2:F4303,'Diseases'!B2:B4303,A929,'Diseases'!C2:C4303,B929,'Diseases'!D2:D4303,C929)</f>
        <v>2495</v>
      </c>
      <c r="E929" s="22" cm="1">
        <f t="array" ref="E929">_xlfn.IFERROR(IF(INDEX('Diseases'!G2:G4303,MATCH(C929,'Diseases'!D2:D4303,0))="","",INDEX('Diseases'!G2:G4303,MATCH(C929,'Diseases'!D2:D4303,0))),"")</f>
        <v>5273604</v>
      </c>
      <c r="F929" s="23" cm="1">
        <f t="array" ref="F929">_xlfn.IFERROR(IF(E929="","",D929/E929*100000),"")</f>
        <v>47.3110988234991</v>
      </c>
    </row>
    <row r="930" ht="13.65" customHeight="1">
      <c r="A930" t="s" s="29">
        <v>39</v>
      </c>
      <c r="B930" t="s" s="21">
        <v>65</v>
      </c>
      <c r="C930" t="s" s="21">
        <v>55</v>
      </c>
      <c r="D930" s="22" cm="1">
        <f t="array" ref="D930">_xlfn.SUMIFS('Diseases'!F2:F4303,'Diseases'!B2:B4303,A930,'Diseases'!C2:C4303,B930,'Diseases'!D2:D4303,C930)</f>
        <v>2284</v>
      </c>
      <c r="E930" s="22" cm="1">
        <f t="array" ref="E930">_xlfn.IFERROR(IF(INDEX('Diseases'!G2:G4303,MATCH(C930,'Diseases'!D2:D4303,0))="","",INDEX('Diseases'!G2:G4303,MATCH(C930,'Diseases'!D2:D4303,0))),"")</f>
        <v>5273604</v>
      </c>
      <c r="F930" s="23" cm="1">
        <f t="array" ref="F930">_xlfn.IFERROR(IF(E930="","",D930/E930*100000),"")</f>
        <v>43.3100399650789</v>
      </c>
    </row>
    <row r="931" ht="13.65" customHeight="1">
      <c r="A931" t="s" s="28">
        <v>41</v>
      </c>
      <c r="B931" t="s" s="21">
        <v>65</v>
      </c>
      <c r="C931" t="s" s="21">
        <v>55</v>
      </c>
      <c r="D931" s="22" cm="1">
        <f t="array" ref="D931">_xlfn.SUMIFS('Diseases'!F2:F4303,'Diseases'!B2:B4303,A931,'Diseases'!C2:C4303,B931,'Diseases'!D2:D4303,C931)</f>
        <v>1108</v>
      </c>
      <c r="E931" s="22" cm="1">
        <f t="array" ref="E931">_xlfn.IFERROR(IF(INDEX('Diseases'!G2:G4303,MATCH(C931,'Diseases'!D2:D4303,0))="","",INDEX('Diseases'!G2:G4303,MATCH(C931,'Diseases'!D2:D4303,0))),"")</f>
        <v>5273604</v>
      </c>
      <c r="F931" s="23" cm="1">
        <f t="array" ref="F931">_xlfn.IFERROR(IF(E931="","",D931/E931*100000),"")</f>
        <v>21.0102995977703</v>
      </c>
    </row>
    <row r="932" ht="13.65" customHeight="1">
      <c r="A932" t="s" s="20">
        <v>30</v>
      </c>
      <c r="B932" t="s" s="21">
        <v>66</v>
      </c>
      <c r="C932" t="s" s="21">
        <v>55</v>
      </c>
      <c r="D932" s="22" cm="1">
        <f t="array" ref="D932">_xlfn.SUMIFS('Diseases'!F2:F4303,'Diseases'!B2:B4303,A932,'Diseases'!C2:C4303,B932,'Diseases'!D2:D4303,C932)</f>
        <v>10849</v>
      </c>
      <c r="E932" s="22" cm="1">
        <f t="array" ref="E932">_xlfn.IFERROR(IF(INDEX('Diseases'!G2:G4303,MATCH(C932,'Diseases'!D2:D4303,0))="","",INDEX('Diseases'!G2:G4303,MATCH(C932,'Diseases'!D2:D4303,0))),"")</f>
        <v>5273604</v>
      </c>
      <c r="F932" s="23" cm="1">
        <f t="array" ref="F932">_xlfn.IFERROR(IF(E932="","",D932/E932*100000),"")</f>
        <v>205.722689834125</v>
      </c>
    </row>
    <row r="933" ht="13.65" customHeight="1">
      <c r="A933" t="s" s="25">
        <v>35</v>
      </c>
      <c r="B933" t="s" s="21">
        <v>66</v>
      </c>
      <c r="C933" t="s" s="21">
        <v>55</v>
      </c>
      <c r="D933" s="22" cm="1">
        <f t="array" ref="D933">_xlfn.SUMIFS('Diseases'!F2:F4303,'Diseases'!B2:B4303,A933,'Diseases'!C2:C4303,B933,'Diseases'!D2:D4303,C933)</f>
        <v>7497</v>
      </c>
      <c r="E933" s="22" cm="1">
        <f t="array" ref="E933">_xlfn.IFERROR(IF(INDEX('Diseases'!G2:G4303,MATCH(C933,'Diseases'!D2:D4303,0))="","",INDEX('Diseases'!G2:G4303,MATCH(C933,'Diseases'!D2:D4303,0))),"")</f>
        <v>5273604</v>
      </c>
      <c r="F933" s="23" cm="1">
        <f t="array" ref="F933">_xlfn.IFERROR(IF(E933="","",D933/E933*100000),"")</f>
        <v>142.160844841592</v>
      </c>
    </row>
    <row r="934" ht="13.65" customHeight="1">
      <c r="A934" t="s" s="24">
        <v>34</v>
      </c>
      <c r="B934" t="s" s="21">
        <v>66</v>
      </c>
      <c r="C934" t="s" s="21">
        <v>55</v>
      </c>
      <c r="D934" s="22" cm="1">
        <f t="array" ref="D934">_xlfn.SUMIFS('Diseases'!F2:F4303,'Diseases'!B2:B4303,A934,'Diseases'!C2:C4303,B934,'Diseases'!D2:D4303,C934)</f>
        <v>4170</v>
      </c>
      <c r="E934" s="22" cm="1">
        <f t="array" ref="E934">_xlfn.IFERROR(IF(INDEX('Diseases'!G2:G4303,MATCH(C934,'Diseases'!D2:D4303,0))="","",INDEX('Diseases'!G2:G4303,MATCH(C934,'Diseases'!D2:D4303,0))),"")</f>
        <v>5273604</v>
      </c>
      <c r="F934" s="23" cm="1">
        <f t="array" ref="F934">_xlfn.IFERROR(IF(E934="","",D934/E934*100000),"")</f>
        <v>79.07305895550751</v>
      </c>
    </row>
    <row r="935" ht="13.65" customHeight="1">
      <c r="A935" t="s" s="26">
        <v>36</v>
      </c>
      <c r="B935" t="s" s="21">
        <v>66</v>
      </c>
      <c r="C935" t="s" s="21">
        <v>55</v>
      </c>
      <c r="D935" s="22" cm="1">
        <f t="array" ref="D935">_xlfn.SUMIFS('Diseases'!F2:F4303,'Diseases'!B2:B4303,A935,'Diseases'!C2:C4303,B935,'Diseases'!D2:D4303,C935)</f>
        <v>2065</v>
      </c>
      <c r="E935" s="22" cm="1">
        <f t="array" ref="E935">_xlfn.IFERROR(IF(INDEX('Diseases'!G2:G4303,MATCH(C935,'Diseases'!D2:D4303,0))="","",INDEX('Diseases'!G2:G4303,MATCH(C935,'Diseases'!D2:D4303,0))),"")</f>
        <v>5273604</v>
      </c>
      <c r="F935" s="23" cm="1">
        <f t="array" ref="F935">_xlfn.IFERROR(IF(E935="","",D935/E935*100000),"")</f>
        <v>39.1572821925954</v>
      </c>
    </row>
    <row r="936" ht="13.65" customHeight="1">
      <c r="A936" t="s" s="29">
        <v>39</v>
      </c>
      <c r="B936" t="s" s="21">
        <v>66</v>
      </c>
      <c r="C936" t="s" s="21">
        <v>55</v>
      </c>
      <c r="D936" s="22" cm="1">
        <f t="array" ref="D936">_xlfn.SUMIFS('Diseases'!F2:F4303,'Diseases'!B2:B4303,A936,'Diseases'!C2:C4303,B936,'Diseases'!D2:D4303,C936)</f>
        <v>1120</v>
      </c>
      <c r="E936" s="22" cm="1">
        <f t="array" ref="E936">_xlfn.IFERROR(IF(INDEX('Diseases'!G2:G4303,MATCH(C936,'Diseases'!D2:D4303,0))="","",INDEX('Diseases'!G2:G4303,MATCH(C936,'Diseases'!D2:D4303,0))),"")</f>
        <v>5273604</v>
      </c>
      <c r="F936" s="23" cm="1">
        <f t="array" ref="F936">_xlfn.IFERROR(IF(E936="","",D936/E936*100000),"")</f>
        <v>21.2378479688653</v>
      </c>
    </row>
    <row r="937" ht="13.65" customHeight="1">
      <c r="A937" t="s" s="31">
        <v>45</v>
      </c>
      <c r="B937" t="s" s="21">
        <v>66</v>
      </c>
      <c r="C937" t="s" s="21">
        <v>55</v>
      </c>
      <c r="D937" s="22" cm="1">
        <f t="array" ref="D937">_xlfn.SUMIFS('Diseases'!F2:F4303,'Diseases'!B2:B4303,A937,'Diseases'!C2:C4303,B937,'Diseases'!D2:D4303,C937)</f>
        <v>1106</v>
      </c>
      <c r="E937" s="22" cm="1">
        <f t="array" ref="E937">_xlfn.IFERROR(IF(INDEX('Diseases'!G2:G4303,MATCH(C937,'Diseases'!D2:D4303,0))="","",INDEX('Diseases'!G2:G4303,MATCH(C937,'Diseases'!D2:D4303,0))),"")</f>
        <v>5273604</v>
      </c>
      <c r="F937" s="23" cm="1">
        <f t="array" ref="F937">_xlfn.IFERROR(IF(E937="","",D937/E937*100000),"")</f>
        <v>20.9723748692545</v>
      </c>
    </row>
    <row r="938" ht="13.65" customHeight="1">
      <c r="A938" t="s" s="27">
        <v>37</v>
      </c>
      <c r="B938" t="s" s="21">
        <v>66</v>
      </c>
      <c r="C938" t="s" s="21">
        <v>55</v>
      </c>
      <c r="D938" s="22" cm="1">
        <f t="array" ref="D938">_xlfn.SUMIFS('Diseases'!F2:F4303,'Diseases'!B2:B4303,A938,'Diseases'!C2:C4303,B938,'Diseases'!D2:D4303,C938)</f>
        <v>992</v>
      </c>
      <c r="E938" s="22" cm="1">
        <f t="array" ref="E938">_xlfn.IFERROR(IF(INDEX('Diseases'!G2:G4303,MATCH(C938,'Diseases'!D2:D4303,0))="","",INDEX('Diseases'!G2:G4303,MATCH(C938,'Diseases'!D2:D4303,0))),"")</f>
        <v>5273604</v>
      </c>
      <c r="F938" s="23" cm="1">
        <f t="array" ref="F938">_xlfn.IFERROR(IF(E938="","",D938/E938*100000),"")</f>
        <v>18.8106653438521</v>
      </c>
    </row>
    <row r="939" ht="13.65" customHeight="1">
      <c r="A939" t="s" s="20">
        <v>30</v>
      </c>
      <c r="B939" t="s" s="21">
        <v>67</v>
      </c>
      <c r="C939" t="s" s="21">
        <v>55</v>
      </c>
      <c r="D939" s="22" cm="1">
        <f t="array" ref="D939">_xlfn.SUMIFS('Diseases'!F2:F4303,'Diseases'!B2:B4303,A939,'Diseases'!C2:C4303,B939,'Diseases'!D2:D4303,C939)</f>
        <v>11044</v>
      </c>
      <c r="E939" s="22" cm="1">
        <f t="array" ref="E939">_xlfn.IFERROR(IF(INDEX('Diseases'!G2:G4303,MATCH(C939,'Diseases'!D2:D4303,0))="","",INDEX('Diseases'!G2:G4303,MATCH(C939,'Diseases'!D2:D4303,0))),"")</f>
        <v>5273604</v>
      </c>
      <c r="F939" s="23" cm="1">
        <f t="array" ref="F939">_xlfn.IFERROR(IF(E939="","",D939/E939*100000),"")</f>
        <v>209.420350864418</v>
      </c>
    </row>
    <row r="940" ht="13.65" customHeight="1">
      <c r="A940" t="s" s="25">
        <v>35</v>
      </c>
      <c r="B940" t="s" s="21">
        <v>67</v>
      </c>
      <c r="C940" t="s" s="21">
        <v>55</v>
      </c>
      <c r="D940" s="22" cm="1">
        <f t="array" ref="D940">_xlfn.SUMIFS('Diseases'!F2:F4303,'Diseases'!B2:B4303,A940,'Diseases'!C2:C4303,B940,'Diseases'!D2:D4303,C940)</f>
        <v>7263</v>
      </c>
      <c r="E940" s="22" cm="1">
        <f t="array" ref="E940">_xlfn.IFERROR(IF(INDEX('Diseases'!G2:G4303,MATCH(C940,'Diseases'!D2:D4303,0))="","",INDEX('Diseases'!G2:G4303,MATCH(C940,'Diseases'!D2:D4303,0))),"")</f>
        <v>5273604</v>
      </c>
      <c r="F940" s="23" cm="1">
        <f t="array" ref="F940">_xlfn.IFERROR(IF(E940="","",D940/E940*100000),"")</f>
        <v>137.723651605240</v>
      </c>
    </row>
    <row r="941" ht="13.65" customHeight="1">
      <c r="A941" t="s" s="26">
        <v>36</v>
      </c>
      <c r="B941" t="s" s="21">
        <v>67</v>
      </c>
      <c r="C941" t="s" s="21">
        <v>55</v>
      </c>
      <c r="D941" s="22" cm="1">
        <f t="array" ref="D941">_xlfn.SUMIFS('Diseases'!F2:F4303,'Diseases'!B2:B4303,A941,'Diseases'!C2:C4303,B941,'Diseases'!D2:D4303,C941)</f>
        <v>2464</v>
      </c>
      <c r="E941" s="22" cm="1">
        <f t="array" ref="E941">_xlfn.IFERROR(IF(INDEX('Diseases'!G2:G4303,MATCH(C941,'Diseases'!D2:D4303,0))="","",INDEX('Diseases'!G2:G4303,MATCH(C941,'Diseases'!D2:D4303,0))),"")</f>
        <v>5273604</v>
      </c>
      <c r="F941" s="23" cm="1">
        <f t="array" ref="F941">_xlfn.IFERROR(IF(E941="","",D941/E941*100000),"")</f>
        <v>46.7232655315037</v>
      </c>
    </row>
    <row r="942" ht="13.65" customHeight="1">
      <c r="A942" t="s" s="24">
        <v>34</v>
      </c>
      <c r="B942" t="s" s="21">
        <v>67</v>
      </c>
      <c r="C942" t="s" s="21">
        <v>55</v>
      </c>
      <c r="D942" s="22" cm="1">
        <f t="array" ref="D942">_xlfn.SUMIFS('Diseases'!F2:F4303,'Diseases'!B2:B4303,A942,'Diseases'!C2:C4303,B942,'Diseases'!D2:D4303,C942)</f>
        <v>2182</v>
      </c>
      <c r="E942" s="22" cm="1">
        <f t="array" ref="E942">_xlfn.IFERROR(IF(INDEX('Diseases'!G2:G4303,MATCH(C942,'Diseases'!D2:D4303,0))="","",INDEX('Diseases'!G2:G4303,MATCH(C942,'Diseases'!D2:D4303,0))),"")</f>
        <v>5273604</v>
      </c>
      <c r="F942" s="23" cm="1">
        <f t="array" ref="F942">_xlfn.IFERROR(IF(E942="","",D942/E942*100000),"")</f>
        <v>41.3758788107715</v>
      </c>
    </row>
    <row r="943" ht="13.65" customHeight="1">
      <c r="A943" t="s" s="28">
        <v>41</v>
      </c>
      <c r="B943" t="s" s="21">
        <v>67</v>
      </c>
      <c r="C943" t="s" s="21">
        <v>55</v>
      </c>
      <c r="D943" s="22" cm="1">
        <f t="array" ref="D943">_xlfn.SUMIFS('Diseases'!F2:F4303,'Diseases'!B2:B4303,A943,'Diseases'!C2:C4303,B943,'Diseases'!D2:D4303,C943)</f>
        <v>1267</v>
      </c>
      <c r="E943" s="22" cm="1">
        <f t="array" ref="E943">_xlfn.IFERROR(IF(INDEX('Diseases'!G2:G4303,MATCH(C943,'Diseases'!D2:D4303,0))="","",INDEX('Diseases'!G2:G4303,MATCH(C943,'Diseases'!D2:D4303,0))),"")</f>
        <v>5273604</v>
      </c>
      <c r="F943" s="23" cm="1">
        <f t="array" ref="F943">_xlfn.IFERROR(IF(E943="","",D943/E943*100000),"")</f>
        <v>24.0253155147789</v>
      </c>
    </row>
    <row r="944" ht="13.65" customHeight="1">
      <c r="A944" t="s" s="29">
        <v>39</v>
      </c>
      <c r="B944" t="s" s="21">
        <v>67</v>
      </c>
      <c r="C944" t="s" s="21">
        <v>55</v>
      </c>
      <c r="D944" s="22" cm="1">
        <f t="array" ref="D944">_xlfn.SUMIFS('Diseases'!F2:F4303,'Diseases'!B2:B4303,A944,'Diseases'!C2:C4303,B944,'Diseases'!D2:D4303,C944)</f>
        <v>959</v>
      </c>
      <c r="E944" s="22" cm="1">
        <f t="array" ref="E944">_xlfn.IFERROR(IF(INDEX('Diseases'!G2:G4303,MATCH(C944,'Diseases'!D2:D4303,0))="","",INDEX('Diseases'!G2:G4303,MATCH(C944,'Diseases'!D2:D4303,0))),"")</f>
        <v>5273604</v>
      </c>
      <c r="F944" s="23" cm="1">
        <f t="array" ref="F944">_xlfn.IFERROR(IF(E944="","",D944/E944*100000),"")</f>
        <v>18.1849073233409</v>
      </c>
    </row>
    <row r="945" ht="13.65" customHeight="1">
      <c r="A945" t="s" s="31">
        <v>45</v>
      </c>
      <c r="B945" t="s" s="21">
        <v>67</v>
      </c>
      <c r="C945" t="s" s="21">
        <v>55</v>
      </c>
      <c r="D945" s="22" cm="1">
        <f t="array" ref="D945">_xlfn.SUMIFS('Diseases'!F2:F4303,'Diseases'!B2:B4303,A945,'Diseases'!C2:C4303,B945,'Diseases'!D2:D4303,C945)</f>
        <v>865</v>
      </c>
      <c r="E945" s="22" cm="1">
        <f t="array" ref="E945">_xlfn.IFERROR(IF(INDEX('Diseases'!G2:G4303,MATCH(C945,'Diseases'!D2:D4303,0))="","",INDEX('Diseases'!G2:G4303,MATCH(C945,'Diseases'!D2:D4303,0))),"")</f>
        <v>5273604</v>
      </c>
      <c r="F945" s="23" cm="1">
        <f t="array" ref="F945">_xlfn.IFERROR(IF(E945="","",D945/E945*100000),"")</f>
        <v>16.4024450830969</v>
      </c>
    </row>
    <row r="946" ht="13.65" customHeight="1">
      <c r="A946" t="s" s="20">
        <v>30</v>
      </c>
      <c r="B946" t="s" s="21">
        <v>68</v>
      </c>
      <c r="C946" t="s" s="21">
        <v>55</v>
      </c>
      <c r="D946" s="22" cm="1">
        <f t="array" ref="D946">_xlfn.SUMIFS('Diseases'!F2:F4303,'Diseases'!B2:B4303,A946,'Diseases'!C2:C4303,B946,'Diseases'!D2:D4303,C946)</f>
        <v>15347</v>
      </c>
      <c r="E946" s="22" cm="1">
        <f t="array" ref="E946">_xlfn.IFERROR(IF(INDEX('Diseases'!G2:G4303,MATCH(C946,'Diseases'!D2:D4303,0))="","",INDEX('Diseases'!G2:G4303,MATCH(C946,'Diseases'!D2:D4303,0))),"")</f>
        <v>5273604</v>
      </c>
      <c r="F946" s="23" cm="1">
        <f t="array" ref="F946">_xlfn.IFERROR(IF(E946="","",D946/E946*100000),"")</f>
        <v>291.015404266229</v>
      </c>
    </row>
    <row r="947" ht="13.65" customHeight="1">
      <c r="A947" t="s" s="25">
        <v>35</v>
      </c>
      <c r="B947" t="s" s="21">
        <v>68</v>
      </c>
      <c r="C947" t="s" s="21">
        <v>55</v>
      </c>
      <c r="D947" s="22" cm="1">
        <f t="array" ref="D947">_xlfn.SUMIFS('Diseases'!F2:F4303,'Diseases'!B2:B4303,A947,'Diseases'!C2:C4303,B947,'Diseases'!D2:D4303,C947)</f>
        <v>8999</v>
      </c>
      <c r="E947" s="22" cm="1">
        <f t="array" ref="E947">_xlfn.IFERROR(IF(INDEX('Diseases'!G2:G4303,MATCH(C947,'Diseases'!D2:D4303,0))="","",INDEX('Diseases'!G2:G4303,MATCH(C947,'Diseases'!D2:D4303,0))),"")</f>
        <v>5273604</v>
      </c>
      <c r="F947" s="23" cm="1">
        <f t="array" ref="F947">_xlfn.IFERROR(IF(E947="","",D947/E947*100000),"")</f>
        <v>170.642315956981</v>
      </c>
    </row>
    <row r="948" ht="13.65" customHeight="1">
      <c r="A948" t="s" s="24">
        <v>34</v>
      </c>
      <c r="B948" t="s" s="21">
        <v>68</v>
      </c>
      <c r="C948" t="s" s="21">
        <v>55</v>
      </c>
      <c r="D948" s="22" cm="1">
        <f t="array" ref="D948">_xlfn.SUMIFS('Diseases'!F2:F4303,'Diseases'!B2:B4303,A948,'Diseases'!C2:C4303,B948,'Diseases'!D2:D4303,C948)</f>
        <v>3321</v>
      </c>
      <c r="E948" s="22" cm="1">
        <f t="array" ref="E948">_xlfn.IFERROR(IF(INDEX('Diseases'!G2:G4303,MATCH(C948,'Diseases'!D2:D4303,0))="","",INDEX('Diseases'!G2:G4303,MATCH(C948,'Diseases'!D2:D4303,0))),"")</f>
        <v>5273604</v>
      </c>
      <c r="F948" s="23" cm="1">
        <f t="array" ref="F948">_xlfn.IFERROR(IF(E948="","",D948/E948*100000),"")</f>
        <v>62.9740117005372</v>
      </c>
    </row>
    <row r="949" ht="13.65" customHeight="1">
      <c r="A949" t="s" s="26">
        <v>36</v>
      </c>
      <c r="B949" t="s" s="21">
        <v>68</v>
      </c>
      <c r="C949" t="s" s="21">
        <v>55</v>
      </c>
      <c r="D949" s="22" cm="1">
        <f t="array" ref="D949">_xlfn.SUMIFS('Diseases'!F2:F4303,'Diseases'!B2:B4303,A949,'Diseases'!C2:C4303,B949,'Diseases'!D2:D4303,C949)</f>
        <v>2371</v>
      </c>
      <c r="E949" s="22" cm="1">
        <f t="array" ref="E949">_xlfn.IFERROR(IF(INDEX('Diseases'!G2:G4303,MATCH(C949,'Diseases'!D2:D4303,0))="","",INDEX('Diseases'!G2:G4303,MATCH(C949,'Diseases'!D2:D4303,0))),"")</f>
        <v>5273604</v>
      </c>
      <c r="F949" s="23" cm="1">
        <f t="array" ref="F949">_xlfn.IFERROR(IF(E949="","",D949/E949*100000),"")</f>
        <v>44.9597656555176</v>
      </c>
    </row>
    <row r="950" ht="13.65" customHeight="1">
      <c r="A950" t="s" s="29">
        <v>39</v>
      </c>
      <c r="B950" t="s" s="21">
        <v>68</v>
      </c>
      <c r="C950" t="s" s="21">
        <v>55</v>
      </c>
      <c r="D950" s="22" cm="1">
        <f t="array" ref="D950">_xlfn.SUMIFS('Diseases'!F2:F4303,'Diseases'!B2:B4303,A950,'Diseases'!C2:C4303,B950,'Diseases'!D2:D4303,C950)</f>
        <v>1455</v>
      </c>
      <c r="E950" s="22" cm="1">
        <f t="array" ref="E950">_xlfn.IFERROR(IF(INDEX('Diseases'!G2:G4303,MATCH(C950,'Diseases'!D2:D4303,0))="","",INDEX('Diseases'!G2:G4303,MATCH(C950,'Diseases'!D2:D4303,0))),"")</f>
        <v>5273604</v>
      </c>
      <c r="F950" s="23" cm="1">
        <f t="array" ref="F950">_xlfn.IFERROR(IF(E950="","",D950/E950*100000),"")</f>
        <v>27.590239995267</v>
      </c>
    </row>
    <row r="951" ht="13.65" customHeight="1">
      <c r="A951" t="s" s="31">
        <v>45</v>
      </c>
      <c r="B951" t="s" s="21">
        <v>68</v>
      </c>
      <c r="C951" t="s" s="21">
        <v>55</v>
      </c>
      <c r="D951" s="22" cm="1">
        <f t="array" ref="D951">_xlfn.SUMIFS('Diseases'!F2:F4303,'Diseases'!B2:B4303,A951,'Diseases'!C2:C4303,B951,'Diseases'!D2:D4303,C951)</f>
        <v>1069</v>
      </c>
      <c r="E951" s="22" cm="1">
        <f t="array" ref="E951">_xlfn.IFERROR(IF(INDEX('Diseases'!G2:G4303,MATCH(C951,'Diseases'!D2:D4303,0))="","",INDEX('Diseases'!G2:G4303,MATCH(C951,'Diseases'!D2:D4303,0))),"")</f>
        <v>5273604</v>
      </c>
      <c r="F951" s="23" cm="1">
        <f t="array" ref="F951">_xlfn.IFERROR(IF(E951="","",D951/E951*100000),"")</f>
        <v>20.2707673917116</v>
      </c>
    </row>
    <row r="952" ht="13.65" customHeight="1">
      <c r="A952" t="s" s="20">
        <v>30</v>
      </c>
      <c r="B952" t="s" s="21">
        <v>69</v>
      </c>
      <c r="C952" t="s" s="21">
        <v>55</v>
      </c>
      <c r="D952" s="22" cm="1">
        <f t="array" ref="D952">_xlfn.SUMIFS('Diseases'!F2:F4303,'Diseases'!B2:B4303,A952,'Diseases'!C2:C4303,B952,'Diseases'!D2:D4303,C952)</f>
        <v>13184</v>
      </c>
      <c r="E952" s="22" cm="1">
        <f t="array" ref="E952">_xlfn.IFERROR(IF(INDEX('Diseases'!G2:G4303,MATCH(C952,'Diseases'!D2:D4303,0))="","",INDEX('Diseases'!G2:G4303,MATCH(C952,'Diseases'!D2:D4303,0))),"")</f>
        <v>5273604</v>
      </c>
      <c r="F952" s="23" cm="1">
        <f t="array" ref="F952">_xlfn.IFERROR(IF(E952="","",D952/E952*100000),"")</f>
        <v>249.999810376357</v>
      </c>
    </row>
    <row r="953" ht="13.65" customHeight="1">
      <c r="A953" t="s" s="25">
        <v>35</v>
      </c>
      <c r="B953" t="s" s="21">
        <v>69</v>
      </c>
      <c r="C953" t="s" s="21">
        <v>55</v>
      </c>
      <c r="D953" s="22" cm="1">
        <f t="array" ref="D953">_xlfn.SUMIFS('Diseases'!F2:F4303,'Diseases'!B2:B4303,A953,'Diseases'!C2:C4303,B953,'Diseases'!D2:D4303,C953)</f>
        <v>6788</v>
      </c>
      <c r="E953" s="22" cm="1">
        <f t="array" ref="E953">_xlfn.IFERROR(IF(INDEX('Diseases'!G2:G4303,MATCH(C953,'Diseases'!D2:D4303,0))="","",INDEX('Diseases'!G2:G4303,MATCH(C953,'Diseases'!D2:D4303,0))),"")</f>
        <v>5273604</v>
      </c>
      <c r="F953" s="23" cm="1">
        <f t="array" ref="F953">_xlfn.IFERROR(IF(E953="","",D953/E953*100000),"")</f>
        <v>128.716528582730</v>
      </c>
    </row>
    <row r="954" ht="13.65" customHeight="1">
      <c r="A954" t="s" s="24">
        <v>34</v>
      </c>
      <c r="B954" t="s" s="21">
        <v>69</v>
      </c>
      <c r="C954" t="s" s="21">
        <v>55</v>
      </c>
      <c r="D954" s="22" cm="1">
        <f t="array" ref="D954">_xlfn.SUMIFS('Diseases'!F2:F4303,'Diseases'!B2:B4303,A954,'Diseases'!C2:C4303,B954,'Diseases'!D2:D4303,C954)</f>
        <v>2406</v>
      </c>
      <c r="E954" s="22" cm="1">
        <f t="array" ref="E954">_xlfn.IFERROR(IF(INDEX('Diseases'!G2:G4303,MATCH(C954,'Diseases'!D2:D4303,0))="","",INDEX('Diseases'!G2:G4303,MATCH(C954,'Diseases'!D2:D4303,0))),"")</f>
        <v>5273604</v>
      </c>
      <c r="F954" s="23" cm="1">
        <f t="array" ref="F954">_xlfn.IFERROR(IF(E954="","",D954/E954*100000),"")</f>
        <v>45.6234484045446</v>
      </c>
    </row>
    <row r="955" ht="13.65" customHeight="1">
      <c r="A955" t="s" s="28">
        <v>41</v>
      </c>
      <c r="B955" t="s" s="21">
        <v>69</v>
      </c>
      <c r="C955" t="s" s="21">
        <v>55</v>
      </c>
      <c r="D955" s="22" cm="1">
        <f t="array" ref="D955">_xlfn.SUMIFS('Diseases'!F2:F4303,'Diseases'!B2:B4303,A955,'Diseases'!C2:C4303,B955,'Diseases'!D2:D4303,C955)</f>
        <v>1632</v>
      </c>
      <c r="E955" s="22" cm="1">
        <f t="array" ref="E955">_xlfn.IFERROR(IF(INDEX('Diseases'!G2:G4303,MATCH(C955,'Diseases'!D2:D4303,0))="","",INDEX('Diseases'!G2:G4303,MATCH(C955,'Diseases'!D2:D4303,0))),"")</f>
        <v>5273604</v>
      </c>
      <c r="F955" s="23" cm="1">
        <f t="array" ref="F955">_xlfn.IFERROR(IF(E955="","",D955/E955*100000),"")</f>
        <v>30.946578468918</v>
      </c>
    </row>
    <row r="956" ht="13.65" customHeight="1">
      <c r="A956" t="s" s="29">
        <v>39</v>
      </c>
      <c r="B956" t="s" s="21">
        <v>69</v>
      </c>
      <c r="C956" t="s" s="21">
        <v>55</v>
      </c>
      <c r="D956" s="22" cm="1">
        <f t="array" ref="D956">_xlfn.SUMIFS('Diseases'!F2:F4303,'Diseases'!B2:B4303,A956,'Diseases'!C2:C4303,B956,'Diseases'!D2:D4303,C956)</f>
        <v>1033</v>
      </c>
      <c r="E956" s="22" cm="1">
        <f t="array" ref="E956">_xlfn.IFERROR(IF(INDEX('Diseases'!G2:G4303,MATCH(C956,'Diseases'!D2:D4303,0))="","",INDEX('Diseases'!G2:G4303,MATCH(C956,'Diseases'!D2:D4303,0))),"")</f>
        <v>5273604</v>
      </c>
      <c r="F956" s="23" cm="1">
        <f t="array" ref="F956">_xlfn.IFERROR(IF(E956="","",D956/E956*100000),"")</f>
        <v>19.5881222784267</v>
      </c>
    </row>
    <row r="957" ht="13.65" customHeight="1">
      <c r="A957" t="s" s="26">
        <v>36</v>
      </c>
      <c r="B957" t="s" s="21">
        <v>69</v>
      </c>
      <c r="C957" t="s" s="21">
        <v>55</v>
      </c>
      <c r="D957" s="22" cm="1">
        <f t="array" ref="D957">_xlfn.SUMIFS('Diseases'!F2:F4303,'Diseases'!B2:B4303,A957,'Diseases'!C2:C4303,B957,'Diseases'!D2:D4303,C957)</f>
        <v>924</v>
      </c>
      <c r="E957" s="22" cm="1">
        <f t="array" ref="E957">_xlfn.IFERROR(IF(INDEX('Diseases'!G2:G4303,MATCH(C957,'Diseases'!D2:D4303,0))="","",INDEX('Diseases'!G2:G4303,MATCH(C957,'Diseases'!D2:D4303,0))),"")</f>
        <v>5273604</v>
      </c>
      <c r="F957" s="23" cm="1">
        <f t="array" ref="F957">_xlfn.IFERROR(IF(E957="","",D957/E957*100000),"")</f>
        <v>17.5212245743139</v>
      </c>
    </row>
    <row r="958" ht="13.65" customHeight="1">
      <c r="A958" t="s" s="31">
        <v>45</v>
      </c>
      <c r="B958" t="s" s="21">
        <v>69</v>
      </c>
      <c r="C958" t="s" s="21">
        <v>55</v>
      </c>
      <c r="D958" s="22" cm="1">
        <f t="array" ref="D958">_xlfn.SUMIFS('Diseases'!F2:F4303,'Diseases'!B2:B4303,A958,'Diseases'!C2:C4303,B958,'Diseases'!D2:D4303,C958)</f>
        <v>886</v>
      </c>
      <c r="E958" s="22" cm="1">
        <f t="array" ref="E958">_xlfn.IFERROR(IF(INDEX('Diseases'!G2:G4303,MATCH(C958,'Diseases'!D2:D4303,0))="","",INDEX('Diseases'!G2:G4303,MATCH(C958,'Diseases'!D2:D4303,0))),"")</f>
        <v>5273604</v>
      </c>
      <c r="F958" s="23" cm="1">
        <f t="array" ref="F958">_xlfn.IFERROR(IF(E958="","",D958/E958*100000),"")</f>
        <v>16.8006547325131</v>
      </c>
    </row>
    <row r="959" ht="13.65" customHeight="1">
      <c r="A959" t="s" s="20">
        <v>30</v>
      </c>
      <c r="B959" t="s" s="21">
        <v>70</v>
      </c>
      <c r="C959" t="s" s="21">
        <v>55</v>
      </c>
      <c r="D959" s="22" cm="1">
        <f t="array" ref="D959">_xlfn.SUMIFS('Diseases'!F2:F4303,'Diseases'!B2:B4303,A959,'Diseases'!C2:C4303,B959,'Diseases'!D2:D4303,C959)</f>
        <v>10769</v>
      </c>
      <c r="E959" s="22" cm="1">
        <f t="array" ref="E959">_xlfn.IFERROR(IF(INDEX('Diseases'!G2:G4303,MATCH(C959,'Diseases'!D2:D4303,0))="","",INDEX('Diseases'!G2:G4303,MATCH(C959,'Diseases'!D2:D4303,0))),"")</f>
        <v>5273604</v>
      </c>
      <c r="F959" s="23" cm="1">
        <f t="array" ref="F959">_xlfn.IFERROR(IF(E959="","",D959/E959*100000),"")</f>
        <v>204.205700693492</v>
      </c>
    </row>
    <row r="960" ht="13.65" customHeight="1">
      <c r="A960" t="s" s="25">
        <v>35</v>
      </c>
      <c r="B960" t="s" s="21">
        <v>70</v>
      </c>
      <c r="C960" t="s" s="21">
        <v>55</v>
      </c>
      <c r="D960" s="22" cm="1">
        <f t="array" ref="D960">_xlfn.SUMIFS('Diseases'!F2:F4303,'Diseases'!B2:B4303,A960,'Diseases'!C2:C4303,B960,'Diseases'!D2:D4303,C960)</f>
        <v>7721</v>
      </c>
      <c r="E960" s="22" cm="1">
        <f t="array" ref="E960">_xlfn.IFERROR(IF(INDEX('Diseases'!G2:G4303,MATCH(C960,'Diseases'!D2:D4303,0))="","",INDEX('Diseases'!G2:G4303,MATCH(C960,'Diseases'!D2:D4303,0))),"")</f>
        <v>5273604</v>
      </c>
      <c r="F960" s="23" cm="1">
        <f t="array" ref="F960">_xlfn.IFERROR(IF(E960="","",D960/E960*100000),"")</f>
        <v>146.408414435365</v>
      </c>
    </row>
    <row r="961" ht="13.65" customHeight="1">
      <c r="A961" t="s" s="24">
        <v>34</v>
      </c>
      <c r="B961" t="s" s="21">
        <v>70</v>
      </c>
      <c r="C961" t="s" s="21">
        <v>55</v>
      </c>
      <c r="D961" s="22" cm="1">
        <f t="array" ref="D961">_xlfn.SUMIFS('Diseases'!F2:F4303,'Diseases'!B2:B4303,A961,'Diseases'!C2:C4303,B961,'Diseases'!D2:D4303,C961)</f>
        <v>1328</v>
      </c>
      <c r="E961" s="22" cm="1">
        <f t="array" ref="E961">_xlfn.IFERROR(IF(INDEX('Diseases'!G2:G4303,MATCH(C961,'Diseases'!D2:D4303,0))="","",INDEX('Diseases'!G2:G4303,MATCH(C961,'Diseases'!D2:D4303,0))),"")</f>
        <v>5273604</v>
      </c>
      <c r="F961" s="23" cm="1">
        <f t="array" ref="F961">_xlfn.IFERROR(IF(E961="","",D961/E961*100000),"")</f>
        <v>25.1820197345117</v>
      </c>
    </row>
    <row r="962" ht="13.65" customHeight="1">
      <c r="A962" t="s" s="28">
        <v>41</v>
      </c>
      <c r="B962" t="s" s="21">
        <v>70</v>
      </c>
      <c r="C962" t="s" s="21">
        <v>55</v>
      </c>
      <c r="D962" s="22" cm="1">
        <f t="array" ref="D962">_xlfn.SUMIFS('Diseases'!F2:F4303,'Diseases'!B2:B4303,A962,'Diseases'!C2:C4303,B962,'Diseases'!D2:D4303,C962)</f>
        <v>1243</v>
      </c>
      <c r="E962" s="22" cm="1">
        <f t="array" ref="E962">_xlfn.IFERROR(IF(INDEX('Diseases'!G2:G4303,MATCH(C962,'Diseases'!D2:D4303,0))="","",INDEX('Diseases'!G2:G4303,MATCH(C962,'Diseases'!D2:D4303,0))),"")</f>
        <v>5273604</v>
      </c>
      <c r="F962" s="23" cm="1">
        <f t="array" ref="F962">_xlfn.IFERROR(IF(E962="","",D962/E962*100000),"")</f>
        <v>23.5702187725889</v>
      </c>
    </row>
    <row r="963" ht="13.65" customHeight="1">
      <c r="A963" t="s" s="29">
        <v>39</v>
      </c>
      <c r="B963" t="s" s="21">
        <v>70</v>
      </c>
      <c r="C963" t="s" s="21">
        <v>55</v>
      </c>
      <c r="D963" s="22" cm="1">
        <f t="array" ref="D963">_xlfn.SUMIFS('Diseases'!F2:F4303,'Diseases'!B2:B4303,A963,'Diseases'!C2:C4303,B963,'Diseases'!D2:D4303,C963)</f>
        <v>1042</v>
      </c>
      <c r="E963" s="22" cm="1">
        <f t="array" ref="E963">_xlfn.IFERROR(IF(INDEX('Diseases'!G2:G4303,MATCH(C963,'Diseases'!D2:D4303,0))="","",INDEX('Diseases'!G2:G4303,MATCH(C963,'Diseases'!D2:D4303,0))),"")</f>
        <v>5273604</v>
      </c>
      <c r="F963" s="23" cm="1">
        <f t="array" ref="F963">_xlfn.IFERROR(IF(E963="","",D963/E963*100000),"")</f>
        <v>19.7587835567479</v>
      </c>
    </row>
    <row r="964" ht="13.65" customHeight="1">
      <c r="A964" t="s" s="26">
        <v>36</v>
      </c>
      <c r="B964" t="s" s="21">
        <v>70</v>
      </c>
      <c r="C964" t="s" s="21">
        <v>55</v>
      </c>
      <c r="D964" s="22" cm="1">
        <f t="array" ref="D964">_xlfn.SUMIFS('Diseases'!F2:F4303,'Diseases'!B2:B4303,A964,'Diseases'!C2:C4303,B964,'Diseases'!D2:D4303,C964)</f>
        <v>717</v>
      </c>
      <c r="E964" s="22" cm="1">
        <f t="array" ref="E964">_xlfn.IFERROR(IF(INDEX('Diseases'!G2:G4303,MATCH(C964,'Diseases'!D2:D4303,0))="","",INDEX('Diseases'!G2:G4303,MATCH(C964,'Diseases'!D2:D4303,0))),"")</f>
        <v>5273604</v>
      </c>
      <c r="F964" s="23" cm="1">
        <f t="array" ref="F964">_xlfn.IFERROR(IF(E964="","",D964/E964*100000),"")</f>
        <v>13.5960151729254</v>
      </c>
    </row>
    <row r="965" ht="13.65" customHeight="1">
      <c r="A965" t="s" s="20">
        <v>30</v>
      </c>
      <c r="B965" t="s" s="21">
        <v>31</v>
      </c>
      <c r="C965" t="s" s="21">
        <v>56</v>
      </c>
      <c r="D965" s="22" cm="1">
        <f t="array" ref="D965">_xlfn.SUMIFS('Diseases'!F2:F4303,'Diseases'!B2:B4303,A965,'Diseases'!C2:C4303,B965,'Diseases'!D2:D4303,C965)</f>
        <v>5923</v>
      </c>
      <c r="E965" s="22" cm="1">
        <f t="array" ref="E965">_xlfn.IFERROR(IF(INDEX('Diseases'!G2:G4303,MATCH(C965,'Diseases'!D2:D4303,0))="","",INDEX('Diseases'!G2:G4303,MATCH(C965,'Diseases'!D2:D4303,0))),"")</f>
        <v>5691183</v>
      </c>
      <c r="F965" s="23" cm="1">
        <f t="array" ref="F965">_xlfn.IFERROR(IF(E965="","",D965/E965*100000),"")</f>
        <v>104.073265611034</v>
      </c>
    </row>
    <row r="966" ht="13.65" customHeight="1">
      <c r="A966" t="s" s="25">
        <v>35</v>
      </c>
      <c r="B966" t="s" s="21">
        <v>31</v>
      </c>
      <c r="C966" t="s" s="21">
        <v>56</v>
      </c>
      <c r="D966" s="22" cm="1">
        <f t="array" ref="D966">_xlfn.SUMIFS('Diseases'!F2:F4303,'Diseases'!B2:B4303,A966,'Diseases'!C2:C4303,B966,'Diseases'!D2:D4303,C966)</f>
        <v>1574</v>
      </c>
      <c r="E966" s="22" cm="1">
        <f t="array" ref="E966">_xlfn.IFERROR(IF(INDEX('Diseases'!G2:G4303,MATCH(C966,'Diseases'!D2:D4303,0))="","",INDEX('Diseases'!G2:G4303,MATCH(C966,'Diseases'!D2:D4303,0))),"")</f>
        <v>5691183</v>
      </c>
      <c r="F966" s="23" cm="1">
        <f t="array" ref="F966">_xlfn.IFERROR(IF(E966="","",D966/E966*100000),"")</f>
        <v>27.6568158149193</v>
      </c>
    </row>
    <row r="967" ht="13.65" customHeight="1">
      <c r="A967" t="s" s="24">
        <v>34</v>
      </c>
      <c r="B967" t="s" s="21">
        <v>31</v>
      </c>
      <c r="C967" t="s" s="21">
        <v>56</v>
      </c>
      <c r="D967" s="22" cm="1">
        <f t="array" ref="D967">_xlfn.SUMIFS('Diseases'!F2:F4303,'Diseases'!B2:B4303,A967,'Diseases'!C2:C4303,B967,'Diseases'!D2:D4303,C967)</f>
        <v>1451</v>
      </c>
      <c r="E967" s="22" cm="1">
        <f t="array" ref="E967">_xlfn.IFERROR(IF(INDEX('Diseases'!G2:G4303,MATCH(C967,'Diseases'!D2:D4303,0))="","",INDEX('Diseases'!G2:G4303,MATCH(C967,'Diseases'!D2:D4303,0))),"")</f>
        <v>5691183</v>
      </c>
      <c r="F967" s="23" cm="1">
        <f t="array" ref="F967">_xlfn.IFERROR(IF(E967="","",D967/E967*100000),"")</f>
        <v>25.4955779844015</v>
      </c>
    </row>
    <row r="968" ht="13.65" customHeight="1">
      <c r="A968" t="s" s="28">
        <v>41</v>
      </c>
      <c r="B968" t="s" s="21">
        <v>31</v>
      </c>
      <c r="C968" t="s" s="21">
        <v>56</v>
      </c>
      <c r="D968" s="22" cm="1">
        <f t="array" ref="D968">_xlfn.SUMIFS('Diseases'!F2:F4303,'Diseases'!B2:B4303,A968,'Diseases'!C2:C4303,B968,'Diseases'!D2:D4303,C968)</f>
        <v>1030</v>
      </c>
      <c r="E968" s="22" cm="1">
        <f t="array" ref="E968">_xlfn.IFERROR(IF(INDEX('Diseases'!G2:G4303,MATCH(C968,'Diseases'!D2:D4303,0))="","",INDEX('Diseases'!G2:G4303,MATCH(C968,'Diseases'!D2:D4303,0))),"")</f>
        <v>5691183</v>
      </c>
      <c r="F968" s="23" cm="1">
        <f t="array" ref="F968">_xlfn.IFERROR(IF(E968="","",D968/E968*100000),"")</f>
        <v>18.0981704506778</v>
      </c>
    </row>
    <row r="969" ht="13.65" customHeight="1">
      <c r="A969" t="s" s="29">
        <v>39</v>
      </c>
      <c r="B969" t="s" s="21">
        <v>31</v>
      </c>
      <c r="C969" t="s" s="21">
        <v>56</v>
      </c>
      <c r="D969" s="22" cm="1">
        <f t="array" ref="D969">_xlfn.SUMIFS('Diseases'!F2:F4303,'Diseases'!B2:B4303,A969,'Diseases'!C2:C4303,B969,'Diseases'!D2:D4303,C969)</f>
        <v>609</v>
      </c>
      <c r="E969" s="22" cm="1">
        <f t="array" ref="E969">_xlfn.IFERROR(IF(INDEX('Diseases'!G2:G4303,MATCH(C969,'Diseases'!D2:D4303,0))="","",INDEX('Diseases'!G2:G4303,MATCH(C969,'Diseases'!D2:D4303,0))),"")</f>
        <v>5691183</v>
      </c>
      <c r="F969" s="23" cm="1">
        <f t="array" ref="F969">_xlfn.IFERROR(IF(E969="","",D969/E969*100000),"")</f>
        <v>10.7007629169542</v>
      </c>
    </row>
    <row r="970" ht="13.65" customHeight="1">
      <c r="A970" t="s" s="26">
        <v>36</v>
      </c>
      <c r="B970" t="s" s="21">
        <v>31</v>
      </c>
      <c r="C970" t="s" s="21">
        <v>56</v>
      </c>
      <c r="D970" s="22" cm="1">
        <f t="array" ref="D970">_xlfn.SUMIFS('Diseases'!F2:F4303,'Diseases'!B2:B4303,A970,'Diseases'!C2:C4303,B970,'Diseases'!D2:D4303,C970)</f>
        <v>533</v>
      </c>
      <c r="E970" s="22" cm="1">
        <f t="array" ref="E970">_xlfn.IFERROR(IF(INDEX('Diseases'!G2:G4303,MATCH(C970,'Diseases'!D2:D4303,0))="","",INDEX('Diseases'!G2:G4303,MATCH(C970,'Diseases'!D2:D4303,0))),"")</f>
        <v>5691183</v>
      </c>
      <c r="F970" s="23" cm="1">
        <f t="array" ref="F970">_xlfn.IFERROR(IF(E970="","",D970/E970*100000),"")</f>
        <v>9.365363932243961</v>
      </c>
    </row>
    <row r="971" ht="13.65" customHeight="1">
      <c r="A971" t="s" s="27">
        <v>37</v>
      </c>
      <c r="B971" t="s" s="21">
        <v>31</v>
      </c>
      <c r="C971" t="s" s="21">
        <v>56</v>
      </c>
      <c r="D971" s="22" cm="1">
        <f t="array" ref="D971">_xlfn.SUMIFS('Diseases'!F2:F4303,'Diseases'!B2:B4303,A971,'Diseases'!C2:C4303,B971,'Diseases'!D2:D4303,C971)</f>
        <v>470</v>
      </c>
      <c r="E971" s="22" cm="1">
        <f t="array" ref="E971">_xlfn.IFERROR(IF(INDEX('Diseases'!G2:G4303,MATCH(C971,'Diseases'!D2:D4303,0))="","",INDEX('Diseases'!G2:G4303,MATCH(C971,'Diseases'!D2:D4303,0))),"")</f>
        <v>5691183</v>
      </c>
      <c r="F971" s="23" cm="1">
        <f t="array" ref="F971">_xlfn.IFERROR(IF(E971="","",D971/E971*100000),"")</f>
        <v>8.25838845807629</v>
      </c>
    </row>
    <row r="972" ht="13.65" customHeight="1">
      <c r="A972" t="s" s="20">
        <v>30</v>
      </c>
      <c r="B972" t="s" s="21">
        <v>60</v>
      </c>
      <c r="C972" t="s" s="21">
        <v>56</v>
      </c>
      <c r="D972" s="22" cm="1">
        <f t="array" ref="D972">_xlfn.SUMIFS('Diseases'!F2:F4303,'Diseases'!B2:B4303,A972,'Diseases'!C2:C4303,B972,'Diseases'!D2:D4303,C972)</f>
        <v>4959</v>
      </c>
      <c r="E972" s="22" cm="1">
        <f t="array" ref="E972">_xlfn.IFERROR(IF(INDEX('Diseases'!G2:G4303,MATCH(C972,'Diseases'!D2:D4303,0))="","",INDEX('Diseases'!G2:G4303,MATCH(C972,'Diseases'!D2:D4303,0))),"")</f>
        <v>5691183</v>
      </c>
      <c r="F972" s="23" cm="1">
        <f t="array" ref="F972">_xlfn.IFERROR(IF(E972="","",D972/E972*100000),"")</f>
        <v>87.13478375234109</v>
      </c>
    </row>
    <row r="973" ht="13.65" customHeight="1">
      <c r="A973" t="s" s="25">
        <v>35</v>
      </c>
      <c r="B973" t="s" s="21">
        <v>60</v>
      </c>
      <c r="C973" t="s" s="21">
        <v>56</v>
      </c>
      <c r="D973" s="22" cm="1">
        <f t="array" ref="D973">_xlfn.SUMIFS('Diseases'!F2:F4303,'Diseases'!B2:B4303,A973,'Diseases'!C2:C4303,B973,'Diseases'!D2:D4303,C973)</f>
        <v>2139</v>
      </c>
      <c r="E973" s="22" cm="1">
        <f t="array" ref="E973">_xlfn.IFERROR(IF(INDEX('Diseases'!G2:G4303,MATCH(C973,'Diseases'!D2:D4303,0))="","",INDEX('Diseases'!G2:G4303,MATCH(C973,'Diseases'!D2:D4303,0))),"")</f>
        <v>5691183</v>
      </c>
      <c r="F973" s="23" cm="1">
        <f t="array" ref="F973">_xlfn.IFERROR(IF(E973="","",D973/E973*100000),"")</f>
        <v>37.5844530038834</v>
      </c>
    </row>
    <row r="974" ht="13.65" customHeight="1">
      <c r="A974" t="s" s="28">
        <v>41</v>
      </c>
      <c r="B974" t="s" s="21">
        <v>60</v>
      </c>
      <c r="C974" t="s" s="21">
        <v>56</v>
      </c>
      <c r="D974" s="22" cm="1">
        <f t="array" ref="D974">_xlfn.SUMIFS('Diseases'!F2:F4303,'Diseases'!B2:B4303,A974,'Diseases'!C2:C4303,B974,'Diseases'!D2:D4303,C974)</f>
        <v>1967</v>
      </c>
      <c r="E974" s="22" cm="1">
        <f t="array" ref="E974">_xlfn.IFERROR(IF(INDEX('Diseases'!G2:G4303,MATCH(C974,'Diseases'!D2:D4303,0))="","",INDEX('Diseases'!G2:G4303,MATCH(C974,'Diseases'!D2:D4303,0))),"")</f>
        <v>5691183</v>
      </c>
      <c r="F974" s="23" cm="1">
        <f t="array" ref="F974">_xlfn.IFERROR(IF(E974="","",D974/E974*100000),"")</f>
        <v>34.5622342490129</v>
      </c>
    </row>
    <row r="975" ht="13.65" customHeight="1">
      <c r="A975" t="s" s="27">
        <v>37</v>
      </c>
      <c r="B975" t="s" s="21">
        <v>60</v>
      </c>
      <c r="C975" t="s" s="21">
        <v>56</v>
      </c>
      <c r="D975" s="22" cm="1">
        <f t="array" ref="D975">_xlfn.SUMIFS('Diseases'!F2:F4303,'Diseases'!B2:B4303,A975,'Diseases'!C2:C4303,B975,'Diseases'!D2:D4303,C975)</f>
        <v>648</v>
      </c>
      <c r="E975" s="22" cm="1">
        <f t="array" ref="E975">_xlfn.IFERROR(IF(INDEX('Diseases'!G2:G4303,MATCH(C975,'Diseases'!D2:D4303,0))="","",INDEX('Diseases'!G2:G4303,MATCH(C975,'Diseases'!D2:D4303,0))),"")</f>
        <v>5691183</v>
      </c>
      <c r="F975" s="23" cm="1">
        <f t="array" ref="F975">_xlfn.IFERROR(IF(E975="","",D975/E975*100000),"")</f>
        <v>11.3860334485818</v>
      </c>
    </row>
    <row r="976" ht="13.65" customHeight="1">
      <c r="A976" t="s" s="29">
        <v>39</v>
      </c>
      <c r="B976" t="s" s="21">
        <v>60</v>
      </c>
      <c r="C976" t="s" s="21">
        <v>56</v>
      </c>
      <c r="D976" s="22" cm="1">
        <f t="array" ref="D976">_xlfn.SUMIFS('Diseases'!F2:F4303,'Diseases'!B2:B4303,A976,'Diseases'!C2:C4303,B976,'Diseases'!D2:D4303,C976)</f>
        <v>620</v>
      </c>
      <c r="E976" s="22" cm="1">
        <f t="array" ref="E976">_xlfn.IFERROR(IF(INDEX('Diseases'!G2:G4303,MATCH(C976,'Diseases'!D2:D4303,0))="","",INDEX('Diseases'!G2:G4303,MATCH(C976,'Diseases'!D2:D4303,0))),"")</f>
        <v>5691183</v>
      </c>
      <c r="F976" s="23" cm="1">
        <f t="array" ref="F976">_xlfn.IFERROR(IF(E976="","",D976/E976*100000),"")</f>
        <v>10.8940443489517</v>
      </c>
    </row>
    <row r="977" ht="13.65" customHeight="1">
      <c r="A977" t="s" s="20">
        <v>30</v>
      </c>
      <c r="B977" t="s" s="21">
        <v>61</v>
      </c>
      <c r="C977" t="s" s="21">
        <v>56</v>
      </c>
      <c r="D977" s="22" cm="1">
        <f t="array" ref="D977">_xlfn.SUMIFS('Diseases'!F2:F4303,'Diseases'!B2:B4303,A977,'Diseases'!C2:C4303,B977,'Diseases'!D2:D4303,C977)</f>
        <v>20592</v>
      </c>
      <c r="E977" s="22" cm="1">
        <f t="array" ref="E977">_xlfn.IFERROR(IF(INDEX('Diseases'!G2:G4303,MATCH(C977,'Diseases'!D2:D4303,0))="","",INDEX('Diseases'!G2:G4303,MATCH(C977,'Diseases'!D2:D4303,0))),"")</f>
        <v>5691183</v>
      </c>
      <c r="F977" s="23" cm="1">
        <f t="array" ref="F977">_xlfn.IFERROR(IF(E977="","",D977/E977*100000),"")</f>
        <v>361.822840699377</v>
      </c>
    </row>
    <row r="978" ht="13.65" customHeight="1">
      <c r="A978" t="s" s="25">
        <v>35</v>
      </c>
      <c r="B978" t="s" s="21">
        <v>61</v>
      </c>
      <c r="C978" t="s" s="21">
        <v>56</v>
      </c>
      <c r="D978" s="22" cm="1">
        <f t="array" ref="D978">_xlfn.SUMIFS('Diseases'!F2:F4303,'Diseases'!B2:B4303,A978,'Diseases'!C2:C4303,B978,'Diseases'!D2:D4303,C978)</f>
        <v>8995</v>
      </c>
      <c r="E978" s="22" cm="1">
        <f t="array" ref="E978">_xlfn.IFERROR(IF(INDEX('Diseases'!G2:G4303,MATCH(C978,'Diseases'!D2:D4303,0))="","",INDEX('Diseases'!G2:G4303,MATCH(C978,'Diseases'!D2:D4303,0))),"")</f>
        <v>5691183</v>
      </c>
      <c r="F978" s="23" cm="1">
        <f t="array" ref="F978">_xlfn.IFERROR(IF(E978="","",D978/E978*100000),"")</f>
        <v>158.051498256162</v>
      </c>
    </row>
    <row r="979" ht="13.65" customHeight="1">
      <c r="A979" t="s" s="24">
        <v>34</v>
      </c>
      <c r="B979" t="s" s="21">
        <v>61</v>
      </c>
      <c r="C979" t="s" s="21">
        <v>56</v>
      </c>
      <c r="D979" s="22" cm="1">
        <f t="array" ref="D979">_xlfn.SUMIFS('Diseases'!F2:F4303,'Diseases'!B2:B4303,A979,'Diseases'!C2:C4303,B979,'Diseases'!D2:D4303,C979)</f>
        <v>5991</v>
      </c>
      <c r="E979" s="22" cm="1">
        <f t="array" ref="E979">_xlfn.IFERROR(IF(INDEX('Diseases'!G2:G4303,MATCH(C979,'Diseases'!D2:D4303,0))="","",INDEX('Diseases'!G2:G4303,MATCH(C979,'Diseases'!D2:D4303,0))),"")</f>
        <v>5691183</v>
      </c>
      <c r="F979" s="23" cm="1">
        <f t="array" ref="F979">_xlfn.IFERROR(IF(E979="","",D979/E979*100000),"")</f>
        <v>105.268096281564</v>
      </c>
    </row>
    <row r="980" ht="13.65" customHeight="1">
      <c r="A980" t="s" s="27">
        <v>37</v>
      </c>
      <c r="B980" t="s" s="21">
        <v>61</v>
      </c>
      <c r="C980" t="s" s="21">
        <v>56</v>
      </c>
      <c r="D980" s="22" cm="1">
        <f t="array" ref="D980">_xlfn.SUMIFS('Diseases'!F2:F4303,'Diseases'!B2:B4303,A980,'Diseases'!C2:C4303,B980,'Diseases'!D2:D4303,C980)</f>
        <v>1881</v>
      </c>
      <c r="E980" s="22" cm="1">
        <f t="array" ref="E980">_xlfn.IFERROR(IF(INDEX('Diseases'!G2:G4303,MATCH(C980,'Diseases'!D2:D4303,0))="","",INDEX('Diseases'!G2:G4303,MATCH(C980,'Diseases'!D2:D4303,0))),"")</f>
        <v>5691183</v>
      </c>
      <c r="F980" s="23" cm="1">
        <f t="array" ref="F980">_xlfn.IFERROR(IF(E980="","",D980/E980*100000),"")</f>
        <v>33.0511248715777</v>
      </c>
    </row>
    <row r="981" ht="13.65" customHeight="1">
      <c r="A981" t="s" s="29">
        <v>39</v>
      </c>
      <c r="B981" t="s" s="21">
        <v>61</v>
      </c>
      <c r="C981" t="s" s="21">
        <v>56</v>
      </c>
      <c r="D981" s="22" cm="1">
        <f t="array" ref="D981">_xlfn.SUMIFS('Diseases'!F2:F4303,'Diseases'!B2:B4303,A981,'Diseases'!C2:C4303,B981,'Diseases'!D2:D4303,C981)</f>
        <v>1408</v>
      </c>
      <c r="E981" s="22" cm="1">
        <f t="array" ref="E981">_xlfn.IFERROR(IF(INDEX('Diseases'!G2:G4303,MATCH(C981,'Diseases'!D2:D4303,0))="","",INDEX('Diseases'!G2:G4303,MATCH(C981,'Diseases'!D2:D4303,0))),"")</f>
        <v>5691183</v>
      </c>
      <c r="F981" s="23" cm="1">
        <f t="array" ref="F981">_xlfn.IFERROR(IF(E981="","",D981/E981*100000),"")</f>
        <v>24.7400232956839</v>
      </c>
    </row>
    <row r="982" ht="13.65" customHeight="1">
      <c r="A982" t="s" s="31">
        <v>45</v>
      </c>
      <c r="B982" t="s" s="21">
        <v>61</v>
      </c>
      <c r="C982" t="s" s="21">
        <v>56</v>
      </c>
      <c r="D982" s="22" cm="1">
        <f t="array" ref="D982">_xlfn.SUMIFS('Diseases'!F2:F4303,'Diseases'!B2:B4303,A982,'Diseases'!C2:C4303,B982,'Diseases'!D2:D4303,C982)</f>
        <v>1402</v>
      </c>
      <c r="E982" s="22" cm="1">
        <f t="array" ref="E982">_xlfn.IFERROR(IF(INDEX('Diseases'!G2:G4303,MATCH(C982,'Diseases'!D2:D4303,0))="","",INDEX('Diseases'!G2:G4303,MATCH(C982,'Diseases'!D2:D4303,0))),"")</f>
        <v>5691183</v>
      </c>
      <c r="F982" s="23" cm="1">
        <f t="array" ref="F982">_xlfn.IFERROR(IF(E982="","",D982/E982*100000),"")</f>
        <v>24.6345970600489</v>
      </c>
    </row>
    <row r="983" ht="13.65" customHeight="1">
      <c r="A983" t="s" s="20">
        <v>30</v>
      </c>
      <c r="B983" t="s" s="21">
        <v>62</v>
      </c>
      <c r="C983" t="s" s="21">
        <v>56</v>
      </c>
      <c r="D983" s="22" cm="1">
        <f t="array" ref="D983">_xlfn.SUMIFS('Diseases'!F2:F4303,'Diseases'!B2:B4303,A983,'Diseases'!C2:C4303,B983,'Diseases'!D2:D4303,C983)</f>
        <v>85918</v>
      </c>
      <c r="E983" s="22" cm="1">
        <f t="array" ref="E983">_xlfn.IFERROR(IF(INDEX('Diseases'!G2:G4303,MATCH(C983,'Diseases'!D2:D4303,0))="","",INDEX('Diseases'!G2:G4303,MATCH(C983,'Diseases'!D2:D4303,0))),"")</f>
        <v>5691183</v>
      </c>
      <c r="F983" s="23" cm="1">
        <f t="array" ref="F983">_xlfn.IFERROR(IF(E983="","",D983/E983*100000),"")</f>
        <v>1509.668552214890</v>
      </c>
    </row>
    <row r="984" ht="13.65" customHeight="1">
      <c r="A984" t="s" s="25">
        <v>35</v>
      </c>
      <c r="B984" t="s" s="21">
        <v>62</v>
      </c>
      <c r="C984" t="s" s="21">
        <v>56</v>
      </c>
      <c r="D984" s="22" cm="1">
        <f t="array" ref="D984">_xlfn.SUMIFS('Diseases'!F2:F4303,'Diseases'!B2:B4303,A984,'Diseases'!C2:C4303,B984,'Diseases'!D2:D4303,C984)</f>
        <v>67014</v>
      </c>
      <c r="E984" s="22" cm="1">
        <f t="array" ref="E984">_xlfn.IFERROR(IF(INDEX('Diseases'!G2:G4303,MATCH(C984,'Diseases'!D2:D4303,0))="","",INDEX('Diseases'!G2:G4303,MATCH(C984,'Diseases'!D2:D4303,0))),"")</f>
        <v>5691183</v>
      </c>
      <c r="F984" s="23" cm="1">
        <f t="array" ref="F984">_xlfn.IFERROR(IF(E984="","",D984/E984*100000),"")</f>
        <v>1177.5056258075</v>
      </c>
    </row>
    <row r="985" ht="13.65" customHeight="1">
      <c r="A985" t="s" s="24">
        <v>34</v>
      </c>
      <c r="B985" t="s" s="21">
        <v>62</v>
      </c>
      <c r="C985" t="s" s="21">
        <v>56</v>
      </c>
      <c r="D985" s="22" cm="1">
        <f t="array" ref="D985">_xlfn.SUMIFS('Diseases'!F2:F4303,'Diseases'!B2:B4303,A985,'Diseases'!C2:C4303,B985,'Diseases'!D2:D4303,C985)</f>
        <v>53091</v>
      </c>
      <c r="E985" s="22" cm="1">
        <f t="array" ref="E985">_xlfn.IFERROR(IF(INDEX('Diseases'!G2:G4303,MATCH(C985,'Diseases'!D2:D4303,0))="","",INDEX('Diseases'!G2:G4303,MATCH(C985,'Diseases'!D2:D4303,0))),"")</f>
        <v>5691183</v>
      </c>
      <c r="F985" s="23" cm="1">
        <f t="array" ref="F985">_xlfn.IFERROR(IF(E985="","",D985/E985*100000),"")</f>
        <v>932.864046016443</v>
      </c>
    </row>
    <row r="986" ht="13.65" customHeight="1">
      <c r="A986" t="s" s="27">
        <v>37</v>
      </c>
      <c r="B986" t="s" s="21">
        <v>62</v>
      </c>
      <c r="C986" t="s" s="21">
        <v>56</v>
      </c>
      <c r="D986" s="22" cm="1">
        <f t="array" ref="D986">_xlfn.SUMIFS('Diseases'!F2:F4303,'Diseases'!B2:B4303,A986,'Diseases'!C2:C4303,B986,'Diseases'!D2:D4303,C986)</f>
        <v>20995</v>
      </c>
      <c r="E986" s="22" cm="1">
        <f t="array" ref="E986">_xlfn.IFERROR(IF(INDEX('Diseases'!G2:G4303,MATCH(C986,'Diseases'!D2:D4303,0))="","",INDEX('Diseases'!G2:G4303,MATCH(C986,'Diseases'!D2:D4303,0))),"")</f>
        <v>5691183</v>
      </c>
      <c r="F986" s="23" cm="1">
        <f t="array" ref="F986">_xlfn.IFERROR(IF(E986="","",D986/E986*100000),"")</f>
        <v>368.903969526195</v>
      </c>
    </row>
    <row r="987" ht="13.65" customHeight="1">
      <c r="A987" t="s" s="29">
        <v>39</v>
      </c>
      <c r="B987" t="s" s="21">
        <v>62</v>
      </c>
      <c r="C987" t="s" s="21">
        <v>56</v>
      </c>
      <c r="D987" s="22" cm="1">
        <f t="array" ref="D987">_xlfn.SUMIFS('Diseases'!F2:F4303,'Diseases'!B2:B4303,A987,'Diseases'!C2:C4303,B987,'Diseases'!D2:D4303,C987)</f>
        <v>16099</v>
      </c>
      <c r="E987" s="22" cm="1">
        <f t="array" ref="E987">_xlfn.IFERROR(IF(INDEX('Diseases'!G2:G4303,MATCH(C987,'Diseases'!D2:D4303,0))="","",INDEX('Diseases'!G2:G4303,MATCH(C987,'Diseases'!D2:D4303,0))),"")</f>
        <v>5691183</v>
      </c>
      <c r="F987" s="23" cm="1">
        <f t="array" ref="F987">_xlfn.IFERROR(IF(E987="","",D987/E987*100000),"")</f>
        <v>282.876161248022</v>
      </c>
    </row>
    <row r="988" ht="13.65" customHeight="1">
      <c r="A988" t="s" s="26">
        <v>36</v>
      </c>
      <c r="B988" t="s" s="21">
        <v>62</v>
      </c>
      <c r="C988" t="s" s="21">
        <v>56</v>
      </c>
      <c r="D988" s="22" cm="1">
        <f t="array" ref="D988">_xlfn.SUMIFS('Diseases'!F2:F4303,'Diseases'!B2:B4303,A988,'Diseases'!C2:C4303,B988,'Diseases'!D2:D4303,C988)</f>
        <v>6647</v>
      </c>
      <c r="E988" s="22" cm="1">
        <f t="array" ref="E988">_xlfn.IFERROR(IF(INDEX('Diseases'!G2:G4303,MATCH(C988,'Diseases'!D2:D4303,0))="","",INDEX('Diseases'!G2:G4303,MATCH(C988,'Diseases'!D2:D4303,0))),"")</f>
        <v>5691183</v>
      </c>
      <c r="F988" s="23" cm="1">
        <f t="array" ref="F988">_xlfn.IFERROR(IF(E988="","",D988/E988*100000),"")</f>
        <v>116.794698044326</v>
      </c>
    </row>
    <row r="989" ht="13.65" customHeight="1">
      <c r="A989" t="s" s="28">
        <v>41</v>
      </c>
      <c r="B989" t="s" s="21">
        <v>62</v>
      </c>
      <c r="C989" t="s" s="21">
        <v>56</v>
      </c>
      <c r="D989" s="22" cm="1">
        <f t="array" ref="D989">_xlfn.SUMIFS('Diseases'!F2:F4303,'Diseases'!B2:B4303,A989,'Diseases'!C2:C4303,B989,'Diseases'!D2:D4303,C989)</f>
        <v>6375</v>
      </c>
      <c r="E989" s="22" cm="1">
        <f t="array" ref="E989">_xlfn.IFERROR(IF(INDEX('Diseases'!G2:G4303,MATCH(C989,'Diseases'!D2:D4303,0))="","",INDEX('Diseases'!G2:G4303,MATCH(C989,'Diseases'!D2:D4303,0))),"")</f>
        <v>5691183</v>
      </c>
      <c r="F989" s="23" cm="1">
        <f t="array" ref="F989">_xlfn.IFERROR(IF(E989="","",D989/E989*100000),"")</f>
        <v>112.015375362205</v>
      </c>
    </row>
    <row r="990" ht="13.65" customHeight="1">
      <c r="A990" t="s" s="24">
        <v>34</v>
      </c>
      <c r="B990" t="s" s="21">
        <v>63</v>
      </c>
      <c r="C990" t="s" s="21">
        <v>56</v>
      </c>
      <c r="D990" s="22" cm="1">
        <f t="array" ref="D990">_xlfn.SUMIFS('Diseases'!F2:F4303,'Diseases'!B2:B4303,A990,'Diseases'!C2:C4303,B990,'Diseases'!D2:D4303,C990)</f>
        <v>4308</v>
      </c>
      <c r="E990" s="22" cm="1">
        <f t="array" ref="E990">_xlfn.IFERROR(IF(INDEX('Diseases'!G2:G4303,MATCH(C990,'Diseases'!D2:D4303,0))="","",INDEX('Diseases'!G2:G4303,MATCH(C990,'Diseases'!D2:D4303,0))),"")</f>
        <v>5691183</v>
      </c>
      <c r="F990" s="23" cm="1">
        <f t="array" ref="F990">_xlfn.IFERROR(IF(E990="","",D990/E990*100000),"")</f>
        <v>75.6960371859418</v>
      </c>
    </row>
    <row r="991" ht="13.65" customHeight="1">
      <c r="A991" t="s" s="25">
        <v>35</v>
      </c>
      <c r="B991" t="s" s="21">
        <v>63</v>
      </c>
      <c r="C991" t="s" s="21">
        <v>56</v>
      </c>
      <c r="D991" s="22" cm="1">
        <f t="array" ref="D991">_xlfn.SUMIFS('Diseases'!F2:F4303,'Diseases'!B2:B4303,A991,'Diseases'!C2:C4303,B991,'Diseases'!D2:D4303,C991)</f>
        <v>4273</v>
      </c>
      <c r="E991" s="22" cm="1">
        <f t="array" ref="E991">_xlfn.IFERROR(IF(INDEX('Diseases'!G2:G4303,MATCH(C991,'Diseases'!D2:D4303,0))="","",INDEX('Diseases'!G2:G4303,MATCH(C991,'Diseases'!D2:D4303,0))),"")</f>
        <v>5691183</v>
      </c>
      <c r="F991" s="23" cm="1">
        <f t="array" ref="F991">_xlfn.IFERROR(IF(E991="","",D991/E991*100000),"")</f>
        <v>75.0810508114042</v>
      </c>
    </row>
    <row r="992" ht="13.65" customHeight="1">
      <c r="A992" t="s" s="20">
        <v>30</v>
      </c>
      <c r="B992" t="s" s="21">
        <v>63</v>
      </c>
      <c r="C992" t="s" s="21">
        <v>56</v>
      </c>
      <c r="D992" s="22" cm="1">
        <f t="array" ref="D992">_xlfn.SUMIFS('Diseases'!F2:F4303,'Diseases'!B2:B4303,A992,'Diseases'!C2:C4303,B992,'Diseases'!D2:D4303,C992)</f>
        <v>3448</v>
      </c>
      <c r="E992" s="22" cm="1">
        <f t="array" ref="E992">_xlfn.IFERROR(IF(INDEX('Diseases'!G2:G4303,MATCH(C992,'Diseases'!D2:D4303,0))="","",INDEX('Diseases'!G2:G4303,MATCH(C992,'Diseases'!D2:D4303,0))),"")</f>
        <v>5691183</v>
      </c>
      <c r="F992" s="23" cm="1">
        <f t="array" ref="F992">_xlfn.IFERROR(IF(E992="","",D992/E992*100000),"")</f>
        <v>60.5849434115895</v>
      </c>
    </row>
    <row r="993" ht="13.65" customHeight="1">
      <c r="A993" t="s" s="27">
        <v>37</v>
      </c>
      <c r="B993" t="s" s="21">
        <v>63</v>
      </c>
      <c r="C993" t="s" s="21">
        <v>56</v>
      </c>
      <c r="D993" s="22" cm="1">
        <f t="array" ref="D993">_xlfn.SUMIFS('Diseases'!F2:F4303,'Diseases'!B2:B4303,A993,'Diseases'!C2:C4303,B993,'Diseases'!D2:D4303,C993)</f>
        <v>1373</v>
      </c>
      <c r="E993" s="22" cm="1">
        <f t="array" ref="E993">_xlfn.IFERROR(IF(INDEX('Diseases'!G2:G4303,MATCH(C993,'Diseases'!D2:D4303,0))="","",INDEX('Diseases'!G2:G4303,MATCH(C993,'Diseases'!D2:D4303,0))),"")</f>
        <v>5691183</v>
      </c>
      <c r="F993" s="23" cm="1">
        <f t="array" ref="F993">_xlfn.IFERROR(IF(E993="","",D993/E993*100000),"")</f>
        <v>24.1250369211463</v>
      </c>
    </row>
    <row r="994" ht="13.65" customHeight="1">
      <c r="A994" t="s" s="28">
        <v>41</v>
      </c>
      <c r="B994" t="s" s="21">
        <v>63</v>
      </c>
      <c r="C994" t="s" s="21">
        <v>56</v>
      </c>
      <c r="D994" s="22" cm="1">
        <f t="array" ref="D994">_xlfn.SUMIFS('Diseases'!F2:F4303,'Diseases'!B2:B4303,A994,'Diseases'!C2:C4303,B994,'Diseases'!D2:D4303,C994)</f>
        <v>526</v>
      </c>
      <c r="E994" s="22" cm="1">
        <f t="array" ref="E994">_xlfn.IFERROR(IF(INDEX('Diseases'!G2:G4303,MATCH(C994,'Diseases'!D2:D4303,0))="","",INDEX('Diseases'!G2:G4303,MATCH(C994,'Diseases'!D2:D4303,0))),"")</f>
        <v>5691183</v>
      </c>
      <c r="F994" s="23" cm="1">
        <f t="array" ref="F994">_xlfn.IFERROR(IF(E994="","",D994/E994*100000),"")</f>
        <v>9.24236665733644</v>
      </c>
    </row>
    <row r="995" ht="13.65" customHeight="1">
      <c r="A995" t="s" s="26">
        <v>36</v>
      </c>
      <c r="B995" t="s" s="21">
        <v>63</v>
      </c>
      <c r="C995" t="s" s="21">
        <v>56</v>
      </c>
      <c r="D995" s="22" cm="1">
        <f t="array" ref="D995">_xlfn.SUMIFS('Diseases'!F2:F4303,'Diseases'!B2:B4303,A995,'Diseases'!C2:C4303,B995,'Diseases'!D2:D4303,C995)</f>
        <v>474</v>
      </c>
      <c r="E995" s="22" cm="1">
        <f t="array" ref="E995">_xlfn.IFERROR(IF(INDEX('Diseases'!G2:G4303,MATCH(C995,'Diseases'!D2:D4303,0))="","",INDEX('Diseases'!G2:G4303,MATCH(C995,'Diseases'!D2:D4303,0))),"")</f>
        <v>5691183</v>
      </c>
      <c r="F995" s="23" cm="1">
        <f t="array" ref="F995">_xlfn.IFERROR(IF(E995="","",D995/E995*100000),"")</f>
        <v>8.328672615166299</v>
      </c>
    </row>
    <row r="996" ht="13.65" customHeight="1">
      <c r="A996" t="s" s="29">
        <v>39</v>
      </c>
      <c r="B996" t="s" s="21">
        <v>63</v>
      </c>
      <c r="C996" t="s" s="21">
        <v>56</v>
      </c>
      <c r="D996" s="22" cm="1">
        <f t="array" ref="D996">_xlfn.SUMIFS('Diseases'!F2:F4303,'Diseases'!B2:B4303,A996,'Diseases'!C2:C4303,B996,'Diseases'!D2:D4303,C996)</f>
        <v>439</v>
      </c>
      <c r="E996" s="22" cm="1">
        <f t="array" ref="E996">_xlfn.IFERROR(IF(INDEX('Diseases'!G2:G4303,MATCH(C996,'Diseases'!D2:D4303,0))="","",INDEX('Diseases'!G2:G4303,MATCH(C996,'Diseases'!D2:D4303,0))),"")</f>
        <v>5691183</v>
      </c>
      <c r="F996" s="23" cm="1">
        <f t="array" ref="F996">_xlfn.IFERROR(IF(E996="","",D996/E996*100000),"")</f>
        <v>7.71368624062871</v>
      </c>
    </row>
    <row r="997" ht="13.65" customHeight="1">
      <c r="A997" t="s" s="25">
        <v>35</v>
      </c>
      <c r="B997" t="s" s="21">
        <v>64</v>
      </c>
      <c r="C997" t="s" s="21">
        <v>56</v>
      </c>
      <c r="D997" s="22" cm="1">
        <f t="array" ref="D997">_xlfn.SUMIFS('Diseases'!F2:F4303,'Diseases'!B2:B4303,A997,'Diseases'!C2:C4303,B997,'Diseases'!D2:D4303,C997)</f>
        <v>7476</v>
      </c>
      <c r="E997" s="22" cm="1">
        <f t="array" ref="E997">_xlfn.IFERROR(IF(INDEX('Diseases'!G2:G4303,MATCH(C997,'Diseases'!D2:D4303,0))="","",INDEX('Diseases'!G2:G4303,MATCH(C997,'Diseases'!D2:D4303,0))),"")</f>
        <v>5691183</v>
      </c>
      <c r="F997" s="23" cm="1">
        <f t="array" ref="F997">_xlfn.IFERROR(IF(E997="","",D997/E997*100000),"")</f>
        <v>131.361089601231</v>
      </c>
    </row>
    <row r="998" ht="13.65" customHeight="1">
      <c r="A998" t="s" s="20">
        <v>30</v>
      </c>
      <c r="B998" t="s" s="21">
        <v>64</v>
      </c>
      <c r="C998" t="s" s="21">
        <v>56</v>
      </c>
      <c r="D998" s="22" cm="1">
        <f t="array" ref="D998">_xlfn.SUMIFS('Diseases'!F2:F4303,'Diseases'!B2:B4303,A998,'Diseases'!C2:C4303,B998,'Diseases'!D2:D4303,C998)</f>
        <v>4791</v>
      </c>
      <c r="E998" s="22" cm="1">
        <f t="array" ref="E998">_xlfn.IFERROR(IF(INDEX('Diseases'!G2:G4303,MATCH(C998,'Diseases'!D2:D4303,0))="","",INDEX('Diseases'!G2:G4303,MATCH(C998,'Diseases'!D2:D4303,0))),"")</f>
        <v>5691183</v>
      </c>
      <c r="F998" s="23" cm="1">
        <f t="array" ref="F998">_xlfn.IFERROR(IF(E998="","",D998/E998*100000),"")</f>
        <v>84.1828491545607</v>
      </c>
    </row>
    <row r="999" ht="13.65" customHeight="1">
      <c r="A999" t="s" s="24">
        <v>34</v>
      </c>
      <c r="B999" t="s" s="21">
        <v>64</v>
      </c>
      <c r="C999" t="s" s="21">
        <v>56</v>
      </c>
      <c r="D999" s="22" cm="1">
        <f t="array" ref="D999">_xlfn.SUMIFS('Diseases'!F2:F4303,'Diseases'!B2:B4303,A999,'Diseases'!C2:C4303,B999,'Diseases'!D2:D4303,C999)</f>
        <v>4452</v>
      </c>
      <c r="E999" s="22" cm="1">
        <f t="array" ref="E999">_xlfn.IFERROR(IF(INDEX('Diseases'!G2:G4303,MATCH(C999,'Diseases'!D2:D4303,0))="","",INDEX('Diseases'!G2:G4303,MATCH(C999,'Diseases'!D2:D4303,0))),"")</f>
        <v>5691183</v>
      </c>
      <c r="F999" s="23" cm="1">
        <f t="array" ref="F999">_xlfn.IFERROR(IF(E999="","",D999/E999*100000),"")</f>
        <v>78.22626684118219</v>
      </c>
    </row>
    <row r="1000" ht="13.65" customHeight="1">
      <c r="A1000" t="s" s="27">
        <v>37</v>
      </c>
      <c r="B1000" t="s" s="21">
        <v>64</v>
      </c>
      <c r="C1000" t="s" s="21">
        <v>56</v>
      </c>
      <c r="D1000" s="22" cm="1">
        <f t="array" ref="D1000">_xlfn.SUMIFS('Diseases'!F2:F4303,'Diseases'!B2:B4303,A1000,'Diseases'!C2:C4303,B1000,'Diseases'!D2:D4303,C1000)</f>
        <v>1680</v>
      </c>
      <c r="E1000" s="22" cm="1">
        <f t="array" ref="E1000">_xlfn.IFERROR(IF(INDEX('Diseases'!G2:G4303,MATCH(C1000,'Diseases'!D2:D4303,0))="","",INDEX('Diseases'!G2:G4303,MATCH(C1000,'Diseases'!D2:D4303,0))),"")</f>
        <v>5691183</v>
      </c>
      <c r="F1000" s="23" cm="1">
        <f t="array" ref="F1000">_xlfn.IFERROR(IF(E1000="","",D1000/E1000*100000),"")</f>
        <v>29.5193459778046</v>
      </c>
    </row>
    <row r="1001" ht="13.65" customHeight="1">
      <c r="A1001" t="s" s="29">
        <v>39</v>
      </c>
      <c r="B1001" t="s" s="21">
        <v>64</v>
      </c>
      <c r="C1001" t="s" s="21">
        <v>56</v>
      </c>
      <c r="D1001" s="22" cm="1">
        <f t="array" ref="D1001">_xlfn.SUMIFS('Diseases'!F2:F4303,'Diseases'!B2:B4303,A1001,'Diseases'!C2:C4303,B1001,'Diseases'!D2:D4303,C1001)</f>
        <v>582</v>
      </c>
      <c r="E1001" s="22" cm="1">
        <f t="array" ref="E1001">_xlfn.IFERROR(IF(INDEX('Diseases'!G2:G4303,MATCH(C1001,'Diseases'!D2:D4303,0))="","",INDEX('Diseases'!G2:G4303,MATCH(C1001,'Diseases'!D2:D4303,0))),"")</f>
        <v>5691183</v>
      </c>
      <c r="F1001" s="23" cm="1">
        <f t="array" ref="F1001">_xlfn.IFERROR(IF(E1001="","",D1001/E1001*100000),"")</f>
        <v>10.2263448565966</v>
      </c>
    </row>
    <row r="1002" ht="13.65" customHeight="1">
      <c r="A1002" t="s" s="26">
        <v>36</v>
      </c>
      <c r="B1002" t="s" s="21">
        <v>64</v>
      </c>
      <c r="C1002" t="s" s="21">
        <v>56</v>
      </c>
      <c r="D1002" s="22" cm="1">
        <f t="array" ref="D1002">_xlfn.SUMIFS('Diseases'!F2:F4303,'Diseases'!B2:B4303,A1002,'Diseases'!C2:C4303,B1002,'Diseases'!D2:D4303,C1002)</f>
        <v>541</v>
      </c>
      <c r="E1002" s="22" cm="1">
        <f t="array" ref="E1002">_xlfn.IFERROR(IF(INDEX('Diseases'!G2:G4303,MATCH(C1002,'Diseases'!D2:D4303,0))="","",INDEX('Diseases'!G2:G4303,MATCH(C1002,'Diseases'!D2:D4303,0))),"")</f>
        <v>5691183</v>
      </c>
      <c r="F1002" s="23" cm="1">
        <f t="array" ref="F1002">_xlfn.IFERROR(IF(E1002="","",D1002/E1002*100000),"")</f>
        <v>9.50593224642399</v>
      </c>
    </row>
    <row r="1003" ht="13.65" customHeight="1">
      <c r="A1003" t="s" s="25">
        <v>35</v>
      </c>
      <c r="B1003" t="s" s="21">
        <v>65</v>
      </c>
      <c r="C1003" t="s" s="21">
        <v>56</v>
      </c>
      <c r="D1003" s="22" cm="1">
        <f t="array" ref="D1003">_xlfn.SUMIFS('Diseases'!F2:F4303,'Diseases'!B2:B4303,A1003,'Diseases'!C2:C4303,B1003,'Diseases'!D2:D4303,C1003)</f>
        <v>5068</v>
      </c>
      <c r="E1003" s="22" cm="1">
        <f t="array" ref="E1003">_xlfn.IFERROR(IF(INDEX('Diseases'!G2:G4303,MATCH(C1003,'Diseases'!D2:D4303,0))="","",INDEX('Diseases'!G2:G4303,MATCH(C1003,'Diseases'!D2:D4303,0))),"")</f>
        <v>5691183</v>
      </c>
      <c r="F1003" s="23" cm="1">
        <f t="array" ref="F1003">_xlfn.IFERROR(IF(E1003="","",D1003/E1003*100000),"")</f>
        <v>89.0500270330439</v>
      </c>
    </row>
    <row r="1004" ht="13.65" customHeight="1">
      <c r="A1004" t="s" s="20">
        <v>30</v>
      </c>
      <c r="B1004" t="s" s="21">
        <v>65</v>
      </c>
      <c r="C1004" t="s" s="21">
        <v>56</v>
      </c>
      <c r="D1004" s="22" cm="1">
        <f t="array" ref="D1004">_xlfn.SUMIFS('Diseases'!F2:F4303,'Diseases'!B2:B4303,A1004,'Diseases'!C2:C4303,B1004,'Diseases'!D2:D4303,C1004)</f>
        <v>4963</v>
      </c>
      <c r="E1004" s="22" cm="1">
        <f t="array" ref="E1004">_xlfn.IFERROR(IF(INDEX('Diseases'!G2:G4303,MATCH(C1004,'Diseases'!D2:D4303,0))="","",INDEX('Diseases'!G2:G4303,MATCH(C1004,'Diseases'!D2:D4303,0))),"")</f>
        <v>5691183</v>
      </c>
      <c r="F1004" s="23" cm="1">
        <f t="array" ref="F1004">_xlfn.IFERROR(IF(E1004="","",D1004/E1004*100000),"")</f>
        <v>87.20506790943109</v>
      </c>
    </row>
    <row r="1005" ht="13.65" customHeight="1">
      <c r="A1005" t="s" s="24">
        <v>34</v>
      </c>
      <c r="B1005" t="s" s="21">
        <v>65</v>
      </c>
      <c r="C1005" t="s" s="21">
        <v>56</v>
      </c>
      <c r="D1005" s="22" cm="1">
        <f t="array" ref="D1005">_xlfn.SUMIFS('Diseases'!F2:F4303,'Diseases'!B2:B4303,A1005,'Diseases'!C2:C4303,B1005,'Diseases'!D2:D4303,C1005)</f>
        <v>4368</v>
      </c>
      <c r="E1005" s="22" cm="1">
        <f t="array" ref="E1005">_xlfn.IFERROR(IF(INDEX('Diseases'!G2:G4303,MATCH(C1005,'Diseases'!D2:D4303,0))="","",INDEX('Diseases'!G2:G4303,MATCH(C1005,'Diseases'!D2:D4303,0))),"")</f>
        <v>5691183</v>
      </c>
      <c r="F1005" s="23" cm="1">
        <f t="array" ref="F1005">_xlfn.IFERROR(IF(E1005="","",D1005/E1005*100000),"")</f>
        <v>76.750299542292</v>
      </c>
    </row>
    <row r="1006" ht="13.65" customHeight="1">
      <c r="A1006" t="s" s="27">
        <v>37</v>
      </c>
      <c r="B1006" t="s" s="21">
        <v>65</v>
      </c>
      <c r="C1006" t="s" s="21">
        <v>56</v>
      </c>
      <c r="D1006" s="22" cm="1">
        <f t="array" ref="D1006">_xlfn.SUMIFS('Diseases'!F2:F4303,'Diseases'!B2:B4303,A1006,'Diseases'!C2:C4303,B1006,'Diseases'!D2:D4303,C1006)</f>
        <v>1384</v>
      </c>
      <c r="E1006" s="22" cm="1">
        <f t="array" ref="E1006">_xlfn.IFERROR(IF(INDEX('Diseases'!G2:G4303,MATCH(C1006,'Diseases'!D2:D4303,0))="","",INDEX('Diseases'!G2:G4303,MATCH(C1006,'Diseases'!D2:D4303,0))),"")</f>
        <v>5691183</v>
      </c>
      <c r="F1006" s="23" cm="1">
        <f t="array" ref="F1006">_xlfn.IFERROR(IF(E1006="","",D1006/E1006*100000),"")</f>
        <v>24.3183183531438</v>
      </c>
    </row>
    <row r="1007" ht="13.65" customHeight="1">
      <c r="A1007" t="s" s="29">
        <v>39</v>
      </c>
      <c r="B1007" t="s" s="21">
        <v>65</v>
      </c>
      <c r="C1007" t="s" s="21">
        <v>56</v>
      </c>
      <c r="D1007" s="22" cm="1">
        <f t="array" ref="D1007">_xlfn.SUMIFS('Diseases'!F2:F4303,'Diseases'!B2:B4303,A1007,'Diseases'!C2:C4303,B1007,'Diseases'!D2:D4303,C1007)</f>
        <v>678</v>
      </c>
      <c r="E1007" s="22" cm="1">
        <f t="array" ref="E1007">_xlfn.IFERROR(IF(INDEX('Diseases'!G2:G4303,MATCH(C1007,'Diseases'!D2:D4303,0))="","",INDEX('Diseases'!G2:G4303,MATCH(C1007,'Diseases'!D2:D4303,0))),"")</f>
        <v>5691183</v>
      </c>
      <c r="F1007" s="23" cm="1">
        <f t="array" ref="F1007">_xlfn.IFERROR(IF(E1007="","",D1007/E1007*100000),"")</f>
        <v>11.9131646267569</v>
      </c>
    </row>
    <row r="1008" ht="13.65" customHeight="1">
      <c r="A1008" t="s" s="26">
        <v>36</v>
      </c>
      <c r="B1008" t="s" s="21">
        <v>65</v>
      </c>
      <c r="C1008" t="s" s="21">
        <v>56</v>
      </c>
      <c r="D1008" s="22" cm="1">
        <f t="array" ref="D1008">_xlfn.SUMIFS('Diseases'!F2:F4303,'Diseases'!B2:B4303,A1008,'Diseases'!C2:C4303,B1008,'Diseases'!D2:D4303,C1008)</f>
        <v>663</v>
      </c>
      <c r="E1008" s="22" cm="1">
        <f t="array" ref="E1008">_xlfn.IFERROR(IF(INDEX('Diseases'!G2:G4303,MATCH(C1008,'Diseases'!D2:D4303,0))="","",INDEX('Diseases'!G2:G4303,MATCH(C1008,'Diseases'!D2:D4303,0))),"")</f>
        <v>5691183</v>
      </c>
      <c r="F1008" s="23" cm="1">
        <f t="array" ref="F1008">_xlfn.IFERROR(IF(E1008="","",D1008/E1008*100000),"")</f>
        <v>11.6495990376693</v>
      </c>
    </row>
    <row r="1009" ht="13.65" customHeight="1">
      <c r="A1009" t="s" s="20">
        <v>30</v>
      </c>
      <c r="B1009" t="s" s="21">
        <v>66</v>
      </c>
      <c r="C1009" t="s" s="21">
        <v>56</v>
      </c>
      <c r="D1009" s="22" cm="1">
        <f t="array" ref="D1009">_xlfn.SUMIFS('Diseases'!F2:F4303,'Diseases'!B2:B4303,A1009,'Diseases'!C2:C4303,B1009,'Diseases'!D2:D4303,C1009)</f>
        <v>4512</v>
      </c>
      <c r="E1009" s="22" cm="1">
        <f t="array" ref="E1009">_xlfn.IFERROR(IF(INDEX('Diseases'!G2:G4303,MATCH(C1009,'Diseases'!D2:D4303,0))="","",INDEX('Diseases'!G2:G4303,MATCH(C1009,'Diseases'!D2:D4303,0))),"")</f>
        <v>5691183</v>
      </c>
      <c r="F1009" s="23" cm="1">
        <f t="array" ref="F1009">_xlfn.IFERROR(IF(E1009="","",D1009/E1009*100000),"")</f>
        <v>79.2805291975324</v>
      </c>
    </row>
    <row r="1010" ht="13.65" customHeight="1">
      <c r="A1010" t="s" s="24">
        <v>34</v>
      </c>
      <c r="B1010" t="s" s="21">
        <v>66</v>
      </c>
      <c r="C1010" t="s" s="21">
        <v>56</v>
      </c>
      <c r="D1010" s="22" cm="1">
        <f t="array" ref="D1010">_xlfn.SUMIFS('Diseases'!F2:F4303,'Diseases'!B2:B4303,A1010,'Diseases'!C2:C4303,B1010,'Diseases'!D2:D4303,C1010)</f>
        <v>3869</v>
      </c>
      <c r="E1010" s="22" cm="1">
        <f t="array" ref="E1010">_xlfn.IFERROR(IF(INDEX('Diseases'!G2:G4303,MATCH(C1010,'Diseases'!D2:D4303,0))="","",INDEX('Diseases'!G2:G4303,MATCH(C1010,'Diseases'!D2:D4303,0))),"")</f>
        <v>5691183</v>
      </c>
      <c r="F1010" s="23" cm="1">
        <f t="array" ref="F1010">_xlfn.IFERROR(IF(E1010="","",D1010/E1010*100000),"")</f>
        <v>67.9823509453131</v>
      </c>
    </row>
    <row r="1011" ht="13.65" customHeight="1">
      <c r="A1011" t="s" s="25">
        <v>35</v>
      </c>
      <c r="B1011" t="s" s="21">
        <v>66</v>
      </c>
      <c r="C1011" t="s" s="21">
        <v>56</v>
      </c>
      <c r="D1011" s="22" cm="1">
        <f t="array" ref="D1011">_xlfn.SUMIFS('Diseases'!F2:F4303,'Diseases'!B2:B4303,A1011,'Diseases'!C2:C4303,B1011,'Diseases'!D2:D4303,C1011)</f>
        <v>3832</v>
      </c>
      <c r="E1011" s="22" cm="1">
        <f t="array" ref="E1011">_xlfn.IFERROR(IF(INDEX('Diseases'!G2:G4303,MATCH(C1011,'Diseases'!D2:D4303,0))="","",INDEX('Diseases'!G2:G4303,MATCH(C1011,'Diseases'!D2:D4303,0))),"")</f>
        <v>5691183</v>
      </c>
      <c r="F1011" s="23" cm="1">
        <f t="array" ref="F1011">_xlfn.IFERROR(IF(E1011="","",D1011/E1011*100000),"")</f>
        <v>67.3322224922305</v>
      </c>
    </row>
    <row r="1012" ht="13.65" customHeight="1">
      <c r="A1012" t="s" s="27">
        <v>37</v>
      </c>
      <c r="B1012" t="s" s="21">
        <v>66</v>
      </c>
      <c r="C1012" t="s" s="21">
        <v>56</v>
      </c>
      <c r="D1012" s="22" cm="1">
        <f t="array" ref="D1012">_xlfn.SUMIFS('Diseases'!F2:F4303,'Diseases'!B2:B4303,A1012,'Diseases'!C2:C4303,B1012,'Diseases'!D2:D4303,C1012)</f>
        <v>1364</v>
      </c>
      <c r="E1012" s="22" cm="1">
        <f t="array" ref="E1012">_xlfn.IFERROR(IF(INDEX('Diseases'!G2:G4303,MATCH(C1012,'Diseases'!D2:D4303,0))="","",INDEX('Diseases'!G2:G4303,MATCH(C1012,'Diseases'!D2:D4303,0))),"")</f>
        <v>5691183</v>
      </c>
      <c r="F1012" s="23" cm="1">
        <f t="array" ref="F1012">_xlfn.IFERROR(IF(E1012="","",D1012/E1012*100000),"")</f>
        <v>23.9668975676937</v>
      </c>
    </row>
    <row r="1013" ht="13.65" customHeight="1">
      <c r="A1013" t="s" s="29">
        <v>39</v>
      </c>
      <c r="B1013" t="s" s="21">
        <v>66</v>
      </c>
      <c r="C1013" t="s" s="21">
        <v>56</v>
      </c>
      <c r="D1013" s="22" cm="1">
        <f t="array" ref="D1013">_xlfn.SUMIFS('Diseases'!F2:F4303,'Diseases'!B2:B4303,A1013,'Diseases'!C2:C4303,B1013,'Diseases'!D2:D4303,C1013)</f>
        <v>635</v>
      </c>
      <c r="E1013" s="22" cm="1">
        <f t="array" ref="E1013">_xlfn.IFERROR(IF(INDEX('Diseases'!G2:G4303,MATCH(C1013,'Diseases'!D2:D4303,0))="","",INDEX('Diseases'!G2:G4303,MATCH(C1013,'Diseases'!D2:D4303,0))),"")</f>
        <v>5691183</v>
      </c>
      <c r="F1013" s="23" cm="1">
        <f t="array" ref="F1013">_xlfn.IFERROR(IF(E1013="","",D1013/E1013*100000),"")</f>
        <v>11.1576099380392</v>
      </c>
    </row>
    <row r="1014" ht="13.65" customHeight="1">
      <c r="A1014" t="s" s="31">
        <v>45</v>
      </c>
      <c r="B1014" t="s" s="21">
        <v>66</v>
      </c>
      <c r="C1014" t="s" s="21">
        <v>56</v>
      </c>
      <c r="D1014" s="22" cm="1">
        <f t="array" ref="D1014">_xlfn.SUMIFS('Diseases'!F2:F4303,'Diseases'!B2:B4303,A1014,'Diseases'!C2:C4303,B1014,'Diseases'!D2:D4303,C1014)</f>
        <v>598</v>
      </c>
      <c r="E1014" s="22" cm="1">
        <f t="array" ref="E1014">_xlfn.IFERROR(IF(INDEX('Diseases'!G2:G4303,MATCH(C1014,'Diseases'!D2:D4303,0))="","",INDEX('Diseases'!G2:G4303,MATCH(C1014,'Diseases'!D2:D4303,0))),"")</f>
        <v>5691183</v>
      </c>
      <c r="F1014" s="23" cm="1">
        <f t="array" ref="F1014">_xlfn.IFERROR(IF(E1014="","",D1014/E1014*100000),"")</f>
        <v>10.5074814849566</v>
      </c>
    </row>
    <row r="1015" ht="13.65" customHeight="1">
      <c r="A1015" t="s" s="26">
        <v>36</v>
      </c>
      <c r="B1015" t="s" s="21">
        <v>66</v>
      </c>
      <c r="C1015" t="s" s="21">
        <v>56</v>
      </c>
      <c r="D1015" s="22" cm="1">
        <f t="array" ref="D1015">_xlfn.SUMIFS('Diseases'!F2:F4303,'Diseases'!B2:B4303,A1015,'Diseases'!C2:C4303,B1015,'Diseases'!D2:D4303,C1015)</f>
        <v>432</v>
      </c>
      <c r="E1015" s="22" cm="1">
        <f t="array" ref="E1015">_xlfn.IFERROR(IF(INDEX('Diseases'!G2:G4303,MATCH(C1015,'Diseases'!D2:D4303,0))="","",INDEX('Diseases'!G2:G4303,MATCH(C1015,'Diseases'!D2:D4303,0))),"")</f>
        <v>5691183</v>
      </c>
      <c r="F1015" s="23" cm="1">
        <f t="array" ref="F1015">_xlfn.IFERROR(IF(E1015="","",D1015/E1015*100000),"")</f>
        <v>7.59068896572119</v>
      </c>
    </row>
    <row r="1016" ht="13.65" customHeight="1">
      <c r="A1016" t="s" s="20">
        <v>30</v>
      </c>
      <c r="B1016" t="s" s="21">
        <v>67</v>
      </c>
      <c r="C1016" t="s" s="21">
        <v>56</v>
      </c>
      <c r="D1016" s="22" cm="1">
        <f t="array" ref="D1016">_xlfn.SUMIFS('Diseases'!F2:F4303,'Diseases'!B2:B4303,A1016,'Diseases'!C2:C4303,B1016,'Diseases'!D2:D4303,C1016)</f>
        <v>6432</v>
      </c>
      <c r="E1016" s="22" cm="1">
        <f t="array" ref="E1016">_xlfn.IFERROR(IF(INDEX('Diseases'!G2:G4303,MATCH(C1016,'Diseases'!D2:D4303,0))="","",INDEX('Diseases'!G2:G4303,MATCH(C1016,'Diseases'!D2:D4303,0))),"")</f>
        <v>5691183</v>
      </c>
      <c r="F1016" s="23" cm="1">
        <f t="array" ref="F1016">_xlfn.IFERROR(IF(E1016="","",D1016/E1016*100000),"")</f>
        <v>113.016924600738</v>
      </c>
    </row>
    <row r="1017" ht="13.65" customHeight="1">
      <c r="A1017" t="s" s="25">
        <v>35</v>
      </c>
      <c r="B1017" t="s" s="21">
        <v>67</v>
      </c>
      <c r="C1017" t="s" s="21">
        <v>56</v>
      </c>
      <c r="D1017" s="22" cm="1">
        <f t="array" ref="D1017">_xlfn.SUMIFS('Diseases'!F2:F4303,'Diseases'!B2:B4303,A1017,'Diseases'!C2:C4303,B1017,'Diseases'!D2:D4303,C1017)</f>
        <v>4858</v>
      </c>
      <c r="E1017" s="22" cm="1">
        <f t="array" ref="E1017">_xlfn.IFERROR(IF(INDEX('Diseases'!G2:G4303,MATCH(C1017,'Diseases'!D2:D4303,0))="","",INDEX('Diseases'!G2:G4303,MATCH(C1017,'Diseases'!D2:D4303,0))),"")</f>
        <v>5691183</v>
      </c>
      <c r="F1017" s="23" cm="1">
        <f t="array" ref="F1017">_xlfn.IFERROR(IF(E1017="","",D1017/E1017*100000),"")</f>
        <v>85.3601087858183</v>
      </c>
    </row>
    <row r="1018" ht="13.65" customHeight="1">
      <c r="A1018" t="s" s="24">
        <v>34</v>
      </c>
      <c r="B1018" t="s" s="21">
        <v>67</v>
      </c>
      <c r="C1018" t="s" s="21">
        <v>56</v>
      </c>
      <c r="D1018" s="22" cm="1">
        <f t="array" ref="D1018">_xlfn.SUMIFS('Diseases'!F2:F4303,'Diseases'!B2:B4303,A1018,'Diseases'!C2:C4303,B1018,'Diseases'!D2:D4303,C1018)</f>
        <v>4257</v>
      </c>
      <c r="E1018" s="22" cm="1">
        <f t="array" ref="E1018">_xlfn.IFERROR(IF(INDEX('Diseases'!G2:G4303,MATCH(C1018,'Diseases'!D2:D4303,0))="","",INDEX('Diseases'!G2:G4303,MATCH(C1018,'Diseases'!D2:D4303,0))),"")</f>
        <v>5691183</v>
      </c>
      <c r="F1018" s="23" cm="1">
        <f t="array" ref="F1018">_xlfn.IFERROR(IF(E1018="","",D1018/E1018*100000),"")</f>
        <v>74.79991418304419</v>
      </c>
    </row>
    <row r="1019" ht="13.65" customHeight="1">
      <c r="A1019" t="s" s="27">
        <v>37</v>
      </c>
      <c r="B1019" t="s" s="21">
        <v>67</v>
      </c>
      <c r="C1019" t="s" s="21">
        <v>56</v>
      </c>
      <c r="D1019" s="22" cm="1">
        <f t="array" ref="D1019">_xlfn.SUMIFS('Diseases'!F2:F4303,'Diseases'!B2:B4303,A1019,'Diseases'!C2:C4303,B1019,'Diseases'!D2:D4303,C1019)</f>
        <v>1520</v>
      </c>
      <c r="E1019" s="22" cm="1">
        <f t="array" ref="E1019">_xlfn.IFERROR(IF(INDEX('Diseases'!G2:G4303,MATCH(C1019,'Diseases'!D2:D4303,0))="","",INDEX('Diseases'!G2:G4303,MATCH(C1019,'Diseases'!D2:D4303,0))),"")</f>
        <v>5691183</v>
      </c>
      <c r="F1019" s="23" cm="1">
        <f t="array" ref="F1019">_xlfn.IFERROR(IF(E1019="","",D1019/E1019*100000),"")</f>
        <v>26.7079796942042</v>
      </c>
    </row>
    <row r="1020" ht="13.65" customHeight="1">
      <c r="A1020" t="s" s="29">
        <v>39</v>
      </c>
      <c r="B1020" t="s" s="21">
        <v>67</v>
      </c>
      <c r="C1020" t="s" s="21">
        <v>56</v>
      </c>
      <c r="D1020" s="22" cm="1">
        <f t="array" ref="D1020">_xlfn.SUMIFS('Diseases'!F2:F4303,'Diseases'!B2:B4303,A1020,'Diseases'!C2:C4303,B1020,'Diseases'!D2:D4303,C1020)</f>
        <v>618</v>
      </c>
      <c r="E1020" s="22" cm="1">
        <f t="array" ref="E1020">_xlfn.IFERROR(IF(INDEX('Diseases'!G2:G4303,MATCH(C1020,'Diseases'!D2:D4303,0))="","",INDEX('Diseases'!G2:G4303,MATCH(C1020,'Diseases'!D2:D4303,0))),"")</f>
        <v>5691183</v>
      </c>
      <c r="F1020" s="23" cm="1">
        <f t="array" ref="F1020">_xlfn.IFERROR(IF(E1020="","",D1020/E1020*100000),"")</f>
        <v>10.8589022704067</v>
      </c>
    </row>
    <row r="1021" ht="13.65" customHeight="1">
      <c r="A1021" t="s" s="26">
        <v>36</v>
      </c>
      <c r="B1021" t="s" s="21">
        <v>67</v>
      </c>
      <c r="C1021" t="s" s="21">
        <v>56</v>
      </c>
      <c r="D1021" s="22" cm="1">
        <f t="array" ref="D1021">_xlfn.SUMIFS('Diseases'!F2:F4303,'Diseases'!B2:B4303,A1021,'Diseases'!C2:C4303,B1021,'Diseases'!D2:D4303,C1021)</f>
        <v>522</v>
      </c>
      <c r="E1021" s="22" cm="1">
        <f t="array" ref="E1021">_xlfn.IFERROR(IF(INDEX('Diseases'!G2:G4303,MATCH(C1021,'Diseases'!D2:D4303,0))="","",INDEX('Diseases'!G2:G4303,MATCH(C1021,'Diseases'!D2:D4303,0))),"")</f>
        <v>5691183</v>
      </c>
      <c r="F1021" s="23" cm="1">
        <f t="array" ref="F1021">_xlfn.IFERROR(IF(E1021="","",D1021/E1021*100000),"")</f>
        <v>9.172082500246431</v>
      </c>
    </row>
    <row r="1022" ht="13.65" customHeight="1">
      <c r="A1022" t="s" s="31">
        <v>45</v>
      </c>
      <c r="B1022" t="s" s="21">
        <v>67</v>
      </c>
      <c r="C1022" t="s" s="21">
        <v>56</v>
      </c>
      <c r="D1022" s="22" cm="1">
        <f t="array" ref="D1022">_xlfn.SUMIFS('Diseases'!F2:F4303,'Diseases'!B2:B4303,A1022,'Diseases'!C2:C4303,B1022,'Diseases'!D2:D4303,C1022)</f>
        <v>518</v>
      </c>
      <c r="E1022" s="22" cm="1">
        <f t="array" ref="E1022">_xlfn.IFERROR(IF(INDEX('Diseases'!G2:G4303,MATCH(C1022,'Diseases'!D2:D4303,0))="","",INDEX('Diseases'!G2:G4303,MATCH(C1022,'Diseases'!D2:D4303,0))),"")</f>
        <v>5691183</v>
      </c>
      <c r="F1022" s="23" cm="1">
        <f t="array" ref="F1022">_xlfn.IFERROR(IF(E1022="","",D1022/E1022*100000),"")</f>
        <v>9.101798343156419</v>
      </c>
    </row>
    <row r="1023" ht="13.65" customHeight="1">
      <c r="A1023" t="s" s="20">
        <v>30</v>
      </c>
      <c r="B1023" t="s" s="21">
        <v>68</v>
      </c>
      <c r="C1023" t="s" s="21">
        <v>56</v>
      </c>
      <c r="D1023" s="22" cm="1">
        <f t="array" ref="D1023">_xlfn.SUMIFS('Diseases'!F2:F4303,'Diseases'!B2:B4303,A1023,'Diseases'!C2:C4303,B1023,'Diseases'!D2:D4303,C1023)</f>
        <v>4392</v>
      </c>
      <c r="E1023" s="22" cm="1">
        <f t="array" ref="E1023">_xlfn.IFERROR(IF(INDEX('Diseases'!G2:G4303,MATCH(C1023,'Diseases'!D2:D4303,0))="","",INDEX('Diseases'!G2:G4303,MATCH(C1023,'Diseases'!D2:D4303,0))),"")</f>
        <v>5691183</v>
      </c>
      <c r="F1023" s="23" cm="1">
        <f t="array" ref="F1023">_xlfn.IFERROR(IF(E1023="","",D1023/E1023*100000),"")</f>
        <v>77.1720044848321</v>
      </c>
    </row>
    <row r="1024" ht="13.65" customHeight="1">
      <c r="A1024" t="s" s="25">
        <v>35</v>
      </c>
      <c r="B1024" t="s" s="21">
        <v>68</v>
      </c>
      <c r="C1024" t="s" s="21">
        <v>56</v>
      </c>
      <c r="D1024" s="22" cm="1">
        <f t="array" ref="D1024">_xlfn.SUMIFS('Diseases'!F2:F4303,'Diseases'!B2:B4303,A1024,'Diseases'!C2:C4303,B1024,'Diseases'!D2:D4303,C1024)</f>
        <v>1782</v>
      </c>
      <c r="E1024" s="22" cm="1">
        <f t="array" ref="E1024">_xlfn.IFERROR(IF(INDEX('Diseases'!G2:G4303,MATCH(C1024,'Diseases'!D2:D4303,0))="","",INDEX('Diseases'!G2:G4303,MATCH(C1024,'Diseases'!D2:D4303,0))),"")</f>
        <v>5691183</v>
      </c>
      <c r="F1024" s="23" cm="1">
        <f t="array" ref="F1024">_xlfn.IFERROR(IF(E1024="","",D1024/E1024*100000),"")</f>
        <v>31.3115919835999</v>
      </c>
    </row>
    <row r="1025" ht="13.65" customHeight="1">
      <c r="A1025" t="s" s="24">
        <v>34</v>
      </c>
      <c r="B1025" t="s" s="21">
        <v>68</v>
      </c>
      <c r="C1025" t="s" s="21">
        <v>56</v>
      </c>
      <c r="D1025" s="22" cm="1">
        <f t="array" ref="D1025">_xlfn.SUMIFS('Diseases'!F2:F4303,'Diseases'!B2:B4303,A1025,'Diseases'!C2:C4303,B1025,'Diseases'!D2:D4303,C1025)</f>
        <v>1392</v>
      </c>
      <c r="E1025" s="22" cm="1">
        <f t="array" ref="E1025">_xlfn.IFERROR(IF(INDEX('Diseases'!G2:G4303,MATCH(C1025,'Diseases'!D2:D4303,0))="","",INDEX('Diseases'!G2:G4303,MATCH(C1025,'Diseases'!D2:D4303,0))),"")</f>
        <v>5691183</v>
      </c>
      <c r="F1025" s="23" cm="1">
        <f t="array" ref="F1025">_xlfn.IFERROR(IF(E1025="","",D1025/E1025*100000),"")</f>
        <v>24.4588866673238</v>
      </c>
    </row>
    <row r="1026" ht="13.65" customHeight="1">
      <c r="A1026" t="s" s="27">
        <v>37</v>
      </c>
      <c r="B1026" t="s" s="21">
        <v>68</v>
      </c>
      <c r="C1026" t="s" s="21">
        <v>56</v>
      </c>
      <c r="D1026" s="22" cm="1">
        <f t="array" ref="D1026">_xlfn.SUMIFS('Diseases'!F2:F4303,'Diseases'!B2:B4303,A1026,'Diseases'!C2:C4303,B1026,'Diseases'!D2:D4303,C1026)</f>
        <v>1175</v>
      </c>
      <c r="E1026" s="22" cm="1">
        <f t="array" ref="E1026">_xlfn.IFERROR(IF(INDEX('Diseases'!G2:G4303,MATCH(C1026,'Diseases'!D2:D4303,0))="","",INDEX('Diseases'!G2:G4303,MATCH(C1026,'Diseases'!D2:D4303,0))),"")</f>
        <v>5691183</v>
      </c>
      <c r="F1026" s="23" cm="1">
        <f t="array" ref="F1026">_xlfn.IFERROR(IF(E1026="","",D1026/E1026*100000),"")</f>
        <v>20.6459711451907</v>
      </c>
    </row>
    <row r="1027" ht="13.65" customHeight="1">
      <c r="A1027" t="s" s="29">
        <v>39</v>
      </c>
      <c r="B1027" t="s" s="21">
        <v>68</v>
      </c>
      <c r="C1027" t="s" s="21">
        <v>56</v>
      </c>
      <c r="D1027" s="22" cm="1">
        <f t="array" ref="D1027">_xlfn.SUMIFS('Diseases'!F2:F4303,'Diseases'!B2:B4303,A1027,'Diseases'!C2:C4303,B1027,'Diseases'!D2:D4303,C1027)</f>
        <v>440</v>
      </c>
      <c r="E1027" s="22" cm="1">
        <f t="array" ref="E1027">_xlfn.IFERROR(IF(INDEX('Diseases'!G2:G4303,MATCH(C1027,'Diseases'!D2:D4303,0))="","",INDEX('Diseases'!G2:G4303,MATCH(C1027,'Diseases'!D2:D4303,0))),"")</f>
        <v>5691183</v>
      </c>
      <c r="F1027" s="23" cm="1">
        <f t="array" ref="F1027">_xlfn.IFERROR(IF(E1027="","",D1027/E1027*100000),"")</f>
        <v>7.73125727990121</v>
      </c>
    </row>
    <row r="1028" ht="13.65" customHeight="1">
      <c r="A1028" t="s" s="20">
        <v>30</v>
      </c>
      <c r="B1028" t="s" s="21">
        <v>69</v>
      </c>
      <c r="C1028" t="s" s="21">
        <v>56</v>
      </c>
      <c r="D1028" s="22" cm="1">
        <f t="array" ref="D1028">_xlfn.SUMIFS('Diseases'!F2:F4303,'Diseases'!B2:B4303,A1028,'Diseases'!C2:C4303,B1028,'Diseases'!D2:D4303,C1028)</f>
        <v>5846</v>
      </c>
      <c r="E1028" s="22" cm="1">
        <f t="array" ref="E1028">_xlfn.IFERROR(IF(INDEX('Diseases'!G2:G4303,MATCH(C1028,'Diseases'!D2:D4303,0))="","",INDEX('Diseases'!G2:G4303,MATCH(C1028,'Diseases'!D2:D4303,0))),"")</f>
        <v>5691183</v>
      </c>
      <c r="F1028" s="23" cm="1">
        <f t="array" ref="F1028">_xlfn.IFERROR(IF(E1028="","",D1028/E1028*100000),"")</f>
        <v>102.720295587051</v>
      </c>
    </row>
    <row r="1029" ht="13.65" customHeight="1">
      <c r="A1029" t="s" s="25">
        <v>35</v>
      </c>
      <c r="B1029" t="s" s="21">
        <v>69</v>
      </c>
      <c r="C1029" t="s" s="21">
        <v>56</v>
      </c>
      <c r="D1029" s="22" cm="1">
        <f t="array" ref="D1029">_xlfn.SUMIFS('Diseases'!F2:F4303,'Diseases'!B2:B4303,A1029,'Diseases'!C2:C4303,B1029,'Diseases'!D2:D4303,C1029)</f>
        <v>3813</v>
      </c>
      <c r="E1029" s="22" cm="1">
        <f t="array" ref="E1029">_xlfn.IFERROR(IF(INDEX('Diseases'!G2:G4303,MATCH(C1029,'Diseases'!D2:D4303,0))="","",INDEX('Diseases'!G2:G4303,MATCH(C1029,'Diseases'!D2:D4303,0))),"")</f>
        <v>5691183</v>
      </c>
      <c r="F1029" s="23" cm="1">
        <f t="array" ref="F1029">_xlfn.IFERROR(IF(E1029="","",D1029/E1029*100000),"")</f>
        <v>66.99837274605299</v>
      </c>
    </row>
    <row r="1030" ht="13.65" customHeight="1">
      <c r="A1030" t="s" s="24">
        <v>34</v>
      </c>
      <c r="B1030" t="s" s="21">
        <v>69</v>
      </c>
      <c r="C1030" t="s" s="21">
        <v>56</v>
      </c>
      <c r="D1030" s="22" cm="1">
        <f t="array" ref="D1030">_xlfn.SUMIFS('Diseases'!F2:F4303,'Diseases'!B2:B4303,A1030,'Diseases'!C2:C4303,B1030,'Diseases'!D2:D4303,C1030)</f>
        <v>1831</v>
      </c>
      <c r="E1030" s="22" cm="1">
        <f t="array" ref="E1030">_xlfn.IFERROR(IF(INDEX('Diseases'!G2:G4303,MATCH(C1030,'Diseases'!D2:D4303,0))="","",INDEX('Diseases'!G2:G4303,MATCH(C1030,'Diseases'!D2:D4303,0))),"")</f>
        <v>5691183</v>
      </c>
      <c r="F1030" s="23" cm="1">
        <f t="array" ref="F1030">_xlfn.IFERROR(IF(E1030="","",D1030/E1030*100000),"")</f>
        <v>32.1725729079525</v>
      </c>
    </row>
    <row r="1031" ht="13.65" customHeight="1">
      <c r="A1031" t="s" s="27">
        <v>37</v>
      </c>
      <c r="B1031" t="s" s="21">
        <v>69</v>
      </c>
      <c r="C1031" t="s" s="21">
        <v>56</v>
      </c>
      <c r="D1031" s="22" cm="1">
        <f t="array" ref="D1031">_xlfn.SUMIFS('Diseases'!F2:F4303,'Diseases'!B2:B4303,A1031,'Diseases'!C2:C4303,B1031,'Diseases'!D2:D4303,C1031)</f>
        <v>813</v>
      </c>
      <c r="E1031" s="22" cm="1">
        <f t="array" ref="E1031">_xlfn.IFERROR(IF(INDEX('Diseases'!G2:G4303,MATCH(C1031,'Diseases'!D2:D4303,0))="","",INDEX('Diseases'!G2:G4303,MATCH(C1031,'Diseases'!D2:D4303,0))),"")</f>
        <v>5691183</v>
      </c>
      <c r="F1031" s="23" cm="1">
        <f t="array" ref="F1031">_xlfn.IFERROR(IF(E1031="","",D1031/E1031*100000),"")</f>
        <v>14.2852549285447</v>
      </c>
    </row>
    <row r="1032" ht="13.65" customHeight="1">
      <c r="A1032" t="s" s="29">
        <v>39</v>
      </c>
      <c r="B1032" t="s" s="21">
        <v>69</v>
      </c>
      <c r="C1032" t="s" s="21">
        <v>56</v>
      </c>
      <c r="D1032" s="22" cm="1">
        <f t="array" ref="D1032">_xlfn.SUMIFS('Diseases'!F2:F4303,'Diseases'!B2:B4303,A1032,'Diseases'!C2:C4303,B1032,'Diseases'!D2:D4303,C1032)</f>
        <v>638</v>
      </c>
      <c r="E1032" s="22" cm="1">
        <f t="array" ref="E1032">_xlfn.IFERROR(IF(INDEX('Diseases'!G2:G4303,MATCH(C1032,'Diseases'!D2:D4303,0))="","",INDEX('Diseases'!G2:G4303,MATCH(C1032,'Diseases'!D2:D4303,0))),"")</f>
        <v>5691183</v>
      </c>
      <c r="F1032" s="23" cm="1">
        <f t="array" ref="F1032">_xlfn.IFERROR(IF(E1032="","",D1032/E1032*100000),"")</f>
        <v>11.2103230558568</v>
      </c>
    </row>
    <row r="1033" ht="13.65" customHeight="1">
      <c r="A1033" t="s" s="31">
        <v>45</v>
      </c>
      <c r="B1033" t="s" s="21">
        <v>69</v>
      </c>
      <c r="C1033" t="s" s="21">
        <v>56</v>
      </c>
      <c r="D1033" s="22" cm="1">
        <f t="array" ref="D1033">_xlfn.SUMIFS('Diseases'!F2:F4303,'Diseases'!B2:B4303,A1033,'Diseases'!C2:C4303,B1033,'Diseases'!D2:D4303,C1033)</f>
        <v>377</v>
      </c>
      <c r="E1033" s="22" cm="1">
        <f t="array" ref="E1033">_xlfn.IFERROR(IF(INDEX('Diseases'!G2:G4303,MATCH(C1033,'Diseases'!D2:D4303,0))="","",INDEX('Diseases'!G2:G4303,MATCH(C1033,'Diseases'!D2:D4303,0))),"")</f>
        <v>5691183</v>
      </c>
      <c r="F1033" s="23" cm="1">
        <f t="array" ref="F1033">_xlfn.IFERROR(IF(E1033="","",D1033/E1033*100000),"")</f>
        <v>6.62428180573354</v>
      </c>
    </row>
    <row r="1034" ht="13.65" customHeight="1">
      <c r="A1034" t="s" s="20">
        <v>30</v>
      </c>
      <c r="B1034" t="s" s="21">
        <v>70</v>
      </c>
      <c r="C1034" t="s" s="21">
        <v>56</v>
      </c>
      <c r="D1034" s="22" cm="1">
        <f t="array" ref="D1034">_xlfn.SUMIFS('Diseases'!F2:F4303,'Diseases'!B2:B4303,A1034,'Diseases'!C2:C4303,B1034,'Diseases'!D2:D4303,C1034)</f>
        <v>4254</v>
      </c>
      <c r="E1034" s="22" cm="1">
        <f t="array" ref="E1034">_xlfn.IFERROR(IF(INDEX('Diseases'!G2:G4303,MATCH(C1034,'Diseases'!D2:D4303,0))="","",INDEX('Diseases'!G2:G4303,MATCH(C1034,'Diseases'!D2:D4303,0))),"")</f>
        <v>5691183</v>
      </c>
      <c r="F1034" s="23" cm="1">
        <f t="array" ref="F1034">_xlfn.IFERROR(IF(E1034="","",D1034/E1034*100000),"")</f>
        <v>74.7472010652267</v>
      </c>
    </row>
    <row r="1035" ht="13.65" customHeight="1">
      <c r="A1035" t="s" s="25">
        <v>35</v>
      </c>
      <c r="B1035" t="s" s="21">
        <v>70</v>
      </c>
      <c r="C1035" t="s" s="21">
        <v>56</v>
      </c>
      <c r="D1035" s="22" cm="1">
        <f t="array" ref="D1035">_xlfn.SUMIFS('Diseases'!F2:F4303,'Diseases'!B2:B4303,A1035,'Diseases'!C2:C4303,B1035,'Diseases'!D2:D4303,C1035)</f>
        <v>2844</v>
      </c>
      <c r="E1035" s="22" cm="1">
        <f t="array" ref="E1035">_xlfn.IFERROR(IF(INDEX('Diseases'!G2:G4303,MATCH(C1035,'Diseases'!D2:D4303,0))="","",INDEX('Diseases'!G2:G4303,MATCH(C1035,'Diseases'!D2:D4303,0))),"")</f>
        <v>5691183</v>
      </c>
      <c r="F1035" s="23" cm="1">
        <f t="array" ref="F1035">_xlfn.IFERROR(IF(E1035="","",D1035/E1035*100000),"")</f>
        <v>49.9720356909978</v>
      </c>
    </row>
    <row r="1036" ht="13.65" customHeight="1">
      <c r="A1036" t="s" s="24">
        <v>34</v>
      </c>
      <c r="B1036" t="s" s="21">
        <v>70</v>
      </c>
      <c r="C1036" t="s" s="21">
        <v>56</v>
      </c>
      <c r="D1036" s="22" cm="1">
        <f t="array" ref="D1036">_xlfn.SUMIFS('Diseases'!F2:F4303,'Diseases'!B2:B4303,A1036,'Diseases'!C2:C4303,B1036,'Diseases'!D2:D4303,C1036)</f>
        <v>1055</v>
      </c>
      <c r="E1036" s="22" cm="1">
        <f t="array" ref="E1036">_xlfn.IFERROR(IF(INDEX('Diseases'!G2:G4303,MATCH(C1036,'Diseases'!D2:D4303,0))="","",INDEX('Diseases'!G2:G4303,MATCH(C1036,'Diseases'!D2:D4303,0))),"")</f>
        <v>5691183</v>
      </c>
      <c r="F1036" s="23" cm="1">
        <f t="array" ref="F1036">_xlfn.IFERROR(IF(E1036="","",D1036/E1036*100000),"")</f>
        <v>18.5374464324904</v>
      </c>
    </row>
    <row r="1037" ht="13.65" customHeight="1">
      <c r="A1037" t="s" s="29">
        <v>39</v>
      </c>
      <c r="B1037" t="s" s="21">
        <v>70</v>
      </c>
      <c r="C1037" t="s" s="21">
        <v>56</v>
      </c>
      <c r="D1037" s="22" cm="1">
        <f t="array" ref="D1037">_xlfn.SUMIFS('Diseases'!F2:F4303,'Diseases'!B2:B4303,A1037,'Diseases'!C2:C4303,B1037,'Diseases'!D2:D4303,C1037)</f>
        <v>613</v>
      </c>
      <c r="E1037" s="22" cm="1">
        <f t="array" ref="E1037">_xlfn.IFERROR(IF(INDEX('Diseases'!G2:G4303,MATCH(C1037,'Diseases'!D2:D4303,0))="","",INDEX('Diseases'!G2:G4303,MATCH(C1037,'Diseases'!D2:D4303,0))),"")</f>
        <v>5691183</v>
      </c>
      <c r="F1037" s="23" cm="1">
        <f t="array" ref="F1037">_xlfn.IFERROR(IF(E1037="","",D1037/E1037*100000),"")</f>
        <v>10.7710470740442</v>
      </c>
    </row>
    <row r="1038" ht="13.65" customHeight="1">
      <c r="A1038" t="s" s="27">
        <v>37</v>
      </c>
      <c r="B1038" t="s" s="21">
        <v>70</v>
      </c>
      <c r="C1038" t="s" s="21">
        <v>56</v>
      </c>
      <c r="D1038" s="22" cm="1">
        <f t="array" ref="D1038">_xlfn.SUMIFS('Diseases'!F2:F4303,'Diseases'!B2:B4303,A1038,'Diseases'!C2:C4303,B1038,'Diseases'!D2:D4303,C1038)</f>
        <v>331</v>
      </c>
      <c r="E1038" s="22" cm="1">
        <f t="array" ref="E1038">_xlfn.IFERROR(IF(INDEX('Diseases'!G2:G4303,MATCH(C1038,'Diseases'!D2:D4303,0))="","",INDEX('Diseases'!G2:G4303,MATCH(C1038,'Diseases'!D2:D4303,0))),"")</f>
        <v>5691183</v>
      </c>
      <c r="F1038" s="23" cm="1">
        <f t="array" ref="F1038">_xlfn.IFERROR(IF(E1038="","",D1038/E1038*100000),"")</f>
        <v>5.81601399919841</v>
      </c>
    </row>
    <row r="1039" ht="13.65" customHeight="1">
      <c r="A1039" t="s" s="28">
        <v>41</v>
      </c>
      <c r="B1039" t="s" s="21">
        <v>70</v>
      </c>
      <c r="C1039" t="s" s="21">
        <v>56</v>
      </c>
      <c r="D1039" s="22" cm="1">
        <f t="array" ref="D1039">_xlfn.SUMIFS('Diseases'!F2:F4303,'Diseases'!B2:B4303,A1039,'Diseases'!C2:C4303,B1039,'Diseases'!D2:D4303,C1039)</f>
        <v>281</v>
      </c>
      <c r="E1039" s="22" cm="1">
        <f t="array" ref="E1039">_xlfn.IFERROR(IF(INDEX('Diseases'!G2:G4303,MATCH(C1039,'Diseases'!D2:D4303,0))="","",INDEX('Diseases'!G2:G4303,MATCH(C1039,'Diseases'!D2:D4303,0))),"")</f>
        <v>5691183</v>
      </c>
      <c r="F1039" s="23" cm="1">
        <f t="array" ref="F1039">_xlfn.IFERROR(IF(E1039="","",D1039/E1039*100000),"")</f>
        <v>4.93746203557327</v>
      </c>
    </row>
    <row r="1040" ht="13.65" customHeight="1">
      <c r="A1040" t="s" s="27">
        <v>37</v>
      </c>
      <c r="B1040" t="s" s="21">
        <v>31</v>
      </c>
      <c r="C1040" t="s" s="21">
        <v>57</v>
      </c>
      <c r="D1040" s="22" cm="1">
        <f t="array" ref="D1040">_xlfn.SUMIFS('Diseases'!F2:F4303,'Diseases'!B2:B4303,A1040,'Diseases'!C2:C4303,B1040,'Diseases'!D2:D4303,C1040)</f>
        <v>372</v>
      </c>
      <c r="E1040" s="22" cm="1">
        <f t="array" ref="E1040">_xlfn.IFERROR(IF(INDEX('Diseases'!G2:G4303,MATCH(C1040,'Diseases'!D2:D4303,0))="","",INDEX('Diseases'!G2:G4303,MATCH(C1040,'Diseases'!D2:D4303,0))),"")</f>
        <v>5214931</v>
      </c>
      <c r="F1040" s="23" cm="1">
        <f t="array" ref="F1040">_xlfn.IFERROR(IF(E1040="","",D1040/E1040*100000),"")</f>
        <v>7.13336379714324</v>
      </c>
    </row>
    <row r="1041" ht="13.65" customHeight="1">
      <c r="A1041" t="s" s="31">
        <v>45</v>
      </c>
      <c r="B1041" t="s" s="21">
        <v>31</v>
      </c>
      <c r="C1041" t="s" s="21">
        <v>57</v>
      </c>
      <c r="D1041" s="22" cm="1">
        <f t="array" ref="D1041">_xlfn.SUMIFS('Diseases'!F2:F4303,'Diseases'!B2:B4303,A1041,'Diseases'!C2:C4303,B1041,'Diseases'!D2:D4303,C1041)</f>
        <v>188</v>
      </c>
      <c r="E1041" s="22" cm="1">
        <f t="array" ref="E1041">_xlfn.IFERROR(IF(INDEX('Diseases'!G2:G4303,MATCH(C1041,'Diseases'!D2:D4303,0))="","",INDEX('Diseases'!G2:G4303,MATCH(C1041,'Diseases'!D2:D4303,0))),"")</f>
        <v>5214931</v>
      </c>
      <c r="F1041" s="23" cm="1">
        <f t="array" ref="F1041">_xlfn.IFERROR(IF(E1041="","",D1041/E1041*100000),"")</f>
        <v>3.60503331683583</v>
      </c>
    </row>
    <row r="1042" ht="13.65" customHeight="1">
      <c r="A1042" t="s" s="28">
        <v>41</v>
      </c>
      <c r="B1042" t="s" s="21">
        <v>31</v>
      </c>
      <c r="C1042" t="s" s="21">
        <v>57</v>
      </c>
      <c r="D1042" s="22" cm="1">
        <f t="array" ref="D1042">_xlfn.SUMIFS('Diseases'!F2:F4303,'Diseases'!B2:B4303,A1042,'Diseases'!C2:C4303,B1042,'Diseases'!D2:D4303,C1042)</f>
        <v>17</v>
      </c>
      <c r="E1042" s="22" cm="1">
        <f t="array" ref="E1042">_xlfn.IFERROR(IF(INDEX('Diseases'!G2:G4303,MATCH(C1042,'Diseases'!D2:D4303,0))="","",INDEX('Diseases'!G2:G4303,MATCH(C1042,'Diseases'!D2:D4303,0))),"")</f>
        <v>5214931</v>
      </c>
      <c r="F1042" s="23" cm="1">
        <f t="array" ref="F1042">_xlfn.IFERROR(IF(E1042="","",D1042/E1042*100000),"")</f>
        <v>0.325987055245793</v>
      </c>
    </row>
    <row r="1043" ht="13.65" customHeight="1">
      <c r="A1043" t="s" s="25">
        <v>35</v>
      </c>
      <c r="B1043" t="s" s="21">
        <v>60</v>
      </c>
      <c r="C1043" t="s" s="21">
        <v>57</v>
      </c>
      <c r="D1043" s="22" cm="1">
        <f t="array" ref="D1043">_xlfn.SUMIFS('Diseases'!F2:F4303,'Diseases'!B2:B4303,A1043,'Diseases'!C2:C4303,B1043,'Diseases'!D2:D4303,C1043)</f>
        <v>777</v>
      </c>
      <c r="E1043" s="22" cm="1">
        <f t="array" ref="E1043">_xlfn.IFERROR(IF(INDEX('Diseases'!G2:G4303,MATCH(C1043,'Diseases'!D2:D4303,0))="","",INDEX('Diseases'!G2:G4303,MATCH(C1043,'Diseases'!D2:D4303,0))),"")</f>
        <v>5214931</v>
      </c>
      <c r="F1043" s="23" cm="1">
        <f t="array" ref="F1043">_xlfn.IFERROR(IF(E1043="","",D1043/E1043*100000),"")</f>
        <v>14.899525995646</v>
      </c>
    </row>
    <row r="1044" ht="13.65" customHeight="1">
      <c r="A1044" t="s" s="24">
        <v>34</v>
      </c>
      <c r="B1044" t="s" s="21">
        <v>60</v>
      </c>
      <c r="C1044" t="s" s="21">
        <v>57</v>
      </c>
      <c r="D1044" s="22" cm="1">
        <f t="array" ref="D1044">_xlfn.SUMIFS('Diseases'!F2:F4303,'Diseases'!B2:B4303,A1044,'Diseases'!C2:C4303,B1044,'Diseases'!D2:D4303,C1044)</f>
        <v>459</v>
      </c>
      <c r="E1044" s="22" cm="1">
        <f t="array" ref="E1044">_xlfn.IFERROR(IF(INDEX('Diseases'!G2:G4303,MATCH(C1044,'Diseases'!D2:D4303,0))="","",INDEX('Diseases'!G2:G4303,MATCH(C1044,'Diseases'!D2:D4303,0))),"")</f>
        <v>5214931</v>
      </c>
      <c r="F1044" s="23" cm="1">
        <f t="array" ref="F1044">_xlfn.IFERROR(IF(E1044="","",D1044/E1044*100000),"")</f>
        <v>8.801650491636421</v>
      </c>
    </row>
    <row r="1045" ht="13.65" customHeight="1">
      <c r="A1045" t="s" s="20">
        <v>30</v>
      </c>
      <c r="B1045" t="s" s="21">
        <v>60</v>
      </c>
      <c r="C1045" t="s" s="21">
        <v>57</v>
      </c>
      <c r="D1045" s="22" cm="1">
        <f t="array" ref="D1045">_xlfn.SUMIFS('Diseases'!F2:F4303,'Diseases'!B2:B4303,A1045,'Diseases'!C2:C4303,B1045,'Diseases'!D2:D4303,C1045)</f>
        <v>233</v>
      </c>
      <c r="E1045" s="22" cm="1">
        <f t="array" ref="E1045">_xlfn.IFERROR(IF(INDEX('Diseases'!G2:G4303,MATCH(C1045,'Diseases'!D2:D4303,0))="","",INDEX('Diseases'!G2:G4303,MATCH(C1045,'Diseases'!D2:D4303,0))),"")</f>
        <v>5214931</v>
      </c>
      <c r="F1045" s="23" cm="1">
        <f t="array" ref="F1045">_xlfn.IFERROR(IF(E1045="","",D1045/E1045*100000),"")</f>
        <v>4.46794022778058</v>
      </c>
    </row>
    <row r="1046" ht="13.65" customHeight="1">
      <c r="A1046" t="s" s="28">
        <v>41</v>
      </c>
      <c r="B1046" t="s" s="21">
        <v>60</v>
      </c>
      <c r="C1046" t="s" s="21">
        <v>57</v>
      </c>
      <c r="D1046" s="22" cm="1">
        <f t="array" ref="D1046">_xlfn.SUMIFS('Diseases'!F2:F4303,'Diseases'!B2:B4303,A1046,'Diseases'!C2:C4303,B1046,'Diseases'!D2:D4303,C1046)</f>
        <v>85</v>
      </c>
      <c r="E1046" s="22" cm="1">
        <f t="array" ref="E1046">_xlfn.IFERROR(IF(INDEX('Diseases'!G2:G4303,MATCH(C1046,'Diseases'!D2:D4303,0))="","",INDEX('Diseases'!G2:G4303,MATCH(C1046,'Diseases'!D2:D4303,0))),"")</f>
        <v>5214931</v>
      </c>
      <c r="F1046" s="23" cm="1">
        <f t="array" ref="F1046">_xlfn.IFERROR(IF(E1046="","",D1046/E1046*100000),"")</f>
        <v>1.62993527622897</v>
      </c>
    </row>
    <row r="1047" ht="13.65" customHeight="1">
      <c r="A1047" t="s" s="31">
        <v>45</v>
      </c>
      <c r="B1047" t="s" s="21">
        <v>60</v>
      </c>
      <c r="C1047" t="s" s="21">
        <v>57</v>
      </c>
      <c r="D1047" s="22" cm="1">
        <f t="array" ref="D1047">_xlfn.SUMIFS('Diseases'!F2:F4303,'Diseases'!B2:B4303,A1047,'Diseases'!C2:C4303,B1047,'Diseases'!D2:D4303,C1047)</f>
        <v>44</v>
      </c>
      <c r="E1047" s="22" cm="1">
        <f t="array" ref="E1047">_xlfn.IFERROR(IF(INDEX('Diseases'!G2:G4303,MATCH(C1047,'Diseases'!D2:D4303,0))="","",INDEX('Diseases'!G2:G4303,MATCH(C1047,'Diseases'!D2:D4303,0))),"")</f>
        <v>5214931</v>
      </c>
      <c r="F1047" s="23" cm="1">
        <f t="array" ref="F1047">_xlfn.IFERROR(IF(E1047="","",D1047/E1047*100000),"")</f>
        <v>0.8437312018126411</v>
      </c>
    </row>
    <row r="1048" ht="13.65" customHeight="1">
      <c r="A1048" t="s" s="32">
        <v>48</v>
      </c>
      <c r="B1048" t="s" s="21">
        <v>60</v>
      </c>
      <c r="C1048" t="s" s="21">
        <v>57</v>
      </c>
      <c r="D1048" s="22" cm="1">
        <f t="array" ref="D1048">_xlfn.SUMIFS('Diseases'!F2:F4303,'Diseases'!B2:B4303,A1048,'Diseases'!C2:C4303,B1048,'Diseases'!D2:D4303,C1048)</f>
        <v>0</v>
      </c>
      <c r="E1048" s="22" cm="1">
        <f t="array" ref="E1048">_xlfn.IFERROR(IF(INDEX('Diseases'!G2:G4303,MATCH(C1048,'Diseases'!D2:D4303,0))="","",INDEX('Diseases'!G2:G4303,MATCH(C1048,'Diseases'!D2:D4303,0))),"")</f>
        <v>5214931</v>
      </c>
      <c r="F1048" s="23" cm="1">
        <f t="array" ref="F1048">_xlfn.IFERROR(IF(E1048="","",D1048/E1048*100000),"")</f>
        <v>0</v>
      </c>
    </row>
    <row r="1049" ht="13.65" customHeight="1">
      <c r="A1049" t="s" s="20">
        <v>30</v>
      </c>
      <c r="B1049" t="s" s="21">
        <v>61</v>
      </c>
      <c r="C1049" t="s" s="21">
        <v>57</v>
      </c>
      <c r="D1049" s="22" cm="1">
        <f t="array" ref="D1049">_xlfn.SUMIFS('Diseases'!F2:F4303,'Diseases'!B2:B4303,A1049,'Diseases'!C2:C4303,B1049,'Diseases'!D2:D4303,C1049)</f>
        <v>12264</v>
      </c>
      <c r="E1049" s="22" cm="1">
        <f t="array" ref="E1049">_xlfn.IFERROR(IF(INDEX('Diseases'!G2:G4303,MATCH(C1049,'Diseases'!D2:D4303,0))="","",INDEX('Diseases'!G2:G4303,MATCH(C1049,'Diseases'!D2:D4303,0))),"")</f>
        <v>5214931</v>
      </c>
      <c r="F1049" s="23" cm="1">
        <f t="array" ref="F1049">_xlfn.IFERROR(IF(E1049="","",D1049/E1049*100000),"")</f>
        <v>235.170896796142</v>
      </c>
    </row>
    <row r="1050" ht="13.65" customHeight="1">
      <c r="A1050" t="s" s="25">
        <v>35</v>
      </c>
      <c r="B1050" t="s" s="21">
        <v>61</v>
      </c>
      <c r="C1050" t="s" s="21">
        <v>57</v>
      </c>
      <c r="D1050" s="22" cm="1">
        <f t="array" ref="D1050">_xlfn.SUMIFS('Diseases'!F2:F4303,'Diseases'!B2:B4303,A1050,'Diseases'!C2:C4303,B1050,'Diseases'!D2:D4303,C1050)</f>
        <v>4773</v>
      </c>
      <c r="E1050" s="22" cm="1">
        <f t="array" ref="E1050">_xlfn.IFERROR(IF(INDEX('Diseases'!G2:G4303,MATCH(C1050,'Diseases'!D2:D4303,0))="","",INDEX('Diseases'!G2:G4303,MATCH(C1050,'Diseases'!D2:D4303,0))),"")</f>
        <v>5214931</v>
      </c>
      <c r="F1050" s="23" cm="1">
        <f t="array" ref="F1050">_xlfn.IFERROR(IF(E1050="","",D1050/E1050*100000),"")</f>
        <v>91.5256596875395</v>
      </c>
    </row>
    <row r="1051" ht="13.65" customHeight="1">
      <c r="A1051" t="s" s="24">
        <v>34</v>
      </c>
      <c r="B1051" t="s" s="21">
        <v>61</v>
      </c>
      <c r="C1051" t="s" s="21">
        <v>57</v>
      </c>
      <c r="D1051" s="22" cm="1">
        <f t="array" ref="D1051">_xlfn.SUMIFS('Diseases'!F2:F4303,'Diseases'!B2:B4303,A1051,'Diseases'!C2:C4303,B1051,'Diseases'!D2:D4303,C1051)</f>
        <v>3133</v>
      </c>
      <c r="E1051" s="22" cm="1">
        <f t="array" ref="E1051">_xlfn.IFERROR(IF(INDEX('Diseases'!G2:G4303,MATCH(C1051,'Diseases'!D2:D4303,0))="","",INDEX('Diseases'!G2:G4303,MATCH(C1051,'Diseases'!D2:D4303,0))),"")</f>
        <v>5214931</v>
      </c>
      <c r="F1051" s="23" cm="1">
        <f t="array" ref="F1051">_xlfn.IFERROR(IF(E1051="","",D1051/E1051*100000),"")</f>
        <v>60.0774967108865</v>
      </c>
    </row>
    <row r="1052" ht="13.65" customHeight="1">
      <c r="A1052" t="s" s="27">
        <v>37</v>
      </c>
      <c r="B1052" t="s" s="21">
        <v>61</v>
      </c>
      <c r="C1052" t="s" s="21">
        <v>57</v>
      </c>
      <c r="D1052" s="22" cm="1">
        <f t="array" ref="D1052">_xlfn.SUMIFS('Diseases'!F2:F4303,'Diseases'!B2:B4303,A1052,'Diseases'!C2:C4303,B1052,'Diseases'!D2:D4303,C1052)</f>
        <v>1202</v>
      </c>
      <c r="E1052" s="22" cm="1">
        <f t="array" ref="E1052">_xlfn.IFERROR(IF(INDEX('Diseases'!G2:G4303,MATCH(C1052,'Diseases'!D2:D4303,0))="","",INDEX('Diseases'!G2:G4303,MATCH(C1052,'Diseases'!D2:D4303,0))),"")</f>
        <v>5214931</v>
      </c>
      <c r="F1052" s="23" cm="1">
        <f t="array" ref="F1052">_xlfn.IFERROR(IF(E1052="","",D1052/E1052*100000),"")</f>
        <v>23.0492023767908</v>
      </c>
    </row>
    <row r="1053" ht="13.65" customHeight="1">
      <c r="A1053" t="s" s="31">
        <v>45</v>
      </c>
      <c r="B1053" t="s" s="21">
        <v>61</v>
      </c>
      <c r="C1053" t="s" s="21">
        <v>57</v>
      </c>
      <c r="D1053" s="22" cm="1">
        <f t="array" ref="D1053">_xlfn.SUMIFS('Diseases'!F2:F4303,'Diseases'!B2:B4303,A1053,'Diseases'!C2:C4303,B1053,'Diseases'!D2:D4303,C1053)</f>
        <v>806</v>
      </c>
      <c r="E1053" s="22" cm="1">
        <f t="array" ref="E1053">_xlfn.IFERROR(IF(INDEX('Diseases'!G2:G4303,MATCH(C1053,'Diseases'!D2:D4303,0))="","",INDEX('Diseases'!G2:G4303,MATCH(C1053,'Diseases'!D2:D4303,0))),"")</f>
        <v>5214931</v>
      </c>
      <c r="F1053" s="23" cm="1">
        <f t="array" ref="F1053">_xlfn.IFERROR(IF(E1053="","",D1053/E1053*100000),"")</f>
        <v>15.455621560477</v>
      </c>
    </row>
    <row r="1054" ht="13.65" customHeight="1">
      <c r="A1054" t="s" s="29">
        <v>39</v>
      </c>
      <c r="B1054" t="s" s="21">
        <v>61</v>
      </c>
      <c r="C1054" t="s" s="21">
        <v>57</v>
      </c>
      <c r="D1054" s="22" cm="1">
        <f t="array" ref="D1054">_xlfn.SUMIFS('Diseases'!F2:F4303,'Diseases'!B2:B4303,A1054,'Diseases'!C2:C4303,B1054,'Diseases'!D2:D4303,C1054)</f>
        <v>747</v>
      </c>
      <c r="E1054" s="22" cm="1">
        <f t="array" ref="E1054">_xlfn.IFERROR(IF(INDEX('Diseases'!G2:G4303,MATCH(C1054,'Diseases'!D2:D4303,0))="","",INDEX('Diseases'!G2:G4303,MATCH(C1054,'Diseases'!D2:D4303,0))),"")</f>
        <v>5214931</v>
      </c>
      <c r="F1054" s="23" cm="1">
        <f t="array" ref="F1054">_xlfn.IFERROR(IF(E1054="","",D1054/E1054*100000),"")</f>
        <v>14.3242547216828</v>
      </c>
    </row>
    <row r="1055" ht="13.65" customHeight="1">
      <c r="A1055" t="s" s="25">
        <v>35</v>
      </c>
      <c r="B1055" t="s" s="21">
        <v>62</v>
      </c>
      <c r="C1055" t="s" s="21">
        <v>57</v>
      </c>
      <c r="D1055" s="22" cm="1">
        <f t="array" ref="D1055">_xlfn.SUMIFS('Diseases'!F2:F4303,'Diseases'!B2:B4303,A1055,'Diseases'!C2:C4303,B1055,'Diseases'!D2:D4303,C1055)</f>
        <v>26884</v>
      </c>
      <c r="E1055" s="22" cm="1">
        <f t="array" ref="E1055">_xlfn.IFERROR(IF(INDEX('Diseases'!G2:G4303,MATCH(C1055,'Diseases'!D2:D4303,0))="","",INDEX('Diseases'!G2:G4303,MATCH(C1055,'Diseases'!D2:D4303,0))),"")</f>
        <v>5214931</v>
      </c>
      <c r="F1055" s="23" cm="1">
        <f t="array" ref="F1055">_xlfn.IFERROR(IF(E1055="","",D1055/E1055*100000),"")</f>
        <v>515.519764307524</v>
      </c>
    </row>
    <row r="1056" ht="13.65" customHeight="1">
      <c r="A1056" t="s" s="20">
        <v>30</v>
      </c>
      <c r="B1056" t="s" s="21">
        <v>62</v>
      </c>
      <c r="C1056" t="s" s="21">
        <v>57</v>
      </c>
      <c r="D1056" s="22" cm="1">
        <f t="array" ref="D1056">_xlfn.SUMIFS('Diseases'!F2:F4303,'Diseases'!B2:B4303,A1056,'Diseases'!C2:C4303,B1056,'Diseases'!D2:D4303,C1056)</f>
        <v>7969</v>
      </c>
      <c r="E1056" s="22" cm="1">
        <f t="array" ref="E1056">_xlfn.IFERROR(IF(INDEX('Diseases'!G2:G4303,MATCH(C1056,'Diseases'!D2:D4303,0))="","",INDEX('Diseases'!G2:G4303,MATCH(C1056,'Diseases'!D2:D4303,0))),"")</f>
        <v>5214931</v>
      </c>
      <c r="F1056" s="23" cm="1">
        <f t="array" ref="F1056">_xlfn.IFERROR(IF(E1056="","",D1056/E1056*100000),"")</f>
        <v>152.811226073749</v>
      </c>
    </row>
    <row r="1057" ht="13.65" customHeight="1">
      <c r="A1057" t="s" s="31">
        <v>45</v>
      </c>
      <c r="B1057" t="s" s="21">
        <v>62</v>
      </c>
      <c r="C1057" t="s" s="21">
        <v>57</v>
      </c>
      <c r="D1057" s="22" cm="1">
        <f t="array" ref="D1057">_xlfn.SUMIFS('Diseases'!F2:F4303,'Diseases'!B2:B4303,A1057,'Diseases'!C2:C4303,B1057,'Diseases'!D2:D4303,C1057)</f>
        <v>2522</v>
      </c>
      <c r="E1057" s="22" cm="1">
        <f t="array" ref="E1057">_xlfn.IFERROR(IF(INDEX('Diseases'!G2:G4303,MATCH(C1057,'Diseases'!D2:D4303,0))="","",INDEX('Diseases'!G2:G4303,MATCH(C1057,'Diseases'!D2:D4303,0))),"")</f>
        <v>5214931</v>
      </c>
      <c r="F1057" s="23" cm="1">
        <f t="array" ref="F1057">_xlfn.IFERROR(IF(E1057="","",D1057/E1057*100000),"")</f>
        <v>48.361138431170</v>
      </c>
    </row>
    <row r="1058" ht="13.65" customHeight="1">
      <c r="A1058" t="s" s="32">
        <v>48</v>
      </c>
      <c r="B1058" t="s" s="21">
        <v>62</v>
      </c>
      <c r="C1058" t="s" s="21">
        <v>57</v>
      </c>
      <c r="D1058" s="22" cm="1">
        <f t="array" ref="D1058">_xlfn.SUMIFS('Diseases'!F2:F4303,'Diseases'!B2:B4303,A1058,'Diseases'!C2:C4303,B1058,'Diseases'!D2:D4303,C1058)</f>
        <v>0</v>
      </c>
      <c r="E1058" s="22" cm="1">
        <f t="array" ref="E1058">_xlfn.IFERROR(IF(INDEX('Diseases'!G2:G4303,MATCH(C1058,'Diseases'!D2:D4303,0))="","",INDEX('Diseases'!G2:G4303,MATCH(C1058,'Diseases'!D2:D4303,0))),"")</f>
        <v>5214931</v>
      </c>
      <c r="F1058" s="23" cm="1">
        <f t="array" ref="F1058">_xlfn.IFERROR(IF(E1058="","",D1058/E1058*100000),"")</f>
        <v>0</v>
      </c>
    </row>
    <row r="1059" ht="13.65" customHeight="1">
      <c r="A1059" t="s" s="25">
        <v>35</v>
      </c>
      <c r="B1059" t="s" s="21">
        <v>64</v>
      </c>
      <c r="C1059" t="s" s="21">
        <v>57</v>
      </c>
      <c r="D1059" s="22" cm="1">
        <f t="array" ref="D1059">_xlfn.SUMIFS('Diseases'!F2:F4303,'Diseases'!B2:B4303,A1059,'Diseases'!C2:C4303,B1059,'Diseases'!D2:D4303,C1059)</f>
        <v>8930</v>
      </c>
      <c r="E1059" s="22" cm="1">
        <f t="array" ref="E1059">_xlfn.IFERROR(IF(INDEX('Diseases'!G2:G4303,MATCH(C1059,'Diseases'!D2:D4303,0))="","",INDEX('Diseases'!G2:G4303,MATCH(C1059,'Diseases'!D2:D4303,0))),"")</f>
        <v>5214931</v>
      </c>
      <c r="F1059" s="23" cm="1">
        <f t="array" ref="F1059">_xlfn.IFERROR(IF(E1059="","",D1059/E1059*100000),"")</f>
        <v>171.239082549702</v>
      </c>
    </row>
    <row r="1060" ht="13.65" customHeight="1">
      <c r="A1060" t="s" s="20">
        <v>30</v>
      </c>
      <c r="B1060" t="s" s="21">
        <v>64</v>
      </c>
      <c r="C1060" t="s" s="21">
        <v>57</v>
      </c>
      <c r="D1060" s="22" cm="1">
        <f t="array" ref="D1060">_xlfn.SUMIFS('Diseases'!F2:F4303,'Diseases'!B2:B4303,A1060,'Diseases'!C2:C4303,B1060,'Diseases'!D2:D4303,C1060)</f>
        <v>1555</v>
      </c>
      <c r="E1060" s="22" cm="1">
        <f t="array" ref="E1060">_xlfn.IFERROR(IF(INDEX('Diseases'!G2:G4303,MATCH(C1060,'Diseases'!D2:D4303,0))="","",INDEX('Diseases'!G2:G4303,MATCH(C1060,'Diseases'!D2:D4303,0))),"")</f>
        <v>5214931</v>
      </c>
      <c r="F1060" s="23" cm="1">
        <f t="array" ref="F1060">_xlfn.IFERROR(IF(E1060="","",D1060/E1060*100000),"")</f>
        <v>29.818227700424</v>
      </c>
    </row>
    <row r="1061" ht="13.65" customHeight="1">
      <c r="A1061" t="s" s="24">
        <v>34</v>
      </c>
      <c r="B1061" t="s" s="21">
        <v>64</v>
      </c>
      <c r="C1061" t="s" s="21">
        <v>57</v>
      </c>
      <c r="D1061" s="22" cm="1">
        <f t="array" ref="D1061">_xlfn.SUMIFS('Diseases'!F2:F4303,'Diseases'!B2:B4303,A1061,'Diseases'!C2:C4303,B1061,'Diseases'!D2:D4303,C1061)</f>
        <v>263</v>
      </c>
      <c r="E1061" s="22" cm="1">
        <f t="array" ref="E1061">_xlfn.IFERROR(IF(INDEX('Diseases'!G2:G4303,MATCH(C1061,'Diseases'!D2:D4303,0))="","",INDEX('Diseases'!G2:G4303,MATCH(C1061,'Diseases'!D2:D4303,0))),"")</f>
        <v>5214931</v>
      </c>
      <c r="F1061" s="23" cm="1">
        <f t="array" ref="F1061">_xlfn.IFERROR(IF(E1061="","",D1061/E1061*100000),"")</f>
        <v>5.04321150174374</v>
      </c>
    </row>
    <row r="1062" ht="13.65" customHeight="1">
      <c r="A1062" t="s" s="31">
        <v>45</v>
      </c>
      <c r="B1062" t="s" s="21">
        <v>64</v>
      </c>
      <c r="C1062" t="s" s="21">
        <v>57</v>
      </c>
      <c r="D1062" s="22" cm="1">
        <f t="array" ref="D1062">_xlfn.SUMIFS('Diseases'!F2:F4303,'Diseases'!B2:B4303,A1062,'Diseases'!C2:C4303,B1062,'Diseases'!D2:D4303,C1062)</f>
        <v>208</v>
      </c>
      <c r="E1062" s="22" cm="1">
        <f t="array" ref="E1062">_xlfn.IFERROR(IF(INDEX('Diseases'!G2:G4303,MATCH(C1062,'Diseases'!D2:D4303,0))="","",INDEX('Diseases'!G2:G4303,MATCH(C1062,'Diseases'!D2:D4303,0))),"")</f>
        <v>5214931</v>
      </c>
      <c r="F1062" s="23" cm="1">
        <f t="array" ref="F1062">_xlfn.IFERROR(IF(E1062="","",D1062/E1062*100000),"")</f>
        <v>3.98854749947794</v>
      </c>
    </row>
    <row r="1063" ht="13.65" customHeight="1">
      <c r="A1063" t="s" s="28">
        <v>41</v>
      </c>
      <c r="B1063" t="s" s="21">
        <v>64</v>
      </c>
      <c r="C1063" t="s" s="21">
        <v>57</v>
      </c>
      <c r="D1063" s="22" cm="1">
        <f t="array" ref="D1063">_xlfn.SUMIFS('Diseases'!F2:F4303,'Diseases'!B2:B4303,A1063,'Diseases'!C2:C4303,B1063,'Diseases'!D2:D4303,C1063)</f>
        <v>139</v>
      </c>
      <c r="E1063" s="22" cm="1">
        <f t="array" ref="E1063">_xlfn.IFERROR(IF(INDEX('Diseases'!G2:G4303,MATCH(C1063,'Diseases'!D2:D4303,0))="","",INDEX('Diseases'!G2:G4303,MATCH(C1063,'Diseases'!D2:D4303,0))),"")</f>
        <v>5214931</v>
      </c>
      <c r="F1063" s="23" cm="1">
        <f t="array" ref="F1063">_xlfn.IFERROR(IF(E1063="","",D1063/E1063*100000),"")</f>
        <v>2.66542356936266</v>
      </c>
    </row>
    <row r="1064" ht="13.65" customHeight="1">
      <c r="A1064" t="s" s="29">
        <v>39</v>
      </c>
      <c r="B1064" t="s" s="21">
        <v>64</v>
      </c>
      <c r="C1064" t="s" s="21">
        <v>57</v>
      </c>
      <c r="D1064" s="22" cm="1">
        <f t="array" ref="D1064">_xlfn.SUMIFS('Diseases'!F2:F4303,'Diseases'!B2:B4303,A1064,'Diseases'!C2:C4303,B1064,'Diseases'!D2:D4303,C1064)</f>
        <v>55</v>
      </c>
      <c r="E1064" s="22" cm="1">
        <f t="array" ref="E1064">_xlfn.IFERROR(IF(INDEX('Diseases'!G2:G4303,MATCH(C1064,'Diseases'!D2:D4303,0))="","",INDEX('Diseases'!G2:G4303,MATCH(C1064,'Diseases'!D2:D4303,0))),"")</f>
        <v>5214931</v>
      </c>
      <c r="F1064" s="23" cm="1">
        <f t="array" ref="F1064">_xlfn.IFERROR(IF(E1064="","",D1064/E1064*100000),"")</f>
        <v>1.0546640022658</v>
      </c>
    </row>
    <row r="1065" ht="13.65" customHeight="1">
      <c r="A1065" t="s" s="25">
        <v>35</v>
      </c>
      <c r="B1065" t="s" s="21">
        <v>65</v>
      </c>
      <c r="C1065" t="s" s="21">
        <v>57</v>
      </c>
      <c r="D1065" s="22" cm="1">
        <f t="array" ref="D1065">_xlfn.SUMIFS('Diseases'!F2:F4303,'Diseases'!B2:B4303,A1065,'Diseases'!C2:C4303,B1065,'Diseases'!D2:D4303,C1065)</f>
        <v>2647</v>
      </c>
      <c r="E1065" s="22" cm="1">
        <f t="array" ref="E1065">_xlfn.IFERROR(IF(INDEX('Diseases'!G2:G4303,MATCH(C1065,'Diseases'!D2:D4303,0))="","",INDEX('Diseases'!G2:G4303,MATCH(C1065,'Diseases'!D2:D4303,0))),"")</f>
        <v>5214931</v>
      </c>
      <c r="F1065" s="23" cm="1">
        <f t="array" ref="F1065">_xlfn.IFERROR(IF(E1065="","",D1065/E1065*100000),"")</f>
        <v>50.7581020726832</v>
      </c>
    </row>
    <row r="1066" ht="13.65" customHeight="1">
      <c r="A1066" t="s" s="20">
        <v>30</v>
      </c>
      <c r="B1066" t="s" s="21">
        <v>65</v>
      </c>
      <c r="C1066" t="s" s="21">
        <v>57</v>
      </c>
      <c r="D1066" s="22" cm="1">
        <f t="array" ref="D1066">_xlfn.SUMIFS('Diseases'!F2:F4303,'Diseases'!B2:B4303,A1066,'Diseases'!C2:C4303,B1066,'Diseases'!D2:D4303,C1066)</f>
        <v>1186</v>
      </c>
      <c r="E1066" s="22" cm="1">
        <f t="array" ref="E1066">_xlfn.IFERROR(IF(INDEX('Diseases'!G2:G4303,MATCH(C1066,'Diseases'!D2:D4303,0))="","",INDEX('Diseases'!G2:G4303,MATCH(C1066,'Diseases'!D2:D4303,0))),"")</f>
        <v>5214931</v>
      </c>
      <c r="F1066" s="23" cm="1">
        <f t="array" ref="F1066">_xlfn.IFERROR(IF(E1066="","",D1066/E1066*100000),"")</f>
        <v>22.7423910306771</v>
      </c>
    </row>
    <row r="1067" ht="13.65" customHeight="1">
      <c r="A1067" t="s" s="24">
        <v>34</v>
      </c>
      <c r="B1067" t="s" s="21">
        <v>65</v>
      </c>
      <c r="C1067" t="s" s="21">
        <v>57</v>
      </c>
      <c r="D1067" s="22" cm="1">
        <f t="array" ref="D1067">_xlfn.SUMIFS('Diseases'!F2:F4303,'Diseases'!B2:B4303,A1067,'Diseases'!C2:C4303,B1067,'Diseases'!D2:D4303,C1067)</f>
        <v>369</v>
      </c>
      <c r="E1067" s="22" cm="1">
        <f t="array" ref="E1067">_xlfn.IFERROR(IF(INDEX('Diseases'!G2:G4303,MATCH(C1067,'Diseases'!D2:D4303,0))="","",INDEX('Diseases'!G2:G4303,MATCH(C1067,'Diseases'!D2:D4303,0))),"")</f>
        <v>5214931</v>
      </c>
      <c r="F1067" s="23" cm="1">
        <f t="array" ref="F1067">_xlfn.IFERROR(IF(E1067="","",D1067/E1067*100000),"")</f>
        <v>7.07583666974692</v>
      </c>
    </row>
    <row r="1068" ht="13.65" customHeight="1">
      <c r="A1068" t="s" s="28">
        <v>41</v>
      </c>
      <c r="B1068" t="s" s="21">
        <v>65</v>
      </c>
      <c r="C1068" t="s" s="21">
        <v>57</v>
      </c>
      <c r="D1068" s="22" cm="1">
        <f t="array" ref="D1068">_xlfn.SUMIFS('Diseases'!F2:F4303,'Diseases'!B2:B4303,A1068,'Diseases'!C2:C4303,B1068,'Diseases'!D2:D4303,C1068)</f>
        <v>122</v>
      </c>
      <c r="E1068" s="22" cm="1">
        <f t="array" ref="E1068">_xlfn.IFERROR(IF(INDEX('Diseases'!G2:G4303,MATCH(C1068,'Diseases'!D2:D4303,0))="","",INDEX('Diseases'!G2:G4303,MATCH(C1068,'Diseases'!D2:D4303,0))),"")</f>
        <v>5214931</v>
      </c>
      <c r="F1068" s="23" cm="1">
        <f t="array" ref="F1068">_xlfn.IFERROR(IF(E1068="","",D1068/E1068*100000),"")</f>
        <v>2.33943651411687</v>
      </c>
    </row>
    <row r="1069" ht="13.65" customHeight="1">
      <c r="A1069" t="s" s="29">
        <v>39</v>
      </c>
      <c r="B1069" t="s" s="21">
        <v>65</v>
      </c>
      <c r="C1069" t="s" s="21">
        <v>57</v>
      </c>
      <c r="D1069" s="22" cm="1">
        <f t="array" ref="D1069">_xlfn.SUMIFS('Diseases'!F2:F4303,'Diseases'!B2:B4303,A1069,'Diseases'!C2:C4303,B1069,'Diseases'!D2:D4303,C1069)</f>
        <v>105</v>
      </c>
      <c r="E1069" s="22" cm="1">
        <f t="array" ref="E1069">_xlfn.IFERROR(IF(INDEX('Diseases'!G2:G4303,MATCH(C1069,'Diseases'!D2:D4303,0))="","",INDEX('Diseases'!G2:G4303,MATCH(C1069,'Diseases'!D2:D4303,0))),"")</f>
        <v>5214931</v>
      </c>
      <c r="F1069" s="23" cm="1">
        <f t="array" ref="F1069">_xlfn.IFERROR(IF(E1069="","",D1069/E1069*100000),"")</f>
        <v>2.01344945887108</v>
      </c>
    </row>
    <row r="1070" ht="13.65" customHeight="1">
      <c r="A1070" t="s" s="26">
        <v>36</v>
      </c>
      <c r="B1070" t="s" s="21">
        <v>65</v>
      </c>
      <c r="C1070" t="s" s="21">
        <v>57</v>
      </c>
      <c r="D1070" s="22" cm="1">
        <f t="array" ref="D1070">_xlfn.SUMIFS('Diseases'!F2:F4303,'Diseases'!B2:B4303,A1070,'Diseases'!C2:C4303,B1070,'Diseases'!D2:D4303,C1070)</f>
        <v>57</v>
      </c>
      <c r="E1070" s="22" cm="1">
        <f t="array" ref="E1070">_xlfn.IFERROR(IF(INDEX('Diseases'!G2:G4303,MATCH(C1070,'Diseases'!D2:D4303,0))="","",INDEX('Diseases'!G2:G4303,MATCH(C1070,'Diseases'!D2:D4303,0))),"")</f>
        <v>5214931</v>
      </c>
      <c r="F1070" s="23" cm="1">
        <f t="array" ref="F1070">_xlfn.IFERROR(IF(E1070="","",D1070/E1070*100000),"")</f>
        <v>1.09301542053001</v>
      </c>
    </row>
    <row r="1071" ht="13.65" customHeight="1">
      <c r="A1071" t="s" s="31">
        <v>45</v>
      </c>
      <c r="B1071" t="s" s="21">
        <v>65</v>
      </c>
      <c r="C1071" t="s" s="21">
        <v>57</v>
      </c>
      <c r="D1071" s="22" cm="1">
        <f t="array" ref="D1071">_xlfn.SUMIFS('Diseases'!F2:F4303,'Diseases'!B2:B4303,A1071,'Diseases'!C2:C4303,B1071,'Diseases'!D2:D4303,C1071)</f>
        <v>20</v>
      </c>
      <c r="E1071" s="22" cm="1">
        <f t="array" ref="E1071">_xlfn.IFERROR(IF(INDEX('Diseases'!G2:G4303,MATCH(C1071,'Diseases'!D2:D4303,0))="","",INDEX('Diseases'!G2:G4303,MATCH(C1071,'Diseases'!D2:D4303,0))),"")</f>
        <v>5214931</v>
      </c>
      <c r="F1071" s="23" cm="1">
        <f t="array" ref="F1071">_xlfn.IFERROR(IF(E1071="","",D1071/E1071*100000),"")</f>
        <v>0.38351418264211</v>
      </c>
    </row>
    <row r="1072" ht="13.65" customHeight="1">
      <c r="A1072" t="s" s="20">
        <v>30</v>
      </c>
      <c r="B1072" t="s" s="21">
        <v>66</v>
      </c>
      <c r="C1072" t="s" s="21">
        <v>57</v>
      </c>
      <c r="D1072" s="22" cm="1">
        <f t="array" ref="D1072">_xlfn.SUMIFS('Diseases'!F2:F4303,'Diseases'!B2:B4303,A1072,'Diseases'!C2:C4303,B1072,'Diseases'!D2:D4303,C1072)</f>
        <v>1755</v>
      </c>
      <c r="E1072" s="22" cm="1">
        <f t="array" ref="E1072">_xlfn.IFERROR(IF(INDEX('Diseases'!G2:G4303,MATCH(C1072,'Diseases'!D2:D4303,0))="","",INDEX('Diseases'!G2:G4303,MATCH(C1072,'Diseases'!D2:D4303,0))),"")</f>
        <v>5214931</v>
      </c>
      <c r="F1072" s="23" cm="1">
        <f t="array" ref="F1072">_xlfn.IFERROR(IF(E1072="","",D1072/E1072*100000),"")</f>
        <v>33.6533695268451</v>
      </c>
    </row>
    <row r="1073" ht="13.65" customHeight="1">
      <c r="A1073" t="s" s="25">
        <v>35</v>
      </c>
      <c r="B1073" t="s" s="21">
        <v>66</v>
      </c>
      <c r="C1073" t="s" s="21">
        <v>57</v>
      </c>
      <c r="D1073" s="22" cm="1">
        <f t="array" ref="D1073">_xlfn.SUMIFS('Diseases'!F2:F4303,'Diseases'!B2:B4303,A1073,'Diseases'!C2:C4303,B1073,'Diseases'!D2:D4303,C1073)</f>
        <v>1336</v>
      </c>
      <c r="E1073" s="22" cm="1">
        <f t="array" ref="E1073">_xlfn.IFERROR(IF(INDEX('Diseases'!G2:G4303,MATCH(C1073,'Diseases'!D2:D4303,0))="","",INDEX('Diseases'!G2:G4303,MATCH(C1073,'Diseases'!D2:D4303,0))),"")</f>
        <v>5214931</v>
      </c>
      <c r="F1073" s="23" cm="1">
        <f t="array" ref="F1073">_xlfn.IFERROR(IF(E1073="","",D1073/E1073*100000),"")</f>
        <v>25.6187474004929</v>
      </c>
    </row>
    <row r="1074" ht="13.65" customHeight="1">
      <c r="A1074" t="s" s="24">
        <v>34</v>
      </c>
      <c r="B1074" t="s" s="21">
        <v>66</v>
      </c>
      <c r="C1074" t="s" s="21">
        <v>57</v>
      </c>
      <c r="D1074" s="22" cm="1">
        <f t="array" ref="D1074">_xlfn.SUMIFS('Diseases'!F2:F4303,'Diseases'!B2:B4303,A1074,'Diseases'!C2:C4303,B1074,'Diseases'!D2:D4303,C1074)</f>
        <v>305</v>
      </c>
      <c r="E1074" s="22" cm="1">
        <f t="array" ref="E1074">_xlfn.IFERROR(IF(INDEX('Diseases'!G2:G4303,MATCH(C1074,'Diseases'!D2:D4303,0))="","",INDEX('Diseases'!G2:G4303,MATCH(C1074,'Diseases'!D2:D4303,0))),"")</f>
        <v>5214931</v>
      </c>
      <c r="F1074" s="23" cm="1">
        <f t="array" ref="F1074">_xlfn.IFERROR(IF(E1074="","",D1074/E1074*100000),"")</f>
        <v>5.84859128529217</v>
      </c>
    </row>
    <row r="1075" ht="13.65" customHeight="1">
      <c r="A1075" t="s" s="28">
        <v>41</v>
      </c>
      <c r="B1075" t="s" s="21">
        <v>66</v>
      </c>
      <c r="C1075" t="s" s="21">
        <v>57</v>
      </c>
      <c r="D1075" s="22" cm="1">
        <f t="array" ref="D1075">_xlfn.SUMIFS('Diseases'!F2:F4303,'Diseases'!B2:B4303,A1075,'Diseases'!C2:C4303,B1075,'Diseases'!D2:D4303,C1075)</f>
        <v>177</v>
      </c>
      <c r="E1075" s="22" cm="1">
        <f t="array" ref="E1075">_xlfn.IFERROR(IF(INDEX('Diseases'!G2:G4303,MATCH(C1075,'Diseases'!D2:D4303,0))="","",INDEX('Diseases'!G2:G4303,MATCH(C1075,'Diseases'!D2:D4303,0))),"")</f>
        <v>5214931</v>
      </c>
      <c r="F1075" s="23" cm="1">
        <f t="array" ref="F1075">_xlfn.IFERROR(IF(E1075="","",D1075/E1075*100000),"")</f>
        <v>3.39410051638267</v>
      </c>
    </row>
    <row r="1076" ht="13.65" customHeight="1">
      <c r="A1076" t="s" s="29">
        <v>39</v>
      </c>
      <c r="B1076" t="s" s="21">
        <v>66</v>
      </c>
      <c r="C1076" t="s" s="21">
        <v>57</v>
      </c>
      <c r="D1076" s="22" cm="1">
        <f t="array" ref="D1076">_xlfn.SUMIFS('Diseases'!F2:F4303,'Diseases'!B2:B4303,A1076,'Diseases'!C2:C4303,B1076,'Diseases'!D2:D4303,C1076)</f>
        <v>113</v>
      </c>
      <c r="E1076" s="22" cm="1">
        <f t="array" ref="E1076">_xlfn.IFERROR(IF(INDEX('Diseases'!G2:G4303,MATCH(C1076,'Diseases'!D2:D4303,0))="","",INDEX('Diseases'!G2:G4303,MATCH(C1076,'Diseases'!D2:D4303,0))),"")</f>
        <v>5214931</v>
      </c>
      <c r="F1076" s="23" cm="1">
        <f t="array" ref="F1076">_xlfn.IFERROR(IF(E1076="","",D1076/E1076*100000),"")</f>
        <v>2.16685513192792</v>
      </c>
    </row>
    <row r="1077" ht="13.65" customHeight="1">
      <c r="A1077" t="s" s="26">
        <v>36</v>
      </c>
      <c r="B1077" t="s" s="21">
        <v>66</v>
      </c>
      <c r="C1077" t="s" s="21">
        <v>57</v>
      </c>
      <c r="D1077" s="22" cm="1">
        <f t="array" ref="D1077">_xlfn.SUMIFS('Diseases'!F2:F4303,'Diseases'!B2:B4303,A1077,'Diseases'!C2:C4303,B1077,'Diseases'!D2:D4303,C1077)</f>
        <v>105</v>
      </c>
      <c r="E1077" s="22" cm="1">
        <f t="array" ref="E1077">_xlfn.IFERROR(IF(INDEX('Diseases'!G2:G4303,MATCH(C1077,'Diseases'!D2:D4303,0))="","",INDEX('Diseases'!G2:G4303,MATCH(C1077,'Diseases'!D2:D4303,0))),"")</f>
        <v>5214931</v>
      </c>
      <c r="F1077" s="23" cm="1">
        <f t="array" ref="F1077">_xlfn.IFERROR(IF(E1077="","",D1077/E1077*100000),"")</f>
        <v>2.01344945887108</v>
      </c>
    </row>
    <row r="1078" ht="13.65" customHeight="1">
      <c r="A1078" t="s" s="25">
        <v>35</v>
      </c>
      <c r="B1078" t="s" s="21">
        <v>67</v>
      </c>
      <c r="C1078" t="s" s="21">
        <v>57</v>
      </c>
      <c r="D1078" s="22" cm="1">
        <f t="array" ref="D1078">_xlfn.SUMIFS('Diseases'!F2:F4303,'Diseases'!B2:B4303,A1078,'Diseases'!C2:C4303,B1078,'Diseases'!D2:D4303,C1078)</f>
        <v>3801</v>
      </c>
      <c r="E1078" s="22" cm="1">
        <f t="array" ref="E1078">_xlfn.IFERROR(IF(INDEX('Diseases'!G2:G4303,MATCH(C1078,'Diseases'!D2:D4303,0))="","",INDEX('Diseases'!G2:G4303,MATCH(C1078,'Diseases'!D2:D4303,0))),"")</f>
        <v>5214931</v>
      </c>
      <c r="F1078" s="23" cm="1">
        <f t="array" ref="F1078">_xlfn.IFERROR(IF(E1078="","",D1078/E1078*100000),"")</f>
        <v>72.886870411133</v>
      </c>
    </row>
    <row r="1079" ht="13.65" customHeight="1">
      <c r="A1079" t="s" s="20">
        <v>30</v>
      </c>
      <c r="B1079" t="s" s="21">
        <v>67</v>
      </c>
      <c r="C1079" t="s" s="21">
        <v>57</v>
      </c>
      <c r="D1079" s="22" cm="1">
        <f t="array" ref="D1079">_xlfn.SUMIFS('Diseases'!F2:F4303,'Diseases'!B2:B4303,A1079,'Diseases'!C2:C4303,B1079,'Diseases'!D2:D4303,C1079)</f>
        <v>1497</v>
      </c>
      <c r="E1079" s="22" cm="1">
        <f t="array" ref="E1079">_xlfn.IFERROR(IF(INDEX('Diseases'!G2:G4303,MATCH(C1079,'Diseases'!D2:D4303,0))="","",INDEX('Diseases'!G2:G4303,MATCH(C1079,'Diseases'!D2:D4303,0))),"")</f>
        <v>5214931</v>
      </c>
      <c r="F1079" s="23" cm="1">
        <f t="array" ref="F1079">_xlfn.IFERROR(IF(E1079="","",D1079/E1079*100000),"")</f>
        <v>28.7060365707619</v>
      </c>
    </row>
    <row r="1080" ht="13.65" customHeight="1">
      <c r="A1080" t="s" s="31">
        <v>45</v>
      </c>
      <c r="B1080" t="s" s="21">
        <v>67</v>
      </c>
      <c r="C1080" t="s" s="21">
        <v>57</v>
      </c>
      <c r="D1080" s="22" cm="1">
        <f t="array" ref="D1080">_xlfn.SUMIFS('Diseases'!F2:F4303,'Diseases'!B2:B4303,A1080,'Diseases'!C2:C4303,B1080,'Diseases'!D2:D4303,C1080)</f>
        <v>539</v>
      </c>
      <c r="E1080" s="22" cm="1">
        <f t="array" ref="E1080">_xlfn.IFERROR(IF(INDEX('Diseases'!G2:G4303,MATCH(C1080,'Diseases'!D2:D4303,0))="","",INDEX('Diseases'!G2:G4303,MATCH(C1080,'Diseases'!D2:D4303,0))),"")</f>
        <v>5214931</v>
      </c>
      <c r="F1080" s="23" cm="1">
        <f t="array" ref="F1080">_xlfn.IFERROR(IF(E1080="","",D1080/E1080*100000),"")</f>
        <v>10.3357072222049</v>
      </c>
    </row>
    <row r="1081" ht="13.65" customHeight="1">
      <c r="A1081" t="s" s="24">
        <v>34</v>
      </c>
      <c r="B1081" t="s" s="21">
        <v>67</v>
      </c>
      <c r="C1081" t="s" s="21">
        <v>57</v>
      </c>
      <c r="D1081" s="22" cm="1">
        <f t="array" ref="D1081">_xlfn.SUMIFS('Diseases'!F2:F4303,'Diseases'!B2:B4303,A1081,'Diseases'!C2:C4303,B1081,'Diseases'!D2:D4303,C1081)</f>
        <v>274</v>
      </c>
      <c r="E1081" s="22" cm="1">
        <f t="array" ref="E1081">_xlfn.IFERROR(IF(INDEX('Diseases'!G2:G4303,MATCH(C1081,'Diseases'!D2:D4303,0))="","",INDEX('Diseases'!G2:G4303,MATCH(C1081,'Diseases'!D2:D4303,0))),"")</f>
        <v>5214931</v>
      </c>
      <c r="F1081" s="23" cm="1">
        <f t="array" ref="F1081">_xlfn.IFERROR(IF(E1081="","",D1081/E1081*100000),"")</f>
        <v>5.2541443021969</v>
      </c>
    </row>
    <row r="1082" ht="13.65" customHeight="1">
      <c r="A1082" t="s" s="28">
        <v>41</v>
      </c>
      <c r="B1082" t="s" s="21">
        <v>67</v>
      </c>
      <c r="C1082" t="s" s="21">
        <v>57</v>
      </c>
      <c r="D1082" s="22" cm="1">
        <f t="array" ref="D1082">_xlfn.SUMIFS('Diseases'!F2:F4303,'Diseases'!B2:B4303,A1082,'Diseases'!C2:C4303,B1082,'Diseases'!D2:D4303,C1082)</f>
        <v>83</v>
      </c>
      <c r="E1082" s="22" cm="1">
        <f t="array" ref="E1082">_xlfn.IFERROR(IF(INDEX('Diseases'!G2:G4303,MATCH(C1082,'Diseases'!D2:D4303,0))="","",INDEX('Diseases'!G2:G4303,MATCH(C1082,'Diseases'!D2:D4303,0))),"")</f>
        <v>5214931</v>
      </c>
      <c r="F1082" s="23" cm="1">
        <f t="array" ref="F1082">_xlfn.IFERROR(IF(E1082="","",D1082/E1082*100000),"")</f>
        <v>1.59158385796476</v>
      </c>
    </row>
    <row r="1083" ht="13.65" customHeight="1">
      <c r="A1083" t="s" s="20">
        <v>30</v>
      </c>
      <c r="B1083" t="s" s="21">
        <v>68</v>
      </c>
      <c r="C1083" t="s" s="21">
        <v>57</v>
      </c>
      <c r="D1083" s="22" cm="1">
        <f t="array" ref="D1083">_xlfn.SUMIFS('Diseases'!F2:F4303,'Diseases'!B2:B4303,A1083,'Diseases'!C2:C4303,B1083,'Diseases'!D2:D4303,C1083)</f>
        <v>7716</v>
      </c>
      <c r="E1083" s="22" cm="1">
        <f t="array" ref="E1083">_xlfn.IFERROR(IF(INDEX('Diseases'!G2:G4303,MATCH(C1083,'Diseases'!D2:D4303,0))="","",INDEX('Diseases'!G2:G4303,MATCH(C1083,'Diseases'!D2:D4303,0))),"")</f>
        <v>5214931</v>
      </c>
      <c r="F1083" s="23" cm="1">
        <f t="array" ref="F1083">_xlfn.IFERROR(IF(E1083="","",D1083/E1083*100000),"")</f>
        <v>147.959771663326</v>
      </c>
    </row>
    <row r="1084" ht="13.65" customHeight="1">
      <c r="A1084" t="s" s="25">
        <v>35</v>
      </c>
      <c r="B1084" t="s" s="21">
        <v>68</v>
      </c>
      <c r="C1084" t="s" s="21">
        <v>57</v>
      </c>
      <c r="D1084" s="22" cm="1">
        <f t="array" ref="D1084">_xlfn.SUMIFS('Diseases'!F2:F4303,'Diseases'!B2:B4303,A1084,'Diseases'!C2:C4303,B1084,'Diseases'!D2:D4303,C1084)</f>
        <v>3604</v>
      </c>
      <c r="E1084" s="22" cm="1">
        <f t="array" ref="E1084">_xlfn.IFERROR(IF(INDEX('Diseases'!G2:G4303,MATCH(C1084,'Diseases'!D2:D4303,0))="","",INDEX('Diseases'!G2:G4303,MATCH(C1084,'Diseases'!D2:D4303,0))),"")</f>
        <v>5214931</v>
      </c>
      <c r="F1084" s="23" cm="1">
        <f t="array" ref="F1084">_xlfn.IFERROR(IF(E1084="","",D1084/E1084*100000),"")</f>
        <v>69.10925571210819</v>
      </c>
    </row>
    <row r="1085" ht="13.65" customHeight="1">
      <c r="A1085" t="s" s="24">
        <v>34</v>
      </c>
      <c r="B1085" t="s" s="21">
        <v>68</v>
      </c>
      <c r="C1085" t="s" s="21">
        <v>57</v>
      </c>
      <c r="D1085" s="22" cm="1">
        <f t="array" ref="D1085">_xlfn.SUMIFS('Diseases'!F2:F4303,'Diseases'!B2:B4303,A1085,'Diseases'!C2:C4303,B1085,'Diseases'!D2:D4303,C1085)</f>
        <v>2158</v>
      </c>
      <c r="E1085" s="22" cm="1">
        <f t="array" ref="E1085">_xlfn.IFERROR(IF(INDEX('Diseases'!G2:G4303,MATCH(C1085,'Diseases'!D2:D4303,0))="","",INDEX('Diseases'!G2:G4303,MATCH(C1085,'Diseases'!D2:D4303,0))),"")</f>
        <v>5214931</v>
      </c>
      <c r="F1085" s="23" cm="1">
        <f t="array" ref="F1085">_xlfn.IFERROR(IF(E1085="","",D1085/E1085*100000),"")</f>
        <v>41.3811803070836</v>
      </c>
    </row>
    <row r="1086" ht="13.65" customHeight="1">
      <c r="A1086" t="s" s="29">
        <v>39</v>
      </c>
      <c r="B1086" t="s" s="21">
        <v>68</v>
      </c>
      <c r="C1086" t="s" s="21">
        <v>57</v>
      </c>
      <c r="D1086" s="22" cm="1">
        <f t="array" ref="D1086">_xlfn.SUMIFS('Diseases'!F2:F4303,'Diseases'!B2:B4303,A1086,'Diseases'!C2:C4303,B1086,'Diseases'!D2:D4303,C1086)</f>
        <v>381</v>
      </c>
      <c r="E1086" s="22" cm="1">
        <f t="array" ref="E1086">_xlfn.IFERROR(IF(INDEX('Diseases'!G2:G4303,MATCH(C1086,'Diseases'!D2:D4303,0))="","",INDEX('Diseases'!G2:G4303,MATCH(C1086,'Diseases'!D2:D4303,0))),"")</f>
        <v>5214931</v>
      </c>
      <c r="F1086" s="23" cm="1">
        <f t="array" ref="F1086">_xlfn.IFERROR(IF(E1086="","",D1086/E1086*100000),"")</f>
        <v>7.30594517933219</v>
      </c>
    </row>
    <row r="1087" ht="13.65" customHeight="1">
      <c r="A1087" t="s" s="26">
        <v>36</v>
      </c>
      <c r="B1087" t="s" s="21">
        <v>68</v>
      </c>
      <c r="C1087" t="s" s="21">
        <v>57</v>
      </c>
      <c r="D1087" s="22" cm="1">
        <f t="array" ref="D1087">_xlfn.SUMIFS('Diseases'!F2:F4303,'Diseases'!B2:B4303,A1087,'Diseases'!C2:C4303,B1087,'Diseases'!D2:D4303,C1087)</f>
        <v>346</v>
      </c>
      <c r="E1087" s="22" cm="1">
        <f t="array" ref="E1087">_xlfn.IFERROR(IF(INDEX('Diseases'!G2:G4303,MATCH(C1087,'Diseases'!D2:D4303,0))="","",INDEX('Diseases'!G2:G4303,MATCH(C1087,'Diseases'!D2:D4303,0))),"")</f>
        <v>5214931</v>
      </c>
      <c r="F1087" s="23" cm="1">
        <f t="array" ref="F1087">_xlfn.IFERROR(IF(E1087="","",D1087/E1087*100000),"")</f>
        <v>6.6347953597085</v>
      </c>
    </row>
    <row r="1088" ht="13.65" customHeight="1">
      <c r="A1088" t="s" s="25">
        <v>35</v>
      </c>
      <c r="B1088" t="s" s="21">
        <v>69</v>
      </c>
      <c r="C1088" t="s" s="21">
        <v>57</v>
      </c>
      <c r="D1088" s="22" cm="1">
        <f t="array" ref="D1088">_xlfn.SUMIFS('Diseases'!F2:F4303,'Diseases'!B2:B4303,A1088,'Diseases'!C2:C4303,B1088,'Diseases'!D2:D4303,C1088)</f>
        <v>2970</v>
      </c>
      <c r="E1088" s="22" cm="1">
        <f t="array" ref="E1088">_xlfn.IFERROR(IF(INDEX('Diseases'!G2:G4303,MATCH(C1088,'Diseases'!D2:D4303,0))="","",INDEX('Diseases'!G2:G4303,MATCH(C1088,'Diseases'!D2:D4303,0))),"")</f>
        <v>5214931</v>
      </c>
      <c r="F1088" s="23" cm="1">
        <f t="array" ref="F1088">_xlfn.IFERROR(IF(E1088="","",D1088/E1088*100000),"")</f>
        <v>56.9518561223533</v>
      </c>
    </row>
    <row r="1089" ht="13.65" customHeight="1">
      <c r="A1089" t="s" s="20">
        <v>30</v>
      </c>
      <c r="B1089" t="s" s="21">
        <v>69</v>
      </c>
      <c r="C1089" t="s" s="21">
        <v>57</v>
      </c>
      <c r="D1089" s="22" cm="1">
        <f t="array" ref="D1089">_xlfn.SUMIFS('Diseases'!F2:F4303,'Diseases'!B2:B4303,A1089,'Diseases'!C2:C4303,B1089,'Diseases'!D2:D4303,C1089)</f>
        <v>1288</v>
      </c>
      <c r="E1089" s="22" cm="1">
        <f t="array" ref="E1089">_xlfn.IFERROR(IF(INDEX('Diseases'!G2:G4303,MATCH(C1089,'Diseases'!D2:D4303,0))="","",INDEX('Diseases'!G2:G4303,MATCH(C1089,'Diseases'!D2:D4303,0))),"")</f>
        <v>5214931</v>
      </c>
      <c r="F1089" s="23" cm="1">
        <f t="array" ref="F1089">_xlfn.IFERROR(IF(E1089="","",D1089/E1089*100000),"")</f>
        <v>24.6983133621519</v>
      </c>
    </row>
    <row r="1090" ht="13.65" customHeight="1">
      <c r="A1090" t="s" s="24">
        <v>34</v>
      </c>
      <c r="B1090" t="s" s="21">
        <v>69</v>
      </c>
      <c r="C1090" t="s" s="21">
        <v>57</v>
      </c>
      <c r="D1090" s="22" cm="1">
        <f t="array" ref="D1090">_xlfn.SUMIFS('Diseases'!F2:F4303,'Diseases'!B2:B4303,A1090,'Diseases'!C2:C4303,B1090,'Diseases'!D2:D4303,C1090)</f>
        <v>785</v>
      </c>
      <c r="E1090" s="22" cm="1">
        <f t="array" ref="E1090">_xlfn.IFERROR(IF(INDEX('Diseases'!G2:G4303,MATCH(C1090,'Diseases'!D2:D4303,0))="","",INDEX('Diseases'!G2:G4303,MATCH(C1090,'Diseases'!D2:D4303,0))),"")</f>
        <v>5214931</v>
      </c>
      <c r="F1090" s="23" cm="1">
        <f t="array" ref="F1090">_xlfn.IFERROR(IF(E1090="","",D1090/E1090*100000),"")</f>
        <v>15.0529316687028</v>
      </c>
    </row>
    <row r="1091" ht="13.65" customHeight="1">
      <c r="A1091" t="s" s="28">
        <v>41</v>
      </c>
      <c r="B1091" t="s" s="21">
        <v>69</v>
      </c>
      <c r="C1091" t="s" s="21">
        <v>57</v>
      </c>
      <c r="D1091" s="22" cm="1">
        <f t="array" ref="D1091">_xlfn.SUMIFS('Diseases'!F2:F4303,'Diseases'!B2:B4303,A1091,'Diseases'!C2:C4303,B1091,'Diseases'!D2:D4303,C1091)</f>
        <v>348</v>
      </c>
      <c r="E1091" s="22" cm="1">
        <f t="array" ref="E1091">_xlfn.IFERROR(IF(INDEX('Diseases'!G2:G4303,MATCH(C1091,'Diseases'!D2:D4303,0))="","",INDEX('Diseases'!G2:G4303,MATCH(C1091,'Diseases'!D2:D4303,0))),"")</f>
        <v>5214931</v>
      </c>
      <c r="F1091" s="23" cm="1">
        <f t="array" ref="F1091">_xlfn.IFERROR(IF(E1091="","",D1091/E1091*100000),"")</f>
        <v>6.67314677797271</v>
      </c>
    </row>
    <row r="1092" ht="13.65" customHeight="1">
      <c r="A1092" t="s" s="31">
        <v>45</v>
      </c>
      <c r="B1092" t="s" s="21">
        <v>69</v>
      </c>
      <c r="C1092" t="s" s="21">
        <v>57</v>
      </c>
      <c r="D1092" s="22" cm="1">
        <f t="array" ref="D1092">_xlfn.SUMIFS('Diseases'!F2:F4303,'Diseases'!B2:B4303,A1092,'Diseases'!C2:C4303,B1092,'Diseases'!D2:D4303,C1092)</f>
        <v>298</v>
      </c>
      <c r="E1092" s="22" cm="1">
        <f t="array" ref="E1092">_xlfn.IFERROR(IF(INDEX('Diseases'!G2:G4303,MATCH(C1092,'Diseases'!D2:D4303,0))="","",INDEX('Diseases'!G2:G4303,MATCH(C1092,'Diseases'!D2:D4303,0))),"")</f>
        <v>5214931</v>
      </c>
      <c r="F1092" s="23" cm="1">
        <f t="array" ref="F1092">_xlfn.IFERROR(IF(E1092="","",D1092/E1092*100000),"")</f>
        <v>5.71436132136744</v>
      </c>
    </row>
    <row r="1093" ht="13.65" customHeight="1">
      <c r="A1093" t="s" s="20">
        <v>30</v>
      </c>
      <c r="B1093" t="s" s="21">
        <v>70</v>
      </c>
      <c r="C1093" t="s" s="21">
        <v>57</v>
      </c>
      <c r="D1093" s="22" cm="1">
        <f t="array" ref="D1093">_xlfn.SUMIFS('Diseases'!F2:F4303,'Diseases'!B2:B4303,A1093,'Diseases'!C2:C4303,B1093,'Diseases'!D2:D4303,C1093)</f>
        <v>3222</v>
      </c>
      <c r="E1093" s="22" cm="1">
        <f t="array" ref="E1093">_xlfn.IFERROR(IF(INDEX('Diseases'!G2:G4303,MATCH(C1093,'Diseases'!D2:D4303,0))="","",INDEX('Diseases'!G2:G4303,MATCH(C1093,'Diseases'!D2:D4303,0))),"")</f>
        <v>5214931</v>
      </c>
      <c r="F1093" s="23" cm="1">
        <f t="array" ref="F1093">_xlfn.IFERROR(IF(E1093="","",D1093/E1093*100000),"")</f>
        <v>61.7841348236439</v>
      </c>
    </row>
    <row r="1094" ht="13.65" customHeight="1">
      <c r="A1094" t="s" s="25">
        <v>35</v>
      </c>
      <c r="B1094" t="s" s="21">
        <v>70</v>
      </c>
      <c r="C1094" t="s" s="21">
        <v>57</v>
      </c>
      <c r="D1094" s="22" cm="1">
        <f t="array" ref="D1094">_xlfn.SUMIFS('Diseases'!F2:F4303,'Diseases'!B2:B4303,A1094,'Diseases'!C2:C4303,B1094,'Diseases'!D2:D4303,C1094)</f>
        <v>951</v>
      </c>
      <c r="E1094" s="22" cm="1">
        <f t="array" ref="E1094">_xlfn.IFERROR(IF(INDEX('Diseases'!G2:G4303,MATCH(C1094,'Diseases'!D2:D4303,0))="","",INDEX('Diseases'!G2:G4303,MATCH(C1094,'Diseases'!D2:D4303,0))),"")</f>
        <v>5214931</v>
      </c>
      <c r="F1094" s="23" cm="1">
        <f t="array" ref="F1094">_xlfn.IFERROR(IF(E1094="","",D1094/E1094*100000),"")</f>
        <v>18.2360993846323</v>
      </c>
    </row>
    <row r="1095" ht="13.65" customHeight="1">
      <c r="A1095" t="s" s="24">
        <v>34</v>
      </c>
      <c r="B1095" t="s" s="21">
        <v>70</v>
      </c>
      <c r="C1095" t="s" s="21">
        <v>57</v>
      </c>
      <c r="D1095" s="22" cm="1">
        <f t="array" ref="D1095">_xlfn.SUMIFS('Diseases'!F2:F4303,'Diseases'!B2:B4303,A1095,'Diseases'!C2:C4303,B1095,'Diseases'!D2:D4303,C1095)</f>
        <v>640</v>
      </c>
      <c r="E1095" s="22" cm="1">
        <f t="array" ref="E1095">_xlfn.IFERROR(IF(INDEX('Diseases'!G2:G4303,MATCH(C1095,'Diseases'!D2:D4303,0))="","",INDEX('Diseases'!G2:G4303,MATCH(C1095,'Diseases'!D2:D4303,0))),"")</f>
        <v>5214931</v>
      </c>
      <c r="F1095" s="23" cm="1">
        <f t="array" ref="F1095">_xlfn.IFERROR(IF(E1095="","",D1095/E1095*100000),"")</f>
        <v>12.2724538445475</v>
      </c>
    </row>
    <row r="1096" ht="13.65" customHeight="1">
      <c r="A1096" t="s" s="27">
        <v>37</v>
      </c>
      <c r="B1096" t="s" s="21">
        <v>70</v>
      </c>
      <c r="C1096" t="s" s="21">
        <v>57</v>
      </c>
      <c r="D1096" s="22" cm="1">
        <f t="array" ref="D1096">_xlfn.SUMIFS('Diseases'!F2:F4303,'Diseases'!B2:B4303,A1096,'Diseases'!C2:C4303,B1096,'Diseases'!D2:D4303,C1096)</f>
        <v>276</v>
      </c>
      <c r="E1096" s="22" cm="1">
        <f t="array" ref="E1096">_xlfn.IFERROR(IF(INDEX('Diseases'!G2:G4303,MATCH(C1096,'Diseases'!D2:D4303,0))="","",INDEX('Diseases'!G2:G4303,MATCH(C1096,'Diseases'!D2:D4303,0))),"")</f>
        <v>5214931</v>
      </c>
      <c r="F1096" s="23" cm="1">
        <f t="array" ref="F1096">_xlfn.IFERROR(IF(E1096="","",D1096/E1096*100000),"")</f>
        <v>5.29249572046111</v>
      </c>
    </row>
    <row r="1097" ht="13.65" customHeight="1">
      <c r="A1097" t="s" s="29">
        <v>39</v>
      </c>
      <c r="B1097" t="s" s="21">
        <v>70</v>
      </c>
      <c r="C1097" t="s" s="21">
        <v>57</v>
      </c>
      <c r="D1097" s="22" cm="1">
        <f t="array" ref="D1097">_xlfn.SUMIFS('Diseases'!F2:F4303,'Diseases'!B2:B4303,A1097,'Diseases'!C2:C4303,B1097,'Diseases'!D2:D4303,C1097)</f>
        <v>211</v>
      </c>
      <c r="E1097" s="22" cm="1">
        <f t="array" ref="E1097">_xlfn.IFERROR(IF(INDEX('Diseases'!G2:G4303,MATCH(C1097,'Diseases'!D2:D4303,0))="","",INDEX('Diseases'!G2:G4303,MATCH(C1097,'Diseases'!D2:D4303,0))),"")</f>
        <v>5214931</v>
      </c>
      <c r="F1097" s="23" cm="1">
        <f t="array" ref="F1097">_xlfn.IFERROR(IF(E1097="","",D1097/E1097*100000),"")</f>
        <v>4.04607462687426</v>
      </c>
    </row>
    <row r="1098" ht="13.65" customHeight="1">
      <c r="A1098" t="s" s="20">
        <v>30</v>
      </c>
      <c r="B1098" t="s" s="21">
        <v>31</v>
      </c>
      <c r="C1098" t="s" s="21">
        <v>20</v>
      </c>
      <c r="D1098" s="22" cm="1">
        <f t="array" ref="D1098">_xlfn.SUMIFS('Diseases'!F2:F4303,'Diseases'!B2:B4303,A1098,'Diseases'!C2:C4303,B1098,'Diseases'!D2:D4303,C1098)</f>
        <v>9720</v>
      </c>
      <c r="E1098" s="22" cm="1">
        <f t="array" ref="E1098">_xlfn.IFERROR(IF(INDEX('Diseases'!G2:G4303,MATCH(C1098,'Diseases'!D2:D4303,0))="","",INDEX('Diseases'!G2:G4303,MATCH(C1098,'Diseases'!D2:D4303,0))),"")</f>
        <v>2889689</v>
      </c>
      <c r="F1098" s="23" cm="1">
        <f t="array" ref="F1098">_xlfn.IFERROR(IF(E1098="","",D1098/E1098*100000),"")</f>
        <v>336.368377358256</v>
      </c>
    </row>
    <row r="1099" ht="13.65" customHeight="1">
      <c r="A1099" t="s" s="29">
        <v>39</v>
      </c>
      <c r="B1099" t="s" s="21">
        <v>31</v>
      </c>
      <c r="C1099" t="s" s="21">
        <v>20</v>
      </c>
      <c r="D1099" s="22" cm="1">
        <f t="array" ref="D1099">_xlfn.SUMIFS('Diseases'!F2:F4303,'Diseases'!B2:B4303,A1099,'Diseases'!C2:C4303,B1099,'Diseases'!D2:D4303,C1099)</f>
        <v>2596</v>
      </c>
      <c r="E1099" s="22" cm="1">
        <f t="array" ref="E1099">_xlfn.IFERROR(IF(INDEX('Diseases'!G2:G4303,MATCH(C1099,'Diseases'!D2:D4303,0))="","",INDEX('Diseases'!G2:G4303,MATCH(C1099,'Diseases'!D2:D4303,0))),"")</f>
        <v>2889689</v>
      </c>
      <c r="F1099" s="23" cm="1">
        <f t="array" ref="F1099">_xlfn.IFERROR(IF(E1099="","",D1099/E1099*100000),"")</f>
        <v>89.8366571627604</v>
      </c>
    </row>
    <row r="1100" ht="13.65" customHeight="1">
      <c r="A1100" t="s" s="25">
        <v>35</v>
      </c>
      <c r="B1100" t="s" s="21">
        <v>31</v>
      </c>
      <c r="C1100" t="s" s="21">
        <v>20</v>
      </c>
      <c r="D1100" s="22" cm="1">
        <f t="array" ref="D1100">_xlfn.SUMIFS('Diseases'!F2:F4303,'Diseases'!B2:B4303,A1100,'Diseases'!C2:C4303,B1100,'Diseases'!D2:D4303,C1100)</f>
        <v>2433</v>
      </c>
      <c r="E1100" s="22" cm="1">
        <f t="array" ref="E1100">_xlfn.IFERROR(IF(INDEX('Diseases'!G2:G4303,MATCH(C1100,'Diseases'!D2:D4303,0))="","",INDEX('Diseases'!G2:G4303,MATCH(C1100,'Diseases'!D2:D4303,0))),"")</f>
        <v>2889689</v>
      </c>
      <c r="F1100" s="23" cm="1">
        <f t="array" ref="F1100">_xlfn.IFERROR(IF(E1100="","",D1100/E1100*100000),"")</f>
        <v>84.1959117399831</v>
      </c>
    </row>
    <row r="1101" ht="13.65" customHeight="1">
      <c r="A1101" t="s" s="24">
        <v>34</v>
      </c>
      <c r="B1101" t="s" s="21">
        <v>31</v>
      </c>
      <c r="C1101" t="s" s="21">
        <v>20</v>
      </c>
      <c r="D1101" s="22" cm="1">
        <f t="array" ref="D1101">_xlfn.SUMIFS('Diseases'!F2:F4303,'Diseases'!B2:B4303,A1101,'Diseases'!C2:C4303,B1101,'Diseases'!D2:D4303,C1101)</f>
        <v>1976</v>
      </c>
      <c r="E1101" s="22" cm="1">
        <f t="array" ref="E1101">_xlfn.IFERROR(IF(INDEX('Diseases'!G2:G4303,MATCH(C1101,'Diseases'!D2:D4303,0))="","",INDEX('Diseases'!G2:G4303,MATCH(C1101,'Diseases'!D2:D4303,0))),"")</f>
        <v>2889689</v>
      </c>
      <c r="F1101" s="23" cm="1">
        <f t="array" ref="F1101">_xlfn.IFERROR(IF(E1101="","",D1101/E1101*100000),"")</f>
        <v>68.38106107612271</v>
      </c>
    </row>
    <row r="1102" ht="13.65" customHeight="1">
      <c r="A1102" t="s" s="31">
        <v>45</v>
      </c>
      <c r="B1102" t="s" s="21">
        <v>31</v>
      </c>
      <c r="C1102" t="s" s="21">
        <v>20</v>
      </c>
      <c r="D1102" s="22" cm="1">
        <f t="array" ref="D1102">_xlfn.SUMIFS('Diseases'!F2:F4303,'Diseases'!B2:B4303,A1102,'Diseases'!C2:C4303,B1102,'Diseases'!D2:D4303,C1102)</f>
        <v>1412</v>
      </c>
      <c r="E1102" s="22" cm="1">
        <f t="array" ref="E1102">_xlfn.IFERROR(IF(INDEX('Diseases'!G2:G4303,MATCH(C1102,'Diseases'!D2:D4303,0))="","",INDEX('Diseases'!G2:G4303,MATCH(C1102,'Diseases'!D2:D4303,0))),"")</f>
        <v>2889689</v>
      </c>
      <c r="F1102" s="23" cm="1">
        <f t="array" ref="F1102">_xlfn.IFERROR(IF(E1102="","",D1102/E1102*100000),"")</f>
        <v>48.8633897973104</v>
      </c>
    </row>
    <row r="1103" ht="13.65" customHeight="1">
      <c r="A1103" t="s" s="27">
        <v>37</v>
      </c>
      <c r="B1103" t="s" s="21">
        <v>31</v>
      </c>
      <c r="C1103" t="s" s="21">
        <v>20</v>
      </c>
      <c r="D1103" s="22" cm="1">
        <f t="array" ref="D1103">_xlfn.SUMIFS('Diseases'!F2:F4303,'Diseases'!B2:B4303,A1103,'Diseases'!C2:C4303,B1103,'Diseases'!D2:D4303,C1103)</f>
        <v>1247</v>
      </c>
      <c r="E1103" s="22" cm="1">
        <f t="array" ref="E1103">_xlfn.IFERROR(IF(INDEX('Diseases'!G2:G4303,MATCH(C1103,'Diseases'!D2:D4303,0))="","",INDEX('Diseases'!G2:G4303,MATCH(C1103,'Diseases'!D2:D4303,0))),"")</f>
        <v>2889689</v>
      </c>
      <c r="F1103" s="23" cm="1">
        <f t="array" ref="F1103">_xlfn.IFERROR(IF(E1103="","",D1103/E1103*100000),"")</f>
        <v>43.1534327742536</v>
      </c>
    </row>
    <row r="1104" ht="13.65" customHeight="1">
      <c r="A1104" t="s" s="26">
        <v>36</v>
      </c>
      <c r="B1104" t="s" s="21">
        <v>31</v>
      </c>
      <c r="C1104" t="s" s="21">
        <v>20</v>
      </c>
      <c r="D1104" s="22" cm="1">
        <f t="array" ref="D1104">_xlfn.SUMIFS('Diseases'!F2:F4303,'Diseases'!B2:B4303,A1104,'Diseases'!C2:C4303,B1104,'Diseases'!D2:D4303,C1104)</f>
        <v>901</v>
      </c>
      <c r="E1104" s="22" cm="1">
        <f t="array" ref="E1104">_xlfn.IFERROR(IF(INDEX('Diseases'!G2:G4303,MATCH(C1104,'Diseases'!D2:D4303,0))="","",INDEX('Diseases'!G2:G4303,MATCH(C1104,'Diseases'!D2:D4303,0))),"")</f>
        <v>2889689</v>
      </c>
      <c r="F1104" s="23" cm="1">
        <f t="array" ref="F1104">_xlfn.IFERROR(IF(E1104="","",D1104/E1104*100000),"")</f>
        <v>31.1798259259041</v>
      </c>
    </row>
    <row r="1105" ht="13.65" customHeight="1">
      <c r="A1105" t="s" s="20">
        <v>30</v>
      </c>
      <c r="B1105" t="s" s="21">
        <v>60</v>
      </c>
      <c r="C1105" t="s" s="21">
        <v>20</v>
      </c>
      <c r="D1105" s="22" cm="1">
        <f t="array" ref="D1105">_xlfn.SUMIFS('Diseases'!F2:F4303,'Diseases'!B2:B4303,A1105,'Diseases'!C2:C4303,B1105,'Diseases'!D2:D4303,C1105)</f>
        <v>10294</v>
      </c>
      <c r="E1105" s="22" cm="1">
        <f t="array" ref="E1105">_xlfn.IFERROR(IF(INDEX('Diseases'!G2:G4303,MATCH(C1105,'Diseases'!D2:D4303,0))="","",INDEX('Diseases'!G2:G4303,MATCH(C1105,'Diseases'!D2:D4303,0))),"")</f>
        <v>2889689</v>
      </c>
      <c r="F1105" s="23" cm="1">
        <f t="array" ref="F1105">_xlfn.IFERROR(IF(E1105="","",D1105/E1105*100000),"")</f>
        <v>356.232106638465</v>
      </c>
    </row>
    <row r="1106" ht="13.65" customHeight="1">
      <c r="A1106" t="s" s="25">
        <v>35</v>
      </c>
      <c r="B1106" t="s" s="21">
        <v>60</v>
      </c>
      <c r="C1106" t="s" s="21">
        <v>20</v>
      </c>
      <c r="D1106" s="22" cm="1">
        <f t="array" ref="D1106">_xlfn.SUMIFS('Diseases'!F2:F4303,'Diseases'!B2:B4303,A1106,'Diseases'!C2:C4303,B1106,'Diseases'!D2:D4303,C1106)</f>
        <v>5691</v>
      </c>
      <c r="E1106" s="22" cm="1">
        <f t="array" ref="E1106">_xlfn.IFERROR(IF(INDEX('Diseases'!G2:G4303,MATCH(C1106,'Diseases'!D2:D4303,0))="","",INDEX('Diseases'!G2:G4303,MATCH(C1106,'Diseases'!D2:D4303,0))),"")</f>
        <v>2889689</v>
      </c>
      <c r="F1106" s="23" cm="1">
        <f t="array" ref="F1106">_xlfn.IFERROR(IF(E1106="","",D1106/E1106*100000),"")</f>
        <v>196.941608595250</v>
      </c>
    </row>
    <row r="1107" ht="13.65" customHeight="1">
      <c r="A1107" t="s" s="24">
        <v>34</v>
      </c>
      <c r="B1107" t="s" s="21">
        <v>60</v>
      </c>
      <c r="C1107" t="s" s="21">
        <v>20</v>
      </c>
      <c r="D1107" s="22" cm="1">
        <f t="array" ref="D1107">_xlfn.SUMIFS('Diseases'!F2:F4303,'Diseases'!B2:B4303,A1107,'Diseases'!C2:C4303,B1107,'Diseases'!D2:D4303,C1107)</f>
        <v>2355</v>
      </c>
      <c r="E1107" s="22" cm="1">
        <f t="array" ref="E1107">_xlfn.IFERROR(IF(INDEX('Diseases'!G2:G4303,MATCH(C1107,'Diseases'!D2:D4303,0))="","",INDEX('Diseases'!G2:G4303,MATCH(C1107,'Diseases'!D2:D4303,0))),"")</f>
        <v>2889689</v>
      </c>
      <c r="F1107" s="23" cm="1">
        <f t="array" ref="F1107">_xlfn.IFERROR(IF(E1107="","",D1107/E1107*100000),"")</f>
        <v>81.4966593290835</v>
      </c>
    </row>
    <row r="1108" ht="13.65" customHeight="1">
      <c r="A1108" t="s" s="29">
        <v>39</v>
      </c>
      <c r="B1108" t="s" s="21">
        <v>60</v>
      </c>
      <c r="C1108" t="s" s="21">
        <v>20</v>
      </c>
      <c r="D1108" s="22" cm="1">
        <f t="array" ref="D1108">_xlfn.SUMIFS('Diseases'!F2:F4303,'Diseases'!B2:B4303,A1108,'Diseases'!C2:C4303,B1108,'Diseases'!D2:D4303,C1108)</f>
        <v>2048</v>
      </c>
      <c r="E1108" s="22" cm="1">
        <f t="array" ref="E1108">_xlfn.IFERROR(IF(INDEX('Diseases'!G2:G4303,MATCH(C1108,'Diseases'!D2:D4303,0))="","",INDEX('Diseases'!G2:G4303,MATCH(C1108,'Diseases'!D2:D4303,0))),"")</f>
        <v>2889689</v>
      </c>
      <c r="F1108" s="23" cm="1">
        <f t="array" ref="F1108">_xlfn.IFERROR(IF(E1108="","",D1108/E1108*100000),"")</f>
        <v>70.8726786861839</v>
      </c>
    </row>
    <row r="1109" ht="13.65" customHeight="1">
      <c r="A1109" t="s" s="27">
        <v>37</v>
      </c>
      <c r="B1109" t="s" s="21">
        <v>60</v>
      </c>
      <c r="C1109" t="s" s="21">
        <v>20</v>
      </c>
      <c r="D1109" s="22" cm="1">
        <f t="array" ref="D1109">_xlfn.SUMIFS('Diseases'!F2:F4303,'Diseases'!B2:B4303,A1109,'Diseases'!C2:C4303,B1109,'Diseases'!D2:D4303,C1109)</f>
        <v>1802</v>
      </c>
      <c r="E1109" s="22" cm="1">
        <f t="array" ref="E1109">_xlfn.IFERROR(IF(INDEX('Diseases'!G2:G4303,MATCH(C1109,'Diseases'!D2:D4303,0))="","",INDEX('Diseases'!G2:G4303,MATCH(C1109,'Diseases'!D2:D4303,0))),"")</f>
        <v>2889689</v>
      </c>
      <c r="F1109" s="23" cm="1">
        <f t="array" ref="F1109">_xlfn.IFERROR(IF(E1109="","",D1109/E1109*100000),"")</f>
        <v>62.3596518518083</v>
      </c>
    </row>
    <row r="1110" ht="13.65" customHeight="1">
      <c r="A1110" t="s" s="26">
        <v>36</v>
      </c>
      <c r="B1110" t="s" s="21">
        <v>60</v>
      </c>
      <c r="C1110" t="s" s="21">
        <v>20</v>
      </c>
      <c r="D1110" s="22" cm="1">
        <f t="array" ref="D1110">_xlfn.SUMIFS('Diseases'!F2:F4303,'Diseases'!B2:B4303,A1110,'Diseases'!C2:C4303,B1110,'Diseases'!D2:D4303,C1110)</f>
        <v>1030</v>
      </c>
      <c r="E1110" s="22" cm="1">
        <f t="array" ref="E1110">_xlfn.IFERROR(IF(INDEX('Diseases'!G2:G4303,MATCH(C1110,'Diseases'!D2:D4303,0))="","",INDEX('Diseases'!G2:G4303,MATCH(C1110,'Diseases'!D2:D4303,0))),"")</f>
        <v>2889689</v>
      </c>
      <c r="F1110" s="23" cm="1">
        <f t="array" ref="F1110">_xlfn.IFERROR(IF(E1110="","",D1110/E1110*100000),"")</f>
        <v>35.6439741439304</v>
      </c>
    </row>
    <row r="1111" ht="13.65" customHeight="1">
      <c r="A1111" t="s" s="31">
        <v>45</v>
      </c>
      <c r="B1111" t="s" s="21">
        <v>60</v>
      </c>
      <c r="C1111" t="s" s="21">
        <v>20</v>
      </c>
      <c r="D1111" s="22" cm="1">
        <f t="array" ref="D1111">_xlfn.SUMIFS('Diseases'!F2:F4303,'Diseases'!B2:B4303,A1111,'Diseases'!C2:C4303,B1111,'Diseases'!D2:D4303,C1111)</f>
        <v>496</v>
      </c>
      <c r="E1111" s="22" cm="1">
        <f t="array" ref="E1111">_xlfn.IFERROR(IF(INDEX('Diseases'!G2:G4303,MATCH(C1111,'Diseases'!D2:D4303,0))="","",INDEX('Diseases'!G2:G4303,MATCH(C1111,'Diseases'!D2:D4303,0))),"")</f>
        <v>2889689</v>
      </c>
      <c r="F1111" s="23" cm="1">
        <f t="array" ref="F1111">_xlfn.IFERROR(IF(E1111="","",D1111/E1111*100000),"")</f>
        <v>17.1644768693102</v>
      </c>
    </row>
    <row r="1112" ht="13.65" customHeight="1">
      <c r="A1112" t="s" s="20">
        <v>30</v>
      </c>
      <c r="B1112" t="s" s="21">
        <v>61</v>
      </c>
      <c r="C1112" t="s" s="21">
        <v>20</v>
      </c>
      <c r="D1112" s="22" cm="1">
        <f t="array" ref="D1112">_xlfn.SUMIFS('Diseases'!F2:F4303,'Diseases'!B2:B4303,A1112,'Diseases'!C2:C4303,B1112,'Diseases'!D2:D4303,C1112)</f>
        <v>7704</v>
      </c>
      <c r="E1112" s="22" cm="1">
        <f t="array" ref="E1112">_xlfn.IFERROR(IF(INDEX('Diseases'!G2:G4303,MATCH(C1112,'Diseases'!D2:D4303,0))="","",INDEX('Diseases'!G2:G4303,MATCH(C1112,'Diseases'!D2:D4303,0))),"")</f>
        <v>2889689</v>
      </c>
      <c r="F1112" s="23" cm="1">
        <f t="array" ref="F1112">_xlfn.IFERROR(IF(E1112="","",D1112/E1112*100000),"")</f>
        <v>266.603084276543</v>
      </c>
    </row>
    <row r="1113" ht="13.65" customHeight="1">
      <c r="A1113" t="s" s="25">
        <v>35</v>
      </c>
      <c r="B1113" t="s" s="21">
        <v>61</v>
      </c>
      <c r="C1113" t="s" s="21">
        <v>20</v>
      </c>
      <c r="D1113" s="22" cm="1">
        <f t="array" ref="D1113">_xlfn.SUMIFS('Diseases'!F2:F4303,'Diseases'!B2:B4303,A1113,'Diseases'!C2:C4303,B1113,'Diseases'!D2:D4303,C1113)</f>
        <v>2415</v>
      </c>
      <c r="E1113" s="22" cm="1">
        <f t="array" ref="E1113">_xlfn.IFERROR(IF(INDEX('Diseases'!G2:G4303,MATCH(C1113,'Diseases'!D2:D4303,0))="","",INDEX('Diseases'!G2:G4303,MATCH(C1113,'Diseases'!D2:D4303,0))),"")</f>
        <v>2889689</v>
      </c>
      <c r="F1113" s="23" cm="1">
        <f t="array" ref="F1113">_xlfn.IFERROR(IF(E1113="","",D1113/E1113*100000),"")</f>
        <v>83.5730073374678</v>
      </c>
    </row>
    <row r="1114" ht="13.65" customHeight="1">
      <c r="A1114" t="s" s="24">
        <v>34</v>
      </c>
      <c r="B1114" t="s" s="21">
        <v>61</v>
      </c>
      <c r="C1114" t="s" s="21">
        <v>20</v>
      </c>
      <c r="D1114" s="22" cm="1">
        <f t="array" ref="D1114">_xlfn.SUMIFS('Diseases'!F2:F4303,'Diseases'!B2:B4303,A1114,'Diseases'!C2:C4303,B1114,'Diseases'!D2:D4303,C1114)</f>
        <v>2003</v>
      </c>
      <c r="E1114" s="22" cm="1">
        <f t="array" ref="E1114">_xlfn.IFERROR(IF(INDEX('Diseases'!G2:G4303,MATCH(C1114,'Diseases'!D2:D4303,0))="","",INDEX('Diseases'!G2:G4303,MATCH(C1114,'Diseases'!D2:D4303,0))),"")</f>
        <v>2889689</v>
      </c>
      <c r="F1114" s="23" cm="1">
        <f t="array" ref="F1114">_xlfn.IFERROR(IF(E1114="","",D1114/E1114*100000),"")</f>
        <v>69.3154176798957</v>
      </c>
    </row>
    <row r="1115" ht="13.65" customHeight="1">
      <c r="A1115" t="s" s="31">
        <v>45</v>
      </c>
      <c r="B1115" t="s" s="21">
        <v>61</v>
      </c>
      <c r="C1115" t="s" s="21">
        <v>20</v>
      </c>
      <c r="D1115" s="22" cm="1">
        <f t="array" ref="D1115">_xlfn.SUMIFS('Diseases'!F2:F4303,'Diseases'!B2:B4303,A1115,'Diseases'!C2:C4303,B1115,'Diseases'!D2:D4303,C1115)</f>
        <v>1521</v>
      </c>
      <c r="E1115" s="22" cm="1">
        <f t="array" ref="E1115">_xlfn.IFERROR(IF(INDEX('Diseases'!G2:G4303,MATCH(C1115,'Diseases'!D2:D4303,0))="","",INDEX('Diseases'!G2:G4303,MATCH(C1115,'Diseases'!D2:D4303,0))),"")</f>
        <v>2889689</v>
      </c>
      <c r="F1115" s="23" cm="1">
        <f t="array" ref="F1115">_xlfn.IFERROR(IF(E1115="","",D1115/E1115*100000),"")</f>
        <v>52.6354220125418</v>
      </c>
    </row>
    <row r="1116" ht="13.65" customHeight="1">
      <c r="A1116" t="s" s="27">
        <v>37</v>
      </c>
      <c r="B1116" t="s" s="21">
        <v>61</v>
      </c>
      <c r="C1116" t="s" s="21">
        <v>20</v>
      </c>
      <c r="D1116" s="22" cm="1">
        <f t="array" ref="D1116">_xlfn.SUMIFS('Diseases'!F2:F4303,'Diseases'!B2:B4303,A1116,'Diseases'!C2:C4303,B1116,'Diseases'!D2:D4303,C1116)</f>
        <v>692</v>
      </c>
      <c r="E1116" s="22" cm="1">
        <f t="array" ref="E1116">_xlfn.IFERROR(IF(INDEX('Diseases'!G2:G4303,MATCH(C1116,'Diseases'!D2:D4303,0))="","",INDEX('Diseases'!G2:G4303,MATCH(C1116,'Diseases'!D2:D4303,0))),"")</f>
        <v>2889689</v>
      </c>
      <c r="F1116" s="23" cm="1">
        <f t="array" ref="F1116">_xlfn.IFERROR(IF(E1116="","",D1116/E1116*100000),"")</f>
        <v>23.9472136966988</v>
      </c>
    </row>
    <row r="1117" ht="13.65" customHeight="1">
      <c r="A1117" t="s" s="25">
        <v>35</v>
      </c>
      <c r="B1117" t="s" s="21">
        <v>62</v>
      </c>
      <c r="C1117" t="s" s="21">
        <v>20</v>
      </c>
      <c r="D1117" s="22" cm="1">
        <f t="array" ref="D1117">_xlfn.SUMIFS('Diseases'!F2:F4303,'Diseases'!B2:B4303,A1117,'Diseases'!C2:C4303,B1117,'Diseases'!D2:D4303,C1117)</f>
        <v>12000</v>
      </c>
      <c r="E1117" s="22" cm="1">
        <f t="array" ref="E1117">_xlfn.IFERROR(IF(INDEX('Diseases'!G2:G4303,MATCH(C1117,'Diseases'!D2:D4303,0))="","",INDEX('Diseases'!G2:G4303,MATCH(C1117,'Diseases'!D2:D4303,0))),"")</f>
        <v>2889689</v>
      </c>
      <c r="F1117" s="23" cm="1">
        <f t="array" ref="F1117">_xlfn.IFERROR(IF(E1117="","",D1117/E1117*100000),"")</f>
        <v>415.269601676859</v>
      </c>
    </row>
    <row r="1118" ht="13.65" customHeight="1">
      <c r="A1118" t="s" s="20">
        <v>30</v>
      </c>
      <c r="B1118" t="s" s="21">
        <v>62</v>
      </c>
      <c r="C1118" t="s" s="21">
        <v>20</v>
      </c>
      <c r="D1118" s="22" cm="1">
        <f t="array" ref="D1118">_xlfn.SUMIFS('Diseases'!F2:F4303,'Diseases'!B2:B4303,A1118,'Diseases'!C2:C4303,B1118,'Diseases'!D2:D4303,C1118)</f>
        <v>8895</v>
      </c>
      <c r="E1118" s="22" cm="1">
        <f t="array" ref="E1118">_xlfn.IFERROR(IF(INDEX('Diseases'!G2:G4303,MATCH(C1118,'Diseases'!D2:D4303,0))="","",INDEX('Diseases'!G2:G4303,MATCH(C1118,'Diseases'!D2:D4303,0))),"")</f>
        <v>2889689</v>
      </c>
      <c r="F1118" s="23" cm="1">
        <f t="array" ref="F1118">_xlfn.IFERROR(IF(E1118="","",D1118/E1118*100000),"")</f>
        <v>307.818592242971</v>
      </c>
    </row>
    <row r="1119" ht="13.65" customHeight="1">
      <c r="A1119" t="s" s="24">
        <v>34</v>
      </c>
      <c r="B1119" t="s" s="21">
        <v>62</v>
      </c>
      <c r="C1119" t="s" s="21">
        <v>20</v>
      </c>
      <c r="D1119" s="22" cm="1">
        <f t="array" ref="D1119">_xlfn.SUMIFS('Diseases'!F2:F4303,'Diseases'!B2:B4303,A1119,'Diseases'!C2:C4303,B1119,'Diseases'!D2:D4303,C1119)</f>
        <v>4410</v>
      </c>
      <c r="E1119" s="22" cm="1">
        <f t="array" ref="E1119">_xlfn.IFERROR(IF(INDEX('Diseases'!G2:G4303,MATCH(C1119,'Diseases'!D2:D4303,0))="","",INDEX('Diseases'!G2:G4303,MATCH(C1119,'Diseases'!D2:D4303,0))),"")</f>
        <v>2889689</v>
      </c>
      <c r="F1119" s="23" cm="1">
        <f t="array" ref="F1119">_xlfn.IFERROR(IF(E1119="","",D1119/E1119*100000),"")</f>
        <v>152.611578616246</v>
      </c>
    </row>
    <row r="1120" ht="13.65" customHeight="1">
      <c r="A1120" t="s" s="29">
        <v>39</v>
      </c>
      <c r="B1120" t="s" s="21">
        <v>62</v>
      </c>
      <c r="C1120" t="s" s="21">
        <v>20</v>
      </c>
      <c r="D1120" s="22" cm="1">
        <f t="array" ref="D1120">_xlfn.SUMIFS('Diseases'!F2:F4303,'Diseases'!B2:B4303,A1120,'Diseases'!C2:C4303,B1120,'Diseases'!D2:D4303,C1120)</f>
        <v>2145</v>
      </c>
      <c r="E1120" s="22" cm="1">
        <f t="array" ref="E1120">_xlfn.IFERROR(IF(INDEX('Diseases'!G2:G4303,MATCH(C1120,'Diseases'!D2:D4303,0))="","",INDEX('Diseases'!G2:G4303,MATCH(C1120,'Diseases'!D2:D4303,0))),"")</f>
        <v>2889689</v>
      </c>
      <c r="F1120" s="23" cm="1">
        <f t="array" ref="F1120">_xlfn.IFERROR(IF(E1120="","",D1120/E1120*100000),"")</f>
        <v>74.2294412997385</v>
      </c>
    </row>
    <row r="1121" ht="13.65" customHeight="1">
      <c r="A1121" t="s" s="28">
        <v>41</v>
      </c>
      <c r="B1121" t="s" s="21">
        <v>62</v>
      </c>
      <c r="C1121" t="s" s="21">
        <v>20</v>
      </c>
      <c r="D1121" s="22" cm="1">
        <f t="array" ref="D1121">_xlfn.SUMIFS('Diseases'!F2:F4303,'Diseases'!B2:B4303,A1121,'Diseases'!C2:C4303,B1121,'Diseases'!D2:D4303,C1121)</f>
        <v>1875</v>
      </c>
      <c r="E1121" s="22" cm="1">
        <f t="array" ref="E1121">_xlfn.IFERROR(IF(INDEX('Diseases'!G2:G4303,MATCH(C1121,'Diseases'!D2:D4303,0))="","",INDEX('Diseases'!G2:G4303,MATCH(C1121,'Diseases'!D2:D4303,0))),"")</f>
        <v>2889689</v>
      </c>
      <c r="F1121" s="23" cm="1">
        <f t="array" ref="F1121">_xlfn.IFERROR(IF(E1121="","",D1121/E1121*100000),"")</f>
        <v>64.88587526200919</v>
      </c>
    </row>
    <row r="1122" ht="13.65" customHeight="1">
      <c r="A1122" t="s" s="26">
        <v>36</v>
      </c>
      <c r="B1122" t="s" s="21">
        <v>62</v>
      </c>
      <c r="C1122" t="s" s="21">
        <v>20</v>
      </c>
      <c r="D1122" s="22" cm="1">
        <f t="array" ref="D1122">_xlfn.SUMIFS('Diseases'!F2:F4303,'Diseases'!B2:B4303,A1122,'Diseases'!C2:C4303,B1122,'Diseases'!D2:D4303,C1122)</f>
        <v>1200</v>
      </c>
      <c r="E1122" s="22" cm="1">
        <f t="array" ref="E1122">_xlfn.IFERROR(IF(INDEX('Diseases'!G2:G4303,MATCH(C1122,'Diseases'!D2:D4303,0))="","",INDEX('Diseases'!G2:G4303,MATCH(C1122,'Diseases'!D2:D4303,0))),"")</f>
        <v>2889689</v>
      </c>
      <c r="F1122" s="23" cm="1">
        <f t="array" ref="F1122">_xlfn.IFERROR(IF(E1122="","",D1122/E1122*100000),"")</f>
        <v>41.5269601676859</v>
      </c>
    </row>
    <row r="1123" ht="13.65" customHeight="1">
      <c r="A1123" t="s" s="27">
        <v>37</v>
      </c>
      <c r="B1123" t="s" s="21">
        <v>62</v>
      </c>
      <c r="C1123" t="s" s="21">
        <v>20</v>
      </c>
      <c r="D1123" s="22" cm="1">
        <f t="array" ref="D1123">_xlfn.SUMIFS('Diseases'!F2:F4303,'Diseases'!B2:B4303,A1123,'Diseases'!C2:C4303,B1123,'Diseases'!D2:D4303,C1123)</f>
        <v>1170</v>
      </c>
      <c r="E1123" s="22" cm="1">
        <f t="array" ref="E1123">_xlfn.IFERROR(IF(INDEX('Diseases'!G2:G4303,MATCH(C1123,'Diseases'!D2:D4303,0))="","",INDEX('Diseases'!G2:G4303,MATCH(C1123,'Diseases'!D2:D4303,0))),"")</f>
        <v>2889689</v>
      </c>
      <c r="F1123" s="23" cm="1">
        <f t="array" ref="F1123">_xlfn.IFERROR(IF(E1123="","",D1123/E1123*100000),"")</f>
        <v>40.4887861634937</v>
      </c>
    </row>
    <row r="1124" ht="13.65" customHeight="1">
      <c r="A1124" t="s" s="20">
        <v>30</v>
      </c>
      <c r="B1124" t="s" s="21">
        <v>63</v>
      </c>
      <c r="C1124" t="s" s="21">
        <v>20</v>
      </c>
      <c r="D1124" s="22" cm="1">
        <f t="array" ref="D1124">_xlfn.SUMIFS('Diseases'!F2:F4303,'Diseases'!B2:B4303,A1124,'Diseases'!C2:C4303,B1124,'Diseases'!D2:D4303,C1124)</f>
        <v>4715</v>
      </c>
      <c r="E1124" s="22" cm="1">
        <f t="array" ref="E1124">_xlfn.IFERROR(IF(INDEX('Diseases'!G2:G4303,MATCH(C1124,'Diseases'!D2:D4303,0))="","",INDEX('Diseases'!G2:G4303,MATCH(C1124,'Diseases'!D2:D4303,0))),"")</f>
        <v>2889689</v>
      </c>
      <c r="F1124" s="23" cm="1">
        <f t="array" ref="F1124">_xlfn.IFERROR(IF(E1124="","",D1124/E1124*100000),"")</f>
        <v>163.166347658866</v>
      </c>
    </row>
    <row r="1125" ht="13.65" customHeight="1">
      <c r="A1125" t="s" s="25">
        <v>35</v>
      </c>
      <c r="B1125" t="s" s="21">
        <v>63</v>
      </c>
      <c r="C1125" t="s" s="21">
        <v>20</v>
      </c>
      <c r="D1125" s="22" cm="1">
        <f t="array" ref="D1125">_xlfn.SUMIFS('Diseases'!F2:F4303,'Diseases'!B2:B4303,A1125,'Diseases'!C2:C4303,B1125,'Diseases'!D2:D4303,C1125)</f>
        <v>2772</v>
      </c>
      <c r="E1125" s="22" cm="1">
        <f t="array" ref="E1125">_xlfn.IFERROR(IF(INDEX('Diseases'!G2:G4303,MATCH(C1125,'Diseases'!D2:D4303,0))="","",INDEX('Diseases'!G2:G4303,MATCH(C1125,'Diseases'!D2:D4303,0))),"")</f>
        <v>2889689</v>
      </c>
      <c r="F1125" s="23" cm="1">
        <f t="array" ref="F1125">_xlfn.IFERROR(IF(E1125="","",D1125/E1125*100000),"")</f>
        <v>95.9272779873543</v>
      </c>
    </row>
    <row r="1126" ht="13.65" customHeight="1">
      <c r="A1126" t="s" s="29">
        <v>39</v>
      </c>
      <c r="B1126" t="s" s="21">
        <v>63</v>
      </c>
      <c r="C1126" t="s" s="21">
        <v>20</v>
      </c>
      <c r="D1126" s="22" cm="1">
        <f t="array" ref="D1126">_xlfn.SUMIFS('Diseases'!F2:F4303,'Diseases'!B2:B4303,A1126,'Diseases'!C2:C4303,B1126,'Diseases'!D2:D4303,C1126)</f>
        <v>1525</v>
      </c>
      <c r="E1126" s="22" cm="1">
        <f t="array" ref="E1126">_xlfn.IFERROR(IF(INDEX('Diseases'!G2:G4303,MATCH(C1126,'Diseases'!D2:D4303,0))="","",INDEX('Diseases'!G2:G4303,MATCH(C1126,'Diseases'!D2:D4303,0))),"")</f>
        <v>2889689</v>
      </c>
      <c r="F1126" s="23" cm="1">
        <f t="array" ref="F1126">_xlfn.IFERROR(IF(E1126="","",D1126/E1126*100000),"")</f>
        <v>52.7738452131008</v>
      </c>
    </row>
    <row r="1127" ht="13.65" customHeight="1">
      <c r="A1127" t="s" s="24">
        <v>34</v>
      </c>
      <c r="B1127" t="s" s="21">
        <v>63</v>
      </c>
      <c r="C1127" t="s" s="21">
        <v>20</v>
      </c>
      <c r="D1127" s="22" cm="1">
        <f t="array" ref="D1127">_xlfn.SUMIFS('Diseases'!F2:F4303,'Diseases'!B2:B4303,A1127,'Diseases'!C2:C4303,B1127,'Diseases'!D2:D4303,C1127)</f>
        <v>1196</v>
      </c>
      <c r="E1127" s="22" cm="1">
        <f t="array" ref="E1127">_xlfn.IFERROR(IF(INDEX('Diseases'!G2:G4303,MATCH(C1127,'Diseases'!D2:D4303,0))="","",INDEX('Diseases'!G2:G4303,MATCH(C1127,'Diseases'!D2:D4303,0))),"")</f>
        <v>2889689</v>
      </c>
      <c r="F1127" s="23" cm="1">
        <f t="array" ref="F1127">_xlfn.IFERROR(IF(E1127="","",D1127/E1127*100000),"")</f>
        <v>41.3885369671269</v>
      </c>
    </row>
    <row r="1128" ht="13.65" customHeight="1">
      <c r="A1128" t="s" s="31">
        <v>45</v>
      </c>
      <c r="B1128" t="s" s="21">
        <v>63</v>
      </c>
      <c r="C1128" t="s" s="21">
        <v>20</v>
      </c>
      <c r="D1128" s="22" cm="1">
        <f t="array" ref="D1128">_xlfn.SUMIFS('Diseases'!F2:F4303,'Diseases'!B2:B4303,A1128,'Diseases'!C2:C4303,B1128,'Diseases'!D2:D4303,C1128)</f>
        <v>875</v>
      </c>
      <c r="E1128" s="22" cm="1">
        <f t="array" ref="E1128">_xlfn.IFERROR(IF(INDEX('Diseases'!G2:G4303,MATCH(C1128,'Diseases'!D2:D4303,0))="","",INDEX('Diseases'!G2:G4303,MATCH(C1128,'Diseases'!D2:D4303,0))),"")</f>
        <v>2889689</v>
      </c>
      <c r="F1128" s="23" cm="1">
        <f t="array" ref="F1128">_xlfn.IFERROR(IF(E1128="","",D1128/E1128*100000),"")</f>
        <v>30.2800751222709</v>
      </c>
    </row>
    <row r="1129" ht="13.65" customHeight="1">
      <c r="A1129" t="s" s="26">
        <v>36</v>
      </c>
      <c r="B1129" t="s" s="21">
        <v>63</v>
      </c>
      <c r="C1129" t="s" s="21">
        <v>20</v>
      </c>
      <c r="D1129" s="22" cm="1">
        <f t="array" ref="D1129">_xlfn.SUMIFS('Diseases'!F2:F4303,'Diseases'!B2:B4303,A1129,'Diseases'!C2:C4303,B1129,'Diseases'!D2:D4303,C1129)</f>
        <v>595</v>
      </c>
      <c r="E1129" s="22" cm="1">
        <f t="array" ref="E1129">_xlfn.IFERROR(IF(INDEX('Diseases'!G2:G4303,MATCH(C1129,'Diseases'!D2:D4303,0))="","",INDEX('Diseases'!G2:G4303,MATCH(C1129,'Diseases'!D2:D4303,0))),"")</f>
        <v>2889689</v>
      </c>
      <c r="F1129" s="23" cm="1">
        <f t="array" ref="F1129">_xlfn.IFERROR(IF(E1129="","",D1129/E1129*100000),"")</f>
        <v>20.5904510831442</v>
      </c>
    </row>
    <row r="1130" ht="13.65" customHeight="1">
      <c r="A1130" t="s" s="27">
        <v>37</v>
      </c>
      <c r="B1130" t="s" s="21">
        <v>63</v>
      </c>
      <c r="C1130" t="s" s="21">
        <v>20</v>
      </c>
      <c r="D1130" s="22" cm="1">
        <f t="array" ref="D1130">_xlfn.SUMIFS('Diseases'!F2:F4303,'Diseases'!B2:B4303,A1130,'Diseases'!C2:C4303,B1130,'Diseases'!D2:D4303,C1130)</f>
        <v>488</v>
      </c>
      <c r="E1130" s="22" cm="1">
        <f t="array" ref="E1130">_xlfn.IFERROR(IF(INDEX('Diseases'!G2:G4303,MATCH(C1130,'Diseases'!D2:D4303,0))="","",INDEX('Diseases'!G2:G4303,MATCH(C1130,'Diseases'!D2:D4303,0))),"")</f>
        <v>2889689</v>
      </c>
      <c r="F1130" s="23" cm="1">
        <f t="array" ref="F1130">_xlfn.IFERROR(IF(E1130="","",D1130/E1130*100000),"")</f>
        <v>16.8876304681923</v>
      </c>
    </row>
    <row r="1131" ht="13.65" customHeight="1">
      <c r="A1131" t="s" s="25">
        <v>35</v>
      </c>
      <c r="B1131" t="s" s="21">
        <v>64</v>
      </c>
      <c r="C1131" t="s" s="21">
        <v>20</v>
      </c>
      <c r="D1131" s="22" cm="1">
        <f t="array" ref="D1131">_xlfn.SUMIFS('Diseases'!F2:F4303,'Diseases'!B2:B4303,A1131,'Diseases'!C2:C4303,B1131,'Diseases'!D2:D4303,C1131)</f>
        <v>5390</v>
      </c>
      <c r="E1131" s="22" cm="1">
        <f t="array" ref="E1131">_xlfn.IFERROR(IF(INDEX('Diseases'!G2:G4303,MATCH(C1131,'Diseases'!D2:D4303,0))="","",INDEX('Diseases'!G2:G4303,MATCH(C1131,'Diseases'!D2:D4303,0))),"")</f>
        <v>2889689</v>
      </c>
      <c r="F1131" s="23" cm="1">
        <f t="array" ref="F1131">_xlfn.IFERROR(IF(E1131="","",D1131/E1131*100000),"")</f>
        <v>186.525262753189</v>
      </c>
    </row>
    <row r="1132" ht="13.65" customHeight="1">
      <c r="A1132" t="s" s="20">
        <v>30</v>
      </c>
      <c r="B1132" t="s" s="21">
        <v>64</v>
      </c>
      <c r="C1132" t="s" s="21">
        <v>20</v>
      </c>
      <c r="D1132" s="22" cm="1">
        <f t="array" ref="D1132">_xlfn.SUMIFS('Diseases'!F2:F4303,'Diseases'!B2:B4303,A1132,'Diseases'!C2:C4303,B1132,'Diseases'!D2:D4303,C1132)</f>
        <v>5139</v>
      </c>
      <c r="E1132" s="22" cm="1">
        <f t="array" ref="E1132">_xlfn.IFERROR(IF(INDEX('Diseases'!G2:G4303,MATCH(C1132,'Diseases'!D2:D4303,0))="","",INDEX('Diseases'!G2:G4303,MATCH(C1132,'Diseases'!D2:D4303,0))),"")</f>
        <v>2889689</v>
      </c>
      <c r="F1132" s="23" cm="1">
        <f t="array" ref="F1132">_xlfn.IFERROR(IF(E1132="","",D1132/E1132*100000),"")</f>
        <v>177.839206918115</v>
      </c>
    </row>
    <row r="1133" ht="13.65" customHeight="1">
      <c r="A1133" t="s" s="24">
        <v>34</v>
      </c>
      <c r="B1133" t="s" s="21">
        <v>64</v>
      </c>
      <c r="C1133" t="s" s="21">
        <v>20</v>
      </c>
      <c r="D1133" s="22" cm="1">
        <f t="array" ref="D1133">_xlfn.SUMIFS('Diseases'!F2:F4303,'Diseases'!B2:B4303,A1133,'Diseases'!C2:C4303,B1133,'Diseases'!D2:D4303,C1133)</f>
        <v>1966</v>
      </c>
      <c r="E1133" s="22" cm="1">
        <f t="array" ref="E1133">_xlfn.IFERROR(IF(INDEX('Diseases'!G2:G4303,MATCH(C1133,'Diseases'!D2:D4303,0))="","",INDEX('Diseases'!G2:G4303,MATCH(C1133,'Diseases'!D2:D4303,0))),"")</f>
        <v>2889689</v>
      </c>
      <c r="F1133" s="23" cm="1">
        <f t="array" ref="F1133">_xlfn.IFERROR(IF(E1133="","",D1133/E1133*100000),"")</f>
        <v>68.0350030747253</v>
      </c>
    </row>
    <row r="1134" ht="13.65" customHeight="1">
      <c r="A1134" t="s" s="29">
        <v>39</v>
      </c>
      <c r="B1134" t="s" s="21">
        <v>64</v>
      </c>
      <c r="C1134" t="s" s="21">
        <v>20</v>
      </c>
      <c r="D1134" s="22" cm="1">
        <f t="array" ref="D1134">_xlfn.SUMIFS('Diseases'!F2:F4303,'Diseases'!B2:B4303,A1134,'Diseases'!C2:C4303,B1134,'Diseases'!D2:D4303,C1134)</f>
        <v>1665</v>
      </c>
      <c r="E1134" s="22" cm="1">
        <f t="array" ref="E1134">_xlfn.IFERROR(IF(INDEX('Diseases'!G2:G4303,MATCH(C1134,'Diseases'!D2:D4303,0))="","",INDEX('Diseases'!G2:G4303,MATCH(C1134,'Diseases'!D2:D4303,0))),"")</f>
        <v>2889689</v>
      </c>
      <c r="F1134" s="23" cm="1">
        <f t="array" ref="F1134">_xlfn.IFERROR(IF(E1134="","",D1134/E1134*100000),"")</f>
        <v>57.6186572326641</v>
      </c>
    </row>
    <row r="1135" ht="13.65" customHeight="1">
      <c r="A1135" t="s" s="27">
        <v>37</v>
      </c>
      <c r="B1135" t="s" s="21">
        <v>64</v>
      </c>
      <c r="C1135" t="s" s="21">
        <v>20</v>
      </c>
      <c r="D1135" s="22" cm="1">
        <f t="array" ref="D1135">_xlfn.SUMIFS('Diseases'!F2:F4303,'Diseases'!B2:B4303,A1135,'Diseases'!C2:C4303,B1135,'Diseases'!D2:D4303,C1135)</f>
        <v>1350</v>
      </c>
      <c r="E1135" s="22" cm="1">
        <f t="array" ref="E1135">_xlfn.IFERROR(IF(INDEX('Diseases'!G2:G4303,MATCH(C1135,'Diseases'!D2:D4303,0))="","",INDEX('Diseases'!G2:G4303,MATCH(C1135,'Diseases'!D2:D4303,0))),"")</f>
        <v>2889689</v>
      </c>
      <c r="F1135" s="23" cm="1">
        <f t="array" ref="F1135">_xlfn.IFERROR(IF(E1135="","",D1135/E1135*100000),"")</f>
        <v>46.7178301886466</v>
      </c>
    </row>
    <row r="1136" ht="13.65" customHeight="1">
      <c r="A1136" t="s" s="26">
        <v>36</v>
      </c>
      <c r="B1136" t="s" s="21">
        <v>64</v>
      </c>
      <c r="C1136" t="s" s="21">
        <v>20</v>
      </c>
      <c r="D1136" s="22" cm="1">
        <f t="array" ref="D1136">_xlfn.SUMIFS('Diseases'!F2:F4303,'Diseases'!B2:B4303,A1136,'Diseases'!C2:C4303,B1136,'Diseases'!D2:D4303,C1136)</f>
        <v>815</v>
      </c>
      <c r="E1136" s="22" cm="1">
        <f t="array" ref="E1136">_xlfn.IFERROR(IF(INDEX('Diseases'!G2:G4303,MATCH(C1136,'Diseases'!D2:D4303,0))="","",INDEX('Diseases'!G2:G4303,MATCH(C1136,'Diseases'!D2:D4303,0))),"")</f>
        <v>2889689</v>
      </c>
      <c r="F1136" s="23" cm="1">
        <f t="array" ref="F1136">_xlfn.IFERROR(IF(E1136="","",D1136/E1136*100000),"")</f>
        <v>28.2037271138867</v>
      </c>
    </row>
    <row r="1137" ht="13.65" customHeight="1">
      <c r="A1137" t="s" s="20">
        <v>30</v>
      </c>
      <c r="B1137" t="s" s="21">
        <v>65</v>
      </c>
      <c r="C1137" t="s" s="21">
        <v>20</v>
      </c>
      <c r="D1137" s="22" cm="1">
        <f t="array" ref="D1137">_xlfn.SUMIFS('Diseases'!F2:F4303,'Diseases'!B2:B4303,A1137,'Diseases'!C2:C4303,B1137,'Diseases'!D2:D4303,C1137)</f>
        <v>6648</v>
      </c>
      <c r="E1137" s="22" cm="1">
        <f t="array" ref="E1137">_xlfn.IFERROR(IF(INDEX('Diseases'!G2:G4303,MATCH(C1137,'Diseases'!D2:D4303,0))="","",INDEX('Diseases'!G2:G4303,MATCH(C1137,'Diseases'!D2:D4303,0))),"")</f>
        <v>2889689</v>
      </c>
      <c r="F1137" s="23" cm="1">
        <f t="array" ref="F1137">_xlfn.IFERROR(IF(E1137="","",D1137/E1137*100000),"")</f>
        <v>230.059359328980</v>
      </c>
    </row>
    <row r="1138" ht="13.65" customHeight="1">
      <c r="A1138" t="s" s="25">
        <v>35</v>
      </c>
      <c r="B1138" t="s" s="21">
        <v>65</v>
      </c>
      <c r="C1138" t="s" s="21">
        <v>20</v>
      </c>
      <c r="D1138" s="22" cm="1">
        <f t="array" ref="D1138">_xlfn.SUMIFS('Diseases'!F2:F4303,'Diseases'!B2:B4303,A1138,'Diseases'!C2:C4303,B1138,'Diseases'!D2:D4303,C1138)</f>
        <v>3091</v>
      </c>
      <c r="E1138" s="22" cm="1">
        <f t="array" ref="E1138">_xlfn.IFERROR(IF(INDEX('Diseases'!G2:G4303,MATCH(C1138,'Diseases'!D2:D4303,0))="","",INDEX('Diseases'!G2:G4303,MATCH(C1138,'Diseases'!D2:D4303,0))),"")</f>
        <v>2889689</v>
      </c>
      <c r="F1138" s="23" cm="1">
        <f t="array" ref="F1138">_xlfn.IFERROR(IF(E1138="","",D1138/E1138*100000),"")</f>
        <v>106.966528231931</v>
      </c>
    </row>
    <row r="1139" ht="13.65" customHeight="1">
      <c r="A1139" t="s" s="24">
        <v>34</v>
      </c>
      <c r="B1139" t="s" s="21">
        <v>65</v>
      </c>
      <c r="C1139" t="s" s="21">
        <v>20</v>
      </c>
      <c r="D1139" s="22" cm="1">
        <f t="array" ref="D1139">_xlfn.SUMIFS('Diseases'!F2:F4303,'Diseases'!B2:B4303,A1139,'Diseases'!C2:C4303,B1139,'Diseases'!D2:D4303,C1139)</f>
        <v>2887</v>
      </c>
      <c r="E1139" s="22" cm="1">
        <f t="array" ref="E1139">_xlfn.IFERROR(IF(INDEX('Diseases'!G2:G4303,MATCH(C1139,'Diseases'!D2:D4303,0))="","",INDEX('Diseases'!G2:G4303,MATCH(C1139,'Diseases'!D2:D4303,0))),"")</f>
        <v>2889689</v>
      </c>
      <c r="F1139" s="23" cm="1">
        <f t="array" ref="F1139">_xlfn.IFERROR(IF(E1139="","",D1139/E1139*100000),"")</f>
        <v>99.9069450034242</v>
      </c>
    </row>
    <row r="1140" ht="13.65" customHeight="1">
      <c r="A1140" t="s" s="29">
        <v>39</v>
      </c>
      <c r="B1140" t="s" s="21">
        <v>65</v>
      </c>
      <c r="C1140" t="s" s="21">
        <v>20</v>
      </c>
      <c r="D1140" s="22" cm="1">
        <f t="array" ref="D1140">_xlfn.SUMIFS('Diseases'!F2:F4303,'Diseases'!B2:B4303,A1140,'Diseases'!C2:C4303,B1140,'Diseases'!D2:D4303,C1140)</f>
        <v>1623</v>
      </c>
      <c r="E1140" s="22" cm="1">
        <f t="array" ref="E1140">_xlfn.IFERROR(IF(INDEX('Diseases'!G2:G4303,MATCH(C1140,'Diseases'!D2:D4303,0))="","",INDEX('Diseases'!G2:G4303,MATCH(C1140,'Diseases'!D2:D4303,0))),"")</f>
        <v>2889689</v>
      </c>
      <c r="F1140" s="23" cm="1">
        <f t="array" ref="F1140">_xlfn.IFERROR(IF(E1140="","",D1140/E1140*100000),"")</f>
        <v>56.1652136267951</v>
      </c>
    </row>
    <row r="1141" ht="13.65" customHeight="1">
      <c r="A1141" t="s" s="27">
        <v>37</v>
      </c>
      <c r="B1141" t="s" s="21">
        <v>65</v>
      </c>
      <c r="C1141" t="s" s="21">
        <v>20</v>
      </c>
      <c r="D1141" s="22" cm="1">
        <f t="array" ref="D1141">_xlfn.SUMIFS('Diseases'!F2:F4303,'Diseases'!B2:B4303,A1141,'Diseases'!C2:C4303,B1141,'Diseases'!D2:D4303,C1141)</f>
        <v>1551</v>
      </c>
      <c r="E1141" s="22" cm="1">
        <f t="array" ref="E1141">_xlfn.IFERROR(IF(INDEX('Diseases'!G2:G4303,MATCH(C1141,'Diseases'!D2:D4303,0))="","",INDEX('Diseases'!G2:G4303,MATCH(C1141,'Diseases'!D2:D4303,0))),"")</f>
        <v>2889689</v>
      </c>
      <c r="F1141" s="23" cm="1">
        <f t="array" ref="F1141">_xlfn.IFERROR(IF(E1141="","",D1141/E1141*100000),"")</f>
        <v>53.673596016734</v>
      </c>
    </row>
    <row r="1142" ht="13.65" customHeight="1">
      <c r="A1142" t="s" s="26">
        <v>36</v>
      </c>
      <c r="B1142" t="s" s="21">
        <v>65</v>
      </c>
      <c r="C1142" t="s" s="21">
        <v>20</v>
      </c>
      <c r="D1142" s="22" cm="1">
        <f t="array" ref="D1142">_xlfn.SUMIFS('Diseases'!F2:F4303,'Diseases'!B2:B4303,A1142,'Diseases'!C2:C4303,B1142,'Diseases'!D2:D4303,C1142)</f>
        <v>906</v>
      </c>
      <c r="E1142" s="22" cm="1">
        <f t="array" ref="E1142">_xlfn.IFERROR(IF(INDEX('Diseases'!G2:G4303,MATCH(C1142,'Diseases'!D2:D4303,0))="","",INDEX('Diseases'!G2:G4303,MATCH(C1142,'Diseases'!D2:D4303,0))),"")</f>
        <v>2889689</v>
      </c>
      <c r="F1142" s="23" cm="1">
        <f t="array" ref="F1142">_xlfn.IFERROR(IF(E1142="","",D1142/E1142*100000),"")</f>
        <v>31.3528549266028</v>
      </c>
    </row>
    <row r="1143" ht="13.65" customHeight="1">
      <c r="A1143" t="s" s="31">
        <v>45</v>
      </c>
      <c r="B1143" t="s" s="21">
        <v>65</v>
      </c>
      <c r="C1143" t="s" s="21">
        <v>20</v>
      </c>
      <c r="D1143" s="22" cm="1">
        <f t="array" ref="D1143">_xlfn.SUMIFS('Diseases'!F2:F4303,'Diseases'!B2:B4303,A1143,'Diseases'!C2:C4303,B1143,'Diseases'!D2:D4303,C1143)</f>
        <v>638</v>
      </c>
      <c r="E1143" s="22" cm="1">
        <f t="array" ref="E1143">_xlfn.IFERROR(IF(INDEX('Diseases'!G2:G4303,MATCH(C1143,'Diseases'!D2:D4303,0))="","",INDEX('Diseases'!G2:G4303,MATCH(C1143,'Diseases'!D2:D4303,0))),"")</f>
        <v>2889689</v>
      </c>
      <c r="F1143" s="23" cm="1">
        <f t="array" ref="F1143">_xlfn.IFERROR(IF(E1143="","",D1143/E1143*100000),"")</f>
        <v>22.078500489153</v>
      </c>
    </row>
    <row r="1144" ht="13.65" customHeight="1">
      <c r="A1144" t="s" s="20">
        <v>30</v>
      </c>
      <c r="B1144" t="s" s="21">
        <v>66</v>
      </c>
      <c r="C1144" t="s" s="21">
        <v>20</v>
      </c>
      <c r="D1144" s="22" cm="1">
        <f t="array" ref="D1144">_xlfn.SUMIFS('Diseases'!F2:F4303,'Diseases'!B2:B4303,A1144,'Diseases'!C2:C4303,B1144,'Diseases'!D2:D4303,C1144)</f>
        <v>6737</v>
      </c>
      <c r="E1144" s="22" cm="1">
        <f t="array" ref="E1144">_xlfn.IFERROR(IF(INDEX('Diseases'!G2:G4303,MATCH(C1144,'Diseases'!D2:D4303,0))="","",INDEX('Diseases'!G2:G4303,MATCH(C1144,'Diseases'!D2:D4303,0))),"")</f>
        <v>2889689</v>
      </c>
      <c r="F1144" s="23" cm="1">
        <f t="array" ref="F1144">_xlfn.IFERROR(IF(E1144="","",D1144/E1144*100000),"")</f>
        <v>233.139275541416</v>
      </c>
    </row>
    <row r="1145" ht="13.65" customHeight="1">
      <c r="A1145" t="s" s="25">
        <v>35</v>
      </c>
      <c r="B1145" t="s" s="21">
        <v>66</v>
      </c>
      <c r="C1145" t="s" s="21">
        <v>20</v>
      </c>
      <c r="D1145" s="22" cm="1">
        <f t="array" ref="D1145">_xlfn.SUMIFS('Diseases'!F2:F4303,'Diseases'!B2:B4303,A1145,'Diseases'!C2:C4303,B1145,'Diseases'!D2:D4303,C1145)</f>
        <v>2808</v>
      </c>
      <c r="E1145" s="22" cm="1">
        <f t="array" ref="E1145">_xlfn.IFERROR(IF(INDEX('Diseases'!G2:G4303,MATCH(C1145,'Diseases'!D2:D4303,0))="","",INDEX('Diseases'!G2:G4303,MATCH(C1145,'Diseases'!D2:D4303,0))),"")</f>
        <v>2889689</v>
      </c>
      <c r="F1145" s="23" cm="1">
        <f t="array" ref="F1145">_xlfn.IFERROR(IF(E1145="","",D1145/E1145*100000),"")</f>
        <v>97.17308679238489</v>
      </c>
    </row>
    <row r="1146" ht="13.65" customHeight="1">
      <c r="A1146" t="s" s="24">
        <v>34</v>
      </c>
      <c r="B1146" t="s" s="21">
        <v>66</v>
      </c>
      <c r="C1146" t="s" s="21">
        <v>20</v>
      </c>
      <c r="D1146" s="22" cm="1">
        <f t="array" ref="D1146">_xlfn.SUMIFS('Diseases'!F2:F4303,'Diseases'!B2:B4303,A1146,'Diseases'!C2:C4303,B1146,'Diseases'!D2:D4303,C1146)</f>
        <v>1722</v>
      </c>
      <c r="E1146" s="22" cm="1">
        <f t="array" ref="E1146">_xlfn.IFERROR(IF(INDEX('Diseases'!G2:G4303,MATCH(C1146,'Diseases'!D2:D4303,0))="","",INDEX('Diseases'!G2:G4303,MATCH(C1146,'Diseases'!D2:D4303,0))),"")</f>
        <v>2889689</v>
      </c>
      <c r="F1146" s="23" cm="1">
        <f t="array" ref="F1146">_xlfn.IFERROR(IF(E1146="","",D1146/E1146*100000),"")</f>
        <v>59.5911878406292</v>
      </c>
    </row>
    <row r="1147" ht="13.65" customHeight="1">
      <c r="A1147" t="s" s="29">
        <v>39</v>
      </c>
      <c r="B1147" t="s" s="21">
        <v>66</v>
      </c>
      <c r="C1147" t="s" s="21">
        <v>20</v>
      </c>
      <c r="D1147" s="22" cm="1">
        <f t="array" ref="D1147">_xlfn.SUMIFS('Diseases'!F2:F4303,'Diseases'!B2:B4303,A1147,'Diseases'!C2:C4303,B1147,'Diseases'!D2:D4303,C1147)</f>
        <v>1630</v>
      </c>
      <c r="E1147" s="22" cm="1">
        <f t="array" ref="E1147">_xlfn.IFERROR(IF(INDEX('Diseases'!G2:G4303,MATCH(C1147,'Diseases'!D2:D4303,0))="","",INDEX('Diseases'!G2:G4303,MATCH(C1147,'Diseases'!D2:D4303,0))),"")</f>
        <v>2889689</v>
      </c>
      <c r="F1147" s="23" cm="1">
        <f t="array" ref="F1147">_xlfn.IFERROR(IF(E1147="","",D1147/E1147*100000),"")</f>
        <v>56.4074542277733</v>
      </c>
    </row>
    <row r="1148" ht="13.65" customHeight="1">
      <c r="A1148" t="s" s="27">
        <v>37</v>
      </c>
      <c r="B1148" t="s" s="21">
        <v>66</v>
      </c>
      <c r="C1148" t="s" s="21">
        <v>20</v>
      </c>
      <c r="D1148" s="22" cm="1">
        <f t="array" ref="D1148">_xlfn.SUMIFS('Diseases'!F2:F4303,'Diseases'!B2:B4303,A1148,'Diseases'!C2:C4303,B1148,'Diseases'!D2:D4303,C1148)</f>
        <v>1234</v>
      </c>
      <c r="E1148" s="22" cm="1">
        <f t="array" ref="E1148">_xlfn.IFERROR(IF(INDEX('Diseases'!G2:G4303,MATCH(C1148,'Diseases'!D2:D4303,0))="","",INDEX('Diseases'!G2:G4303,MATCH(C1148,'Diseases'!D2:D4303,0))),"")</f>
        <v>2889689</v>
      </c>
      <c r="F1148" s="23" cm="1">
        <f t="array" ref="F1148">_xlfn.IFERROR(IF(E1148="","",D1148/E1148*100000),"")</f>
        <v>42.703557372437</v>
      </c>
    </row>
    <row r="1149" ht="13.65" customHeight="1">
      <c r="A1149" t="s" s="26">
        <v>36</v>
      </c>
      <c r="B1149" t="s" s="21">
        <v>66</v>
      </c>
      <c r="C1149" t="s" s="21">
        <v>20</v>
      </c>
      <c r="D1149" s="22" cm="1">
        <f t="array" ref="D1149">_xlfn.SUMIFS('Diseases'!F2:F4303,'Diseases'!B2:B4303,A1149,'Diseases'!C2:C4303,B1149,'Diseases'!D2:D4303,C1149)</f>
        <v>854</v>
      </c>
      <c r="E1149" s="22" cm="1">
        <f t="array" ref="E1149">_xlfn.IFERROR(IF(INDEX('Diseases'!G2:G4303,MATCH(C1149,'Diseases'!D2:D4303,0))="","",INDEX('Diseases'!G2:G4303,MATCH(C1149,'Diseases'!D2:D4303,0))),"")</f>
        <v>2889689</v>
      </c>
      <c r="F1149" s="23" cm="1">
        <f t="array" ref="F1149">_xlfn.IFERROR(IF(E1149="","",D1149/E1149*100000),"")</f>
        <v>29.5533533193364</v>
      </c>
    </row>
    <row r="1150" ht="13.65" customHeight="1">
      <c r="A1150" t="s" s="31">
        <v>45</v>
      </c>
      <c r="B1150" t="s" s="21">
        <v>66</v>
      </c>
      <c r="C1150" t="s" s="21">
        <v>20</v>
      </c>
      <c r="D1150" s="22" cm="1">
        <f t="array" ref="D1150">_xlfn.SUMIFS('Diseases'!F2:F4303,'Diseases'!B2:B4303,A1150,'Diseases'!C2:C4303,B1150,'Diseases'!D2:D4303,C1150)</f>
        <v>621</v>
      </c>
      <c r="E1150" s="22" cm="1">
        <f t="array" ref="E1150">_xlfn.IFERROR(IF(INDEX('Diseases'!G2:G4303,MATCH(C1150,'Diseases'!D2:D4303,0))="","",INDEX('Diseases'!G2:G4303,MATCH(C1150,'Diseases'!D2:D4303,0))),"")</f>
        <v>2889689</v>
      </c>
      <c r="F1150" s="23" cm="1">
        <f t="array" ref="F1150">_xlfn.IFERROR(IF(E1150="","",D1150/E1150*100000),"")</f>
        <v>21.4902018867774</v>
      </c>
    </row>
    <row r="1151" ht="13.65" customHeight="1">
      <c r="A1151" t="s" s="20">
        <v>30</v>
      </c>
      <c r="B1151" t="s" s="21">
        <v>67</v>
      </c>
      <c r="C1151" t="s" s="21">
        <v>20</v>
      </c>
      <c r="D1151" s="22" cm="1">
        <f t="array" ref="D1151">_xlfn.SUMIFS('Diseases'!F2:F4303,'Diseases'!B2:B4303,A1151,'Diseases'!C2:C4303,B1151,'Diseases'!D2:D4303,C1151)</f>
        <v>58159</v>
      </c>
      <c r="E1151" s="22" cm="1">
        <f t="array" ref="E1151">_xlfn.IFERROR(IF(INDEX('Diseases'!G2:G4303,MATCH(C1151,'Diseases'!D2:D4303,0))="","",INDEX('Diseases'!G2:G4303,MATCH(C1151,'Diseases'!D2:D4303,0))),"")</f>
        <v>2889689</v>
      </c>
      <c r="F1151" s="23" cm="1">
        <f t="array" ref="F1151">_xlfn.IFERROR(IF(E1151="","",D1151/E1151*100000),"")</f>
        <v>2012.638730327040</v>
      </c>
    </row>
    <row r="1152" ht="13.65" customHeight="1">
      <c r="A1152" t="s" s="24">
        <v>34</v>
      </c>
      <c r="B1152" t="s" s="21">
        <v>67</v>
      </c>
      <c r="C1152" t="s" s="21">
        <v>20</v>
      </c>
      <c r="D1152" s="22" cm="1">
        <f t="array" ref="D1152">_xlfn.SUMIFS('Diseases'!F2:F4303,'Diseases'!B2:B4303,A1152,'Diseases'!C2:C4303,B1152,'Diseases'!D2:D4303,C1152)</f>
        <v>26914</v>
      </c>
      <c r="E1152" s="22" cm="1">
        <f t="array" ref="E1152">_xlfn.IFERROR(IF(INDEX('Diseases'!G2:G4303,MATCH(C1152,'Diseases'!D2:D4303,0))="","",INDEX('Diseases'!G2:G4303,MATCH(C1152,'Diseases'!D2:D4303,0))),"")</f>
        <v>2889689</v>
      </c>
      <c r="F1152" s="23" cm="1">
        <f t="array" ref="F1152">_xlfn.IFERROR(IF(E1152="","",D1152/E1152*100000),"")</f>
        <v>931.380504960914</v>
      </c>
    </row>
    <row r="1153" ht="13.65" customHeight="1">
      <c r="A1153" t="s" s="27">
        <v>37</v>
      </c>
      <c r="B1153" t="s" s="21">
        <v>67</v>
      </c>
      <c r="C1153" t="s" s="21">
        <v>20</v>
      </c>
      <c r="D1153" s="22" cm="1">
        <f t="array" ref="D1153">_xlfn.SUMIFS('Diseases'!F2:F4303,'Diseases'!B2:B4303,A1153,'Diseases'!C2:C4303,B1153,'Diseases'!D2:D4303,C1153)</f>
        <v>18439</v>
      </c>
      <c r="E1153" s="22" cm="1">
        <f t="array" ref="E1153">_xlfn.IFERROR(IF(INDEX('Diseases'!G2:G4303,MATCH(C1153,'Diseases'!D2:D4303,0))="","",INDEX('Diseases'!G2:G4303,MATCH(C1153,'Diseases'!D2:D4303,0))),"")</f>
        <v>2889689</v>
      </c>
      <c r="F1153" s="23" cm="1">
        <f t="array" ref="F1153">_xlfn.IFERROR(IF(E1153="","",D1153/E1153*100000),"")</f>
        <v>638.096348776633</v>
      </c>
    </row>
    <row r="1154" ht="13.65" customHeight="1">
      <c r="A1154" t="s" s="25">
        <v>35</v>
      </c>
      <c r="B1154" t="s" s="21">
        <v>67</v>
      </c>
      <c r="C1154" t="s" s="21">
        <v>20</v>
      </c>
      <c r="D1154" s="22" cm="1">
        <f t="array" ref="D1154">_xlfn.SUMIFS('Diseases'!F2:F4303,'Diseases'!B2:B4303,A1154,'Diseases'!C2:C4303,B1154,'Diseases'!D2:D4303,C1154)</f>
        <v>9623</v>
      </c>
      <c r="E1154" s="22" cm="1">
        <f t="array" ref="E1154">_xlfn.IFERROR(IF(INDEX('Diseases'!G2:G4303,MATCH(C1154,'Diseases'!D2:D4303,0))="","",INDEX('Diseases'!G2:G4303,MATCH(C1154,'Diseases'!D2:D4303,0))),"")</f>
        <v>2889689</v>
      </c>
      <c r="F1154" s="23" cm="1">
        <f t="array" ref="F1154">_xlfn.IFERROR(IF(E1154="","",D1154/E1154*100000),"")</f>
        <v>333.011614744701</v>
      </c>
    </row>
    <row r="1155" ht="13.65" customHeight="1">
      <c r="A1155" t="s" s="29">
        <v>39</v>
      </c>
      <c r="B1155" t="s" s="21">
        <v>67</v>
      </c>
      <c r="C1155" t="s" s="21">
        <v>20</v>
      </c>
      <c r="D1155" s="22" cm="1">
        <f t="array" ref="D1155">_xlfn.SUMIFS('Diseases'!F2:F4303,'Diseases'!B2:B4303,A1155,'Diseases'!C2:C4303,B1155,'Diseases'!D2:D4303,C1155)</f>
        <v>5969</v>
      </c>
      <c r="E1155" s="22" cm="1">
        <f t="array" ref="E1155">_xlfn.IFERROR(IF(INDEX('Diseases'!G2:G4303,MATCH(C1155,'Diseases'!D2:D4303,0))="","",INDEX('Diseases'!G2:G4303,MATCH(C1155,'Diseases'!D2:D4303,0))),"")</f>
        <v>2889689</v>
      </c>
      <c r="F1155" s="23" cm="1">
        <f t="array" ref="F1155">_xlfn.IFERROR(IF(E1155="","",D1155/E1155*100000),"")</f>
        <v>206.562021034097</v>
      </c>
    </row>
    <row r="1156" ht="13.65" customHeight="1">
      <c r="A1156" t="s" s="20">
        <v>30</v>
      </c>
      <c r="B1156" t="s" s="21">
        <v>68</v>
      </c>
      <c r="C1156" t="s" s="21">
        <v>20</v>
      </c>
      <c r="D1156" s="22" cm="1">
        <f t="array" ref="D1156">_xlfn.SUMIFS('Diseases'!F2:F4303,'Diseases'!B2:B4303,A1156,'Diseases'!C2:C4303,B1156,'Diseases'!D2:D4303,C1156)</f>
        <v>7584</v>
      </c>
      <c r="E1156" s="22" cm="1">
        <f t="array" ref="E1156">_xlfn.IFERROR(IF(INDEX('Diseases'!G2:G4303,MATCH(C1156,'Diseases'!D2:D4303,0))="","",INDEX('Diseases'!G2:G4303,MATCH(C1156,'Diseases'!D2:D4303,0))),"")</f>
        <v>2889689</v>
      </c>
      <c r="F1156" s="23" cm="1">
        <f t="array" ref="F1156">_xlfn.IFERROR(IF(E1156="","",D1156/E1156*100000),"")</f>
        <v>262.450388259775</v>
      </c>
    </row>
    <row r="1157" ht="13.65" customHeight="1">
      <c r="A1157" t="s" s="25">
        <v>35</v>
      </c>
      <c r="B1157" t="s" s="21">
        <v>68</v>
      </c>
      <c r="C1157" t="s" s="21">
        <v>20</v>
      </c>
      <c r="D1157" s="22" cm="1">
        <f t="array" ref="D1157">_xlfn.SUMIFS('Diseases'!F2:F4303,'Diseases'!B2:B4303,A1157,'Diseases'!C2:C4303,B1157,'Diseases'!D2:D4303,C1157)</f>
        <v>4053</v>
      </c>
      <c r="E1157" s="22" cm="1">
        <f t="array" ref="E1157">_xlfn.IFERROR(IF(INDEX('Diseases'!G2:G4303,MATCH(C1157,'Diseases'!D2:D4303,0))="","",INDEX('Diseases'!G2:G4303,MATCH(C1157,'Diseases'!D2:D4303,0))),"")</f>
        <v>2889689</v>
      </c>
      <c r="F1157" s="23" cm="1">
        <f t="array" ref="F1157">_xlfn.IFERROR(IF(E1157="","",D1157/E1157*100000),"")</f>
        <v>140.257307966359</v>
      </c>
    </row>
    <row r="1158" ht="13.65" customHeight="1">
      <c r="A1158" t="s" s="24">
        <v>34</v>
      </c>
      <c r="B1158" t="s" s="21">
        <v>68</v>
      </c>
      <c r="C1158" t="s" s="21">
        <v>20</v>
      </c>
      <c r="D1158" s="22" cm="1">
        <f t="array" ref="D1158">_xlfn.SUMIFS('Diseases'!F2:F4303,'Diseases'!B2:B4303,A1158,'Diseases'!C2:C4303,B1158,'Diseases'!D2:D4303,C1158)</f>
        <v>2185</v>
      </c>
      <c r="E1158" s="22" cm="1">
        <f t="array" ref="E1158">_xlfn.IFERROR(IF(INDEX('Diseases'!G2:G4303,MATCH(C1158,'Diseases'!D2:D4303,0))="","",INDEX('Diseases'!G2:G4303,MATCH(C1158,'Diseases'!D2:D4303,0))),"")</f>
        <v>2889689</v>
      </c>
      <c r="F1158" s="23" cm="1">
        <f t="array" ref="F1158">_xlfn.IFERROR(IF(E1158="","",D1158/E1158*100000),"")</f>
        <v>75.61367330532801</v>
      </c>
    </row>
    <row r="1159" ht="13.65" customHeight="1">
      <c r="A1159" t="s" s="27">
        <v>37</v>
      </c>
      <c r="B1159" t="s" s="21">
        <v>68</v>
      </c>
      <c r="C1159" t="s" s="21">
        <v>20</v>
      </c>
      <c r="D1159" s="22" cm="1">
        <f t="array" ref="D1159">_xlfn.SUMIFS('Diseases'!F2:F4303,'Diseases'!B2:B4303,A1159,'Diseases'!C2:C4303,B1159,'Diseases'!D2:D4303,C1159)</f>
        <v>1782</v>
      </c>
      <c r="E1159" s="22" cm="1">
        <f t="array" ref="E1159">_xlfn.IFERROR(IF(INDEX('Diseases'!G2:G4303,MATCH(C1159,'Diseases'!D2:D4303,0))="","",INDEX('Diseases'!G2:G4303,MATCH(C1159,'Diseases'!D2:D4303,0))),"")</f>
        <v>2889689</v>
      </c>
      <c r="F1159" s="23" cm="1">
        <f t="array" ref="F1159">_xlfn.IFERROR(IF(E1159="","",D1159/E1159*100000),"")</f>
        <v>61.6675358490135</v>
      </c>
    </row>
    <row r="1160" ht="13.65" customHeight="1">
      <c r="A1160" t="s" s="29">
        <v>39</v>
      </c>
      <c r="B1160" t="s" s="21">
        <v>68</v>
      </c>
      <c r="C1160" t="s" s="21">
        <v>20</v>
      </c>
      <c r="D1160" s="22" cm="1">
        <f t="array" ref="D1160">_xlfn.SUMIFS('Diseases'!F2:F4303,'Diseases'!B2:B4303,A1160,'Diseases'!C2:C4303,B1160,'Diseases'!D2:D4303,C1160)</f>
        <v>1587</v>
      </c>
      <c r="E1160" s="22" cm="1">
        <f t="array" ref="E1160">_xlfn.IFERROR(IF(INDEX('Diseases'!G2:G4303,MATCH(C1160,'Diseases'!D2:D4303,0))="","",INDEX('Diseases'!G2:G4303,MATCH(C1160,'Diseases'!D2:D4303,0))),"")</f>
        <v>2889689</v>
      </c>
      <c r="F1160" s="23" cm="1">
        <f t="array" ref="F1160">_xlfn.IFERROR(IF(E1160="","",D1160/E1160*100000),"")</f>
        <v>54.9194048217646</v>
      </c>
    </row>
    <row r="1161" ht="13.65" customHeight="1">
      <c r="A1161" t="s" s="26">
        <v>36</v>
      </c>
      <c r="B1161" t="s" s="21">
        <v>68</v>
      </c>
      <c r="C1161" t="s" s="21">
        <v>20</v>
      </c>
      <c r="D1161" s="22" cm="1">
        <f t="array" ref="D1161">_xlfn.SUMIFS('Diseases'!F2:F4303,'Diseases'!B2:B4303,A1161,'Diseases'!C2:C4303,B1161,'Diseases'!D2:D4303,C1161)</f>
        <v>683</v>
      </c>
      <c r="E1161" s="22" cm="1">
        <f t="array" ref="E1161">_xlfn.IFERROR(IF(INDEX('Diseases'!G2:G4303,MATCH(C1161,'Diseases'!D2:D4303,0))="","",INDEX('Diseases'!G2:G4303,MATCH(C1161,'Diseases'!D2:D4303,0))),"")</f>
        <v>2889689</v>
      </c>
      <c r="F1161" s="23" cm="1">
        <f t="array" ref="F1161">_xlfn.IFERROR(IF(E1161="","",D1161/E1161*100000),"")</f>
        <v>23.6357614954412</v>
      </c>
    </row>
    <row r="1162" ht="13.65" customHeight="1">
      <c r="A1162" t="s" s="20">
        <v>30</v>
      </c>
      <c r="B1162" t="s" s="21">
        <v>69</v>
      </c>
      <c r="C1162" t="s" s="21">
        <v>20</v>
      </c>
      <c r="D1162" s="22" cm="1">
        <f t="array" ref="D1162">_xlfn.SUMIFS('Diseases'!F2:F4303,'Diseases'!B2:B4303,A1162,'Diseases'!C2:C4303,B1162,'Diseases'!D2:D4303,C1162)</f>
        <v>7667</v>
      </c>
      <c r="E1162" s="22" cm="1">
        <f t="array" ref="E1162">_xlfn.IFERROR(IF(INDEX('Diseases'!G2:G4303,MATCH(C1162,'Diseases'!D2:D4303,0))="","",INDEX('Diseases'!G2:G4303,MATCH(C1162,'Diseases'!D2:D4303,0))),"")</f>
        <v>2889689</v>
      </c>
      <c r="F1162" s="23" cm="1">
        <f t="array" ref="F1162">_xlfn.IFERROR(IF(E1162="","",D1162/E1162*100000),"")</f>
        <v>265.322669671373</v>
      </c>
    </row>
    <row r="1163" ht="13.65" customHeight="1">
      <c r="A1163" t="s" s="25">
        <v>35</v>
      </c>
      <c r="B1163" t="s" s="21">
        <v>69</v>
      </c>
      <c r="C1163" t="s" s="21">
        <v>20</v>
      </c>
      <c r="D1163" s="22" cm="1">
        <f t="array" ref="D1163">_xlfn.SUMIFS('Diseases'!F2:F4303,'Diseases'!B2:B4303,A1163,'Diseases'!C2:C4303,B1163,'Diseases'!D2:D4303,C1163)</f>
        <v>1730</v>
      </c>
      <c r="E1163" s="22" cm="1">
        <f t="array" ref="E1163">_xlfn.IFERROR(IF(INDEX('Diseases'!G2:G4303,MATCH(C1163,'Diseases'!D2:D4303,0))="","",INDEX('Diseases'!G2:G4303,MATCH(C1163,'Diseases'!D2:D4303,0))),"")</f>
        <v>2889689</v>
      </c>
      <c r="F1163" s="23" cm="1">
        <f t="array" ref="F1163">_xlfn.IFERROR(IF(E1163="","",D1163/E1163*100000),"")</f>
        <v>59.8680342417471</v>
      </c>
    </row>
    <row r="1164" ht="13.65" customHeight="1">
      <c r="A1164" t="s" s="24">
        <v>34</v>
      </c>
      <c r="B1164" t="s" s="21">
        <v>69</v>
      </c>
      <c r="C1164" t="s" s="21">
        <v>20</v>
      </c>
      <c r="D1164" s="22" cm="1">
        <f t="array" ref="D1164">_xlfn.SUMIFS('Diseases'!F2:F4303,'Diseases'!B2:B4303,A1164,'Diseases'!C2:C4303,B1164,'Diseases'!D2:D4303,C1164)</f>
        <v>1723</v>
      </c>
      <c r="E1164" s="22" cm="1">
        <f t="array" ref="E1164">_xlfn.IFERROR(IF(INDEX('Diseases'!G2:G4303,MATCH(C1164,'Diseases'!D2:D4303,0))="","",INDEX('Diseases'!G2:G4303,MATCH(C1164,'Diseases'!D2:D4303,0))),"")</f>
        <v>2889689</v>
      </c>
      <c r="F1164" s="23" cm="1">
        <f t="array" ref="F1164">_xlfn.IFERROR(IF(E1164="","",D1164/E1164*100000),"")</f>
        <v>59.625793640769</v>
      </c>
    </row>
    <row r="1165" ht="13.65" customHeight="1">
      <c r="A1165" t="s" s="29">
        <v>39</v>
      </c>
      <c r="B1165" t="s" s="21">
        <v>69</v>
      </c>
      <c r="C1165" t="s" s="21">
        <v>20</v>
      </c>
      <c r="D1165" s="22" cm="1">
        <f t="array" ref="D1165">_xlfn.SUMIFS('Diseases'!F2:F4303,'Diseases'!B2:B4303,A1165,'Diseases'!C2:C4303,B1165,'Diseases'!D2:D4303,C1165)</f>
        <v>1219</v>
      </c>
      <c r="E1165" s="22" cm="1">
        <f t="array" ref="E1165">_xlfn.IFERROR(IF(INDEX('Diseases'!G2:G4303,MATCH(C1165,'Diseases'!D2:D4303,0))="","",INDEX('Diseases'!G2:G4303,MATCH(C1165,'Diseases'!D2:D4303,0))),"")</f>
        <v>2889689</v>
      </c>
      <c r="F1165" s="23" cm="1">
        <f t="array" ref="F1165">_xlfn.IFERROR(IF(E1165="","",D1165/E1165*100000),"")</f>
        <v>42.1844703703409</v>
      </c>
    </row>
    <row r="1166" ht="13.65" customHeight="1">
      <c r="A1166" t="s" s="27">
        <v>37</v>
      </c>
      <c r="B1166" t="s" s="21">
        <v>69</v>
      </c>
      <c r="C1166" t="s" s="21">
        <v>20</v>
      </c>
      <c r="D1166" s="22" cm="1">
        <f t="array" ref="D1166">_xlfn.SUMIFS('Diseases'!F2:F4303,'Diseases'!B2:B4303,A1166,'Diseases'!C2:C4303,B1166,'Diseases'!D2:D4303,C1166)</f>
        <v>664</v>
      </c>
      <c r="E1166" s="22" cm="1">
        <f t="array" ref="E1166">_xlfn.IFERROR(IF(INDEX('Diseases'!G2:G4303,MATCH(C1166,'Diseases'!D2:D4303,0))="","",INDEX('Diseases'!G2:G4303,MATCH(C1166,'Diseases'!D2:D4303,0))),"")</f>
        <v>2889689</v>
      </c>
      <c r="F1166" s="23" cm="1">
        <f t="array" ref="F1166">_xlfn.IFERROR(IF(E1166="","",D1166/E1166*100000),"")</f>
        <v>22.9782512927862</v>
      </c>
    </row>
    <row r="1167" ht="13.65" customHeight="1">
      <c r="A1167" t="s" s="26">
        <v>36</v>
      </c>
      <c r="B1167" t="s" s="21">
        <v>69</v>
      </c>
      <c r="C1167" t="s" s="21">
        <v>20</v>
      </c>
      <c r="D1167" s="22" cm="1">
        <f t="array" ref="D1167">_xlfn.SUMIFS('Diseases'!F2:F4303,'Diseases'!B2:B4303,A1167,'Diseases'!C2:C4303,B1167,'Diseases'!D2:D4303,C1167)</f>
        <v>493</v>
      </c>
      <c r="E1167" s="22" cm="1">
        <f t="array" ref="E1167">_xlfn.IFERROR(IF(INDEX('Diseases'!G2:G4303,MATCH(C1167,'Diseases'!D2:D4303,0))="","",INDEX('Diseases'!G2:G4303,MATCH(C1167,'Diseases'!D2:D4303,0))),"")</f>
        <v>2889689</v>
      </c>
      <c r="F1167" s="23" cm="1">
        <f t="array" ref="F1167">_xlfn.IFERROR(IF(E1167="","",D1167/E1167*100000),"")</f>
        <v>17.0606594688909</v>
      </c>
    </row>
    <row r="1168" ht="13.65" customHeight="1">
      <c r="A1168" t="s" s="25">
        <v>35</v>
      </c>
      <c r="B1168" t="s" s="21">
        <v>70</v>
      </c>
      <c r="C1168" t="s" s="21">
        <v>20</v>
      </c>
      <c r="D1168" s="22" cm="1">
        <f t="array" ref="D1168">_xlfn.SUMIFS('Diseases'!F2:F4303,'Diseases'!B2:B4303,A1168,'Diseases'!C2:C4303,B1168,'Diseases'!D2:D4303,C1168)</f>
        <v>6898</v>
      </c>
      <c r="E1168" s="22" cm="1">
        <f t="array" ref="E1168">_xlfn.IFERROR(IF(INDEX('Diseases'!G2:G4303,MATCH(C1168,'Diseases'!D2:D4303,0))="","",INDEX('Diseases'!G2:G4303,MATCH(C1168,'Diseases'!D2:D4303,0))),"")</f>
        <v>2889689</v>
      </c>
      <c r="F1168" s="23" cm="1">
        <f t="array" ref="F1168">_xlfn.IFERROR(IF(E1168="","",D1168/E1168*100000),"")</f>
        <v>238.710809363914</v>
      </c>
    </row>
    <row r="1169" ht="13.65" customHeight="1">
      <c r="A1169" t="s" s="20">
        <v>30</v>
      </c>
      <c r="B1169" t="s" s="21">
        <v>70</v>
      </c>
      <c r="C1169" t="s" s="21">
        <v>20</v>
      </c>
      <c r="D1169" s="22" cm="1">
        <f t="array" ref="D1169">_xlfn.SUMIFS('Diseases'!F2:F4303,'Diseases'!B2:B4303,A1169,'Diseases'!C2:C4303,B1169,'Diseases'!D2:D4303,C1169)</f>
        <v>6892</v>
      </c>
      <c r="E1169" s="22" cm="1">
        <f t="array" ref="E1169">_xlfn.IFERROR(IF(INDEX('Diseases'!G2:G4303,MATCH(C1169,'Diseases'!D2:D4303,0))="","",INDEX('Diseases'!G2:G4303,MATCH(C1169,'Diseases'!D2:D4303,0))),"")</f>
        <v>2889689</v>
      </c>
      <c r="F1169" s="23" cm="1">
        <f t="array" ref="F1169">_xlfn.IFERROR(IF(E1169="","",D1169/E1169*100000),"")</f>
        <v>238.503174563076</v>
      </c>
    </row>
    <row r="1170" ht="13.65" customHeight="1">
      <c r="A1170" t="s" s="29">
        <v>39</v>
      </c>
      <c r="B1170" t="s" s="21">
        <v>70</v>
      </c>
      <c r="C1170" t="s" s="21">
        <v>20</v>
      </c>
      <c r="D1170" s="22" cm="1">
        <f t="array" ref="D1170">_xlfn.SUMIFS('Diseases'!F2:F4303,'Diseases'!B2:B4303,A1170,'Diseases'!C2:C4303,B1170,'Diseases'!D2:D4303,C1170)</f>
        <v>1788</v>
      </c>
      <c r="E1170" s="22" cm="1">
        <f t="array" ref="E1170">_xlfn.IFERROR(IF(INDEX('Diseases'!G2:G4303,MATCH(C1170,'Diseases'!D2:D4303,0))="","",INDEX('Diseases'!G2:G4303,MATCH(C1170,'Diseases'!D2:D4303,0))),"")</f>
        <v>2889689</v>
      </c>
      <c r="F1170" s="23" cm="1">
        <f t="array" ref="F1170">_xlfn.IFERROR(IF(E1170="","",D1170/E1170*100000),"")</f>
        <v>61.8751706498519</v>
      </c>
    </row>
    <row r="1171" ht="13.65" customHeight="1">
      <c r="A1171" t="s" s="24">
        <v>34</v>
      </c>
      <c r="B1171" t="s" s="21">
        <v>70</v>
      </c>
      <c r="C1171" t="s" s="21">
        <v>20</v>
      </c>
      <c r="D1171" s="22" cm="1">
        <f t="array" ref="D1171">_xlfn.SUMIFS('Diseases'!F2:F4303,'Diseases'!B2:B4303,A1171,'Diseases'!C2:C4303,B1171,'Diseases'!D2:D4303,C1171)</f>
        <v>1595</v>
      </c>
      <c r="E1171" s="22" cm="1">
        <f t="array" ref="E1171">_xlfn.IFERROR(IF(INDEX('Diseases'!G2:G4303,MATCH(C1171,'Diseases'!D2:D4303,0))="","",INDEX('Diseases'!G2:G4303,MATCH(C1171,'Diseases'!D2:D4303,0))),"")</f>
        <v>2889689</v>
      </c>
      <c r="F1171" s="23" cm="1">
        <f t="array" ref="F1171">_xlfn.IFERROR(IF(E1171="","",D1171/E1171*100000),"")</f>
        <v>55.1962512228825</v>
      </c>
    </row>
    <row r="1172" ht="13.65" customHeight="1">
      <c r="A1172" t="s" s="26">
        <v>36</v>
      </c>
      <c r="B1172" t="s" s="21">
        <v>70</v>
      </c>
      <c r="C1172" t="s" s="21">
        <v>20</v>
      </c>
      <c r="D1172" s="22" cm="1">
        <f t="array" ref="D1172">_xlfn.SUMIFS('Diseases'!F2:F4303,'Diseases'!B2:B4303,A1172,'Diseases'!C2:C4303,B1172,'Diseases'!D2:D4303,C1172)</f>
        <v>788</v>
      </c>
      <c r="E1172" s="22" cm="1">
        <f t="array" ref="E1172">_xlfn.IFERROR(IF(INDEX('Diseases'!G2:G4303,MATCH(C1172,'Diseases'!D2:D4303,0))="","",INDEX('Diseases'!G2:G4303,MATCH(C1172,'Diseases'!D2:D4303,0))),"")</f>
        <v>2889689</v>
      </c>
      <c r="F1172" s="23" cm="1">
        <f t="array" ref="F1172">_xlfn.IFERROR(IF(E1172="","",D1172/E1172*100000),"")</f>
        <v>27.2693705101137</v>
      </c>
    </row>
    <row r="1173" ht="13.65" customHeight="1">
      <c r="A1173" t="s" s="28">
        <v>41</v>
      </c>
      <c r="B1173" t="s" s="21">
        <v>70</v>
      </c>
      <c r="C1173" t="s" s="21">
        <v>20</v>
      </c>
      <c r="D1173" s="22" cm="1">
        <f t="array" ref="D1173">_xlfn.SUMIFS('Diseases'!F2:F4303,'Diseases'!B2:B4303,A1173,'Diseases'!C2:C4303,B1173,'Diseases'!D2:D4303,C1173)</f>
        <v>574</v>
      </c>
      <c r="E1173" s="22" cm="1">
        <f t="array" ref="E1173">_xlfn.IFERROR(IF(INDEX('Diseases'!G2:G4303,MATCH(C1173,'Diseases'!D2:D4303,0))="","",INDEX('Diseases'!G2:G4303,MATCH(C1173,'Diseases'!D2:D4303,0))),"")</f>
        <v>2889689</v>
      </c>
      <c r="F1173" s="23" cm="1">
        <f t="array" ref="F1173">_xlfn.IFERROR(IF(E1173="","",D1173/E1173*100000),"")</f>
        <v>19.8637292802097</v>
      </c>
    </row>
    <row r="1174" ht="13.65" customHeight="1">
      <c r="A1174" t="s" s="27">
        <v>37</v>
      </c>
      <c r="B1174" t="s" s="21">
        <v>70</v>
      </c>
      <c r="C1174" t="s" s="21">
        <v>20</v>
      </c>
      <c r="D1174" s="22" cm="1">
        <f t="array" ref="D1174">_xlfn.SUMIFS('Diseases'!F2:F4303,'Diseases'!B2:B4303,A1174,'Diseases'!C2:C4303,B1174,'Diseases'!D2:D4303,C1174)</f>
        <v>536</v>
      </c>
      <c r="E1174" s="22" cm="1">
        <f t="array" ref="E1174">_xlfn.IFERROR(IF(INDEX('Diseases'!G2:G4303,MATCH(C1174,'Diseases'!D2:D4303,0))="","",INDEX('Diseases'!G2:G4303,MATCH(C1174,'Diseases'!D2:D4303,0))),"")</f>
        <v>2889689</v>
      </c>
      <c r="F1174" s="23" cm="1">
        <f t="array" ref="F1174">_xlfn.IFERROR(IF(E1174="","",D1174/E1174*100000),"")</f>
        <v>18.5487088748997</v>
      </c>
    </row>
    <row r="1175" ht="13.65" customHeight="1">
      <c r="A1175" t="s" s="20">
        <v>30</v>
      </c>
      <c r="B1175" t="s" s="21">
        <v>31</v>
      </c>
      <c r="C1175" t="s" s="21">
        <v>21</v>
      </c>
      <c r="D1175" s="22" cm="1">
        <f t="array" ref="D1175">_xlfn.SUMIFS('Diseases'!F2:F4303,'Diseases'!B2:B4303,A1175,'Diseases'!C2:C4303,B1175,'Diseases'!D2:D4303,C1175)</f>
        <v>13125</v>
      </c>
      <c r="E1175" s="22" cm="1">
        <f t="array" ref="E1175">_xlfn.IFERROR(IF(INDEX('Diseases'!G2:G4303,MATCH(C1175,'Diseases'!D2:D4303,0))="","",INDEX('Diseases'!G2:G4303,MATCH(C1175,'Diseases'!D2:D4303,0))),"")</f>
        <v>4635519</v>
      </c>
      <c r="F1175" s="23" cm="1">
        <f t="array" ref="F1175">_xlfn.IFERROR(IF(E1175="","",D1175/E1175*100000),"")</f>
        <v>283.139816706608</v>
      </c>
    </row>
    <row r="1176" ht="13.65" customHeight="1">
      <c r="A1176" t="s" s="24">
        <v>34</v>
      </c>
      <c r="B1176" t="s" s="21">
        <v>31</v>
      </c>
      <c r="C1176" t="s" s="21">
        <v>21</v>
      </c>
      <c r="D1176" s="22" cm="1">
        <f t="array" ref="D1176">_xlfn.SUMIFS('Diseases'!F2:F4303,'Diseases'!B2:B4303,A1176,'Diseases'!C2:C4303,B1176,'Diseases'!D2:D4303,C1176)</f>
        <v>3721</v>
      </c>
      <c r="E1176" s="22" cm="1">
        <f t="array" ref="E1176">_xlfn.IFERROR(IF(INDEX('Diseases'!G2:G4303,MATCH(C1176,'Diseases'!D2:D4303,0))="","",INDEX('Diseases'!G2:G4303,MATCH(C1176,'Diseases'!D2:D4303,0))),"")</f>
        <v>4635519</v>
      </c>
      <c r="F1176" s="23" cm="1">
        <f t="array" ref="F1176">_xlfn.IFERROR(IF(E1176="","",D1176/E1176*100000),"")</f>
        <v>80.2714863211649</v>
      </c>
    </row>
    <row r="1177" ht="13.65" customHeight="1">
      <c r="A1177" t="s" s="26">
        <v>36</v>
      </c>
      <c r="B1177" t="s" s="21">
        <v>31</v>
      </c>
      <c r="C1177" t="s" s="21">
        <v>21</v>
      </c>
      <c r="D1177" s="22" cm="1">
        <f t="array" ref="D1177">_xlfn.SUMIFS('Diseases'!F2:F4303,'Diseases'!B2:B4303,A1177,'Diseases'!C2:C4303,B1177,'Diseases'!D2:D4303,C1177)</f>
        <v>3520</v>
      </c>
      <c r="E1177" s="22" cm="1">
        <f t="array" ref="E1177">_xlfn.IFERROR(IF(INDEX('Diseases'!G2:G4303,MATCH(C1177,'Diseases'!D2:D4303,0))="","",INDEX('Diseases'!G2:G4303,MATCH(C1177,'Diseases'!D2:D4303,0))),"")</f>
        <v>4635519</v>
      </c>
      <c r="F1177" s="23" cm="1">
        <f t="array" ref="F1177">_xlfn.IFERROR(IF(E1177="","",D1177/E1177*100000),"")</f>
        <v>75.9354022710294</v>
      </c>
    </row>
    <row r="1178" ht="13.65" customHeight="1">
      <c r="A1178" t="s" s="31">
        <v>45</v>
      </c>
      <c r="B1178" t="s" s="21">
        <v>31</v>
      </c>
      <c r="C1178" t="s" s="21">
        <v>21</v>
      </c>
      <c r="D1178" s="22" cm="1">
        <f t="array" ref="D1178">_xlfn.SUMIFS('Diseases'!F2:F4303,'Diseases'!B2:B4303,A1178,'Diseases'!C2:C4303,B1178,'Diseases'!D2:D4303,C1178)</f>
        <v>879</v>
      </c>
      <c r="E1178" s="22" cm="1">
        <f t="array" ref="E1178">_xlfn.IFERROR(IF(INDEX('Diseases'!G2:G4303,MATCH(C1178,'Diseases'!D2:D4303,0))="","",INDEX('Diseases'!G2:G4303,MATCH(C1178,'Diseases'!D2:D4303,0))),"")</f>
        <v>4635519</v>
      </c>
      <c r="F1178" s="23" cm="1">
        <f t="array" ref="F1178">_xlfn.IFERROR(IF(E1178="","",D1178/E1178*100000),"")</f>
        <v>18.962278010294</v>
      </c>
    </row>
    <row r="1179" ht="13.65" customHeight="1">
      <c r="A1179" t="s" s="27">
        <v>37</v>
      </c>
      <c r="B1179" t="s" s="21">
        <v>31</v>
      </c>
      <c r="C1179" t="s" s="21">
        <v>21</v>
      </c>
      <c r="D1179" s="22" cm="1">
        <f t="array" ref="D1179">_xlfn.SUMIFS('Diseases'!F2:F4303,'Diseases'!B2:B4303,A1179,'Diseases'!C2:C4303,B1179,'Diseases'!D2:D4303,C1179)</f>
        <v>758</v>
      </c>
      <c r="E1179" s="22" cm="1">
        <f t="array" ref="E1179">_xlfn.IFERROR(IF(INDEX('Diseases'!G2:G4303,MATCH(C1179,'Diseases'!D2:D4303,0))="","",INDEX('Diseases'!G2:G4303,MATCH(C1179,'Diseases'!D2:D4303,0))),"")</f>
        <v>4635519</v>
      </c>
      <c r="F1179" s="23" cm="1">
        <f t="array" ref="F1179">_xlfn.IFERROR(IF(E1179="","",D1179/E1179*100000),"")</f>
        <v>16.3519985572274</v>
      </c>
    </row>
    <row r="1180" ht="13.65" customHeight="1">
      <c r="A1180" t="s" s="28">
        <v>41</v>
      </c>
      <c r="B1180" t="s" s="21">
        <v>31</v>
      </c>
      <c r="C1180" t="s" s="21">
        <v>21</v>
      </c>
      <c r="D1180" s="22" cm="1">
        <f t="array" ref="D1180">_xlfn.SUMIFS('Diseases'!F2:F4303,'Diseases'!B2:B4303,A1180,'Diseases'!C2:C4303,B1180,'Diseases'!D2:D4303,C1180)</f>
        <v>550</v>
      </c>
      <c r="E1180" s="22" cm="1">
        <f t="array" ref="E1180">_xlfn.IFERROR(IF(INDEX('Diseases'!G2:G4303,MATCH(C1180,'Diseases'!D2:D4303,0))="","",INDEX('Diseases'!G2:G4303,MATCH(C1180,'Diseases'!D2:D4303,0))),"")</f>
        <v>4635519</v>
      </c>
      <c r="F1180" s="23" cm="1">
        <f t="array" ref="F1180">_xlfn.IFERROR(IF(E1180="","",D1180/E1180*100000),"")</f>
        <v>11.8649066048483</v>
      </c>
    </row>
    <row r="1181" ht="13.65" customHeight="1">
      <c r="A1181" t="s" s="20">
        <v>30</v>
      </c>
      <c r="B1181" t="s" s="21">
        <v>60</v>
      </c>
      <c r="C1181" t="s" s="21">
        <v>21</v>
      </c>
      <c r="D1181" s="22" cm="1">
        <f t="array" ref="D1181">_xlfn.SUMIFS('Diseases'!F2:F4303,'Diseases'!B2:B4303,A1181,'Diseases'!C2:C4303,B1181,'Diseases'!D2:D4303,C1181)</f>
        <v>8613</v>
      </c>
      <c r="E1181" s="22" cm="1">
        <f t="array" ref="E1181">_xlfn.IFERROR(IF(INDEX('Diseases'!G2:G4303,MATCH(C1181,'Diseases'!D2:D4303,0))="","",INDEX('Diseases'!G2:G4303,MATCH(C1181,'Diseases'!D2:D4303,0))),"")</f>
        <v>4635519</v>
      </c>
      <c r="F1181" s="23" cm="1">
        <f t="array" ref="F1181">_xlfn.IFERROR(IF(E1181="","",D1181/E1181*100000),"")</f>
        <v>185.804437431925</v>
      </c>
    </row>
    <row r="1182" ht="13.65" customHeight="1">
      <c r="A1182" t="s" s="24">
        <v>34</v>
      </c>
      <c r="B1182" t="s" s="21">
        <v>60</v>
      </c>
      <c r="C1182" t="s" s="21">
        <v>21</v>
      </c>
      <c r="D1182" s="22" cm="1">
        <f t="array" ref="D1182">_xlfn.SUMIFS('Diseases'!F2:F4303,'Diseases'!B2:B4303,A1182,'Diseases'!C2:C4303,B1182,'Diseases'!D2:D4303,C1182)</f>
        <v>6738</v>
      </c>
      <c r="E1182" s="22" cm="1">
        <f t="array" ref="E1182">_xlfn.IFERROR(IF(INDEX('Diseases'!G2:G4303,MATCH(C1182,'Diseases'!D2:D4303,0))="","",INDEX('Diseases'!G2:G4303,MATCH(C1182,'Diseases'!D2:D4303,0))),"")</f>
        <v>4635519</v>
      </c>
      <c r="F1182" s="23" cm="1">
        <f t="array" ref="F1182">_xlfn.IFERROR(IF(E1182="","",D1182/E1182*100000),"")</f>
        <v>145.355892188124</v>
      </c>
    </row>
    <row r="1183" ht="13.65" customHeight="1">
      <c r="A1183" t="s" s="27">
        <v>37</v>
      </c>
      <c r="B1183" t="s" s="21">
        <v>60</v>
      </c>
      <c r="C1183" t="s" s="21">
        <v>21</v>
      </c>
      <c r="D1183" s="22" cm="1">
        <f t="array" ref="D1183">_xlfn.SUMIFS('Diseases'!F2:F4303,'Diseases'!B2:B4303,A1183,'Diseases'!C2:C4303,B1183,'Diseases'!D2:D4303,C1183)</f>
        <v>2206</v>
      </c>
      <c r="E1183" s="22" cm="1">
        <f t="array" ref="E1183">_xlfn.IFERROR(IF(INDEX('Diseases'!G2:G4303,MATCH(C1183,'Diseases'!D2:D4303,0))="","",INDEX('Diseases'!G2:G4303,MATCH(C1183,'Diseases'!D2:D4303,0))),"")</f>
        <v>4635519</v>
      </c>
      <c r="F1183" s="23" cm="1">
        <f t="array" ref="F1183">_xlfn.IFERROR(IF(E1183="","",D1183/E1183*100000),"")</f>
        <v>47.5890617641735</v>
      </c>
    </row>
    <row r="1184" ht="13.65" customHeight="1">
      <c r="A1184" t="s" s="28">
        <v>41</v>
      </c>
      <c r="B1184" t="s" s="21">
        <v>60</v>
      </c>
      <c r="C1184" t="s" s="21">
        <v>21</v>
      </c>
      <c r="D1184" s="22" cm="1">
        <f t="array" ref="D1184">_xlfn.SUMIFS('Diseases'!F2:F4303,'Diseases'!B2:B4303,A1184,'Diseases'!C2:C4303,B1184,'Diseases'!D2:D4303,C1184)</f>
        <v>541</v>
      </c>
      <c r="E1184" s="22" cm="1">
        <f t="array" ref="E1184">_xlfn.IFERROR(IF(INDEX('Diseases'!G2:G4303,MATCH(C1184,'Diseases'!D2:D4303,0))="","",INDEX('Diseases'!G2:G4303,MATCH(C1184,'Diseases'!D2:D4303,0))),"")</f>
        <v>4635519</v>
      </c>
      <c r="F1184" s="23" cm="1">
        <f t="array" ref="F1184">_xlfn.IFERROR(IF(E1184="","",D1184/E1184*100000),"")</f>
        <v>11.6707535876781</v>
      </c>
    </row>
    <row r="1185" ht="13.65" customHeight="1">
      <c r="A1185" t="s" s="20">
        <v>30</v>
      </c>
      <c r="B1185" t="s" s="21">
        <v>61</v>
      </c>
      <c r="C1185" t="s" s="21">
        <v>21</v>
      </c>
      <c r="D1185" s="22" cm="1">
        <f t="array" ref="D1185">_xlfn.SUMIFS('Diseases'!F2:F4303,'Diseases'!B2:B4303,A1185,'Diseases'!C2:C4303,B1185,'Diseases'!D2:D4303,C1185)</f>
        <v>3596</v>
      </c>
      <c r="E1185" s="22" cm="1">
        <f t="array" ref="E1185">_xlfn.IFERROR(IF(INDEX('Diseases'!G2:G4303,MATCH(C1185,'Diseases'!D2:D4303,0))="","",INDEX('Diseases'!G2:G4303,MATCH(C1185,'Diseases'!D2:D4303,0))),"")</f>
        <v>4635519</v>
      </c>
      <c r="F1185" s="23" cm="1">
        <f t="array" ref="F1185">_xlfn.IFERROR(IF(E1185="","",D1185/E1185*100000),"")</f>
        <v>77.5749166382448</v>
      </c>
    </row>
    <row r="1186" ht="13.65" customHeight="1">
      <c r="A1186" t="s" s="25">
        <v>35</v>
      </c>
      <c r="B1186" t="s" s="21">
        <v>61</v>
      </c>
      <c r="C1186" t="s" s="21">
        <v>21</v>
      </c>
      <c r="D1186" s="22" cm="1">
        <f t="array" ref="D1186">_xlfn.SUMIFS('Diseases'!F2:F4303,'Diseases'!B2:B4303,A1186,'Diseases'!C2:C4303,B1186,'Diseases'!D2:D4303,C1186)</f>
        <v>886</v>
      </c>
      <c r="E1186" s="22" cm="1">
        <f t="array" ref="E1186">_xlfn.IFERROR(IF(INDEX('Diseases'!G2:G4303,MATCH(C1186,'Diseases'!D2:D4303,0))="","",INDEX('Diseases'!G2:G4303,MATCH(C1186,'Diseases'!D2:D4303,0))),"")</f>
        <v>4635519</v>
      </c>
      <c r="F1186" s="23" cm="1">
        <f t="array" ref="F1186">_xlfn.IFERROR(IF(E1186="","",D1186/E1186*100000),"")</f>
        <v>19.1132859125375</v>
      </c>
    </row>
    <row r="1187" ht="13.65" customHeight="1">
      <c r="A1187" t="s" s="24">
        <v>34</v>
      </c>
      <c r="B1187" t="s" s="21">
        <v>61</v>
      </c>
      <c r="C1187" t="s" s="21">
        <v>21</v>
      </c>
      <c r="D1187" s="22" cm="1">
        <f t="array" ref="D1187">_xlfn.SUMIFS('Diseases'!F2:F4303,'Diseases'!B2:B4303,A1187,'Diseases'!C2:C4303,B1187,'Diseases'!D2:D4303,C1187)</f>
        <v>813</v>
      </c>
      <c r="E1187" s="22" cm="1">
        <f t="array" ref="E1187">_xlfn.IFERROR(IF(INDEX('Diseases'!G2:G4303,MATCH(C1187,'Diseases'!D2:D4303,0))="","",INDEX('Diseases'!G2:G4303,MATCH(C1187,'Diseases'!D2:D4303,0))),"")</f>
        <v>4635519</v>
      </c>
      <c r="F1187" s="23" cm="1">
        <f t="array" ref="F1187">_xlfn.IFERROR(IF(E1187="","",D1187/E1187*100000),"")</f>
        <v>17.5384892177122</v>
      </c>
    </row>
    <row r="1188" ht="13.65" customHeight="1">
      <c r="A1188" t="s" s="31">
        <v>45</v>
      </c>
      <c r="B1188" t="s" s="21">
        <v>61</v>
      </c>
      <c r="C1188" t="s" s="21">
        <v>21</v>
      </c>
      <c r="D1188" s="22" cm="1">
        <f t="array" ref="D1188">_xlfn.SUMIFS('Diseases'!F2:F4303,'Diseases'!B2:B4303,A1188,'Diseases'!C2:C4303,B1188,'Diseases'!D2:D4303,C1188)</f>
        <v>606</v>
      </c>
      <c r="E1188" s="22" cm="1">
        <f t="array" ref="E1188">_xlfn.IFERROR(IF(INDEX('Diseases'!G2:G4303,MATCH(C1188,'Diseases'!D2:D4303,0))="","",INDEX('Diseases'!G2:G4303,MATCH(C1188,'Diseases'!D2:D4303,0))),"")</f>
        <v>4635519</v>
      </c>
      <c r="F1188" s="23" cm="1">
        <f t="array" ref="F1188">_xlfn.IFERROR(IF(E1188="","",D1188/E1188*100000),"")</f>
        <v>13.0729698227965</v>
      </c>
    </row>
    <row r="1189" ht="13.65" customHeight="1">
      <c r="A1189" t="s" s="27">
        <v>37</v>
      </c>
      <c r="B1189" t="s" s="21">
        <v>61</v>
      </c>
      <c r="C1189" t="s" s="21">
        <v>21</v>
      </c>
      <c r="D1189" s="22" cm="1">
        <f t="array" ref="D1189">_xlfn.SUMIFS('Diseases'!F2:F4303,'Diseases'!B2:B4303,A1189,'Diseases'!C2:C4303,B1189,'Diseases'!D2:D4303,C1189)</f>
        <v>256</v>
      </c>
      <c r="E1189" s="22" cm="1">
        <f t="array" ref="E1189">_xlfn.IFERROR(IF(INDEX('Diseases'!G2:G4303,MATCH(C1189,'Diseases'!D2:D4303,0))="","",INDEX('Diseases'!G2:G4303,MATCH(C1189,'Diseases'!D2:D4303,0))),"")</f>
        <v>4635519</v>
      </c>
      <c r="F1189" s="23" cm="1">
        <f t="array" ref="F1189">_xlfn.IFERROR(IF(E1189="","",D1189/E1189*100000),"")</f>
        <v>5.52257471062032</v>
      </c>
    </row>
    <row r="1190" ht="13.65" customHeight="1">
      <c r="A1190" t="s" s="20">
        <v>30</v>
      </c>
      <c r="B1190" t="s" s="21">
        <v>62</v>
      </c>
      <c r="C1190" t="s" s="21">
        <v>21</v>
      </c>
      <c r="D1190" s="22" cm="1">
        <f t="array" ref="D1190">_xlfn.SUMIFS('Diseases'!F2:F4303,'Diseases'!B2:B4303,A1190,'Diseases'!C2:C4303,B1190,'Diseases'!D2:D4303,C1190)</f>
        <v>44256</v>
      </c>
      <c r="E1190" s="22" cm="1">
        <f t="array" ref="E1190">_xlfn.IFERROR(IF(INDEX('Diseases'!G2:G4303,MATCH(C1190,'Diseases'!D2:D4303,0))="","",INDEX('Diseases'!G2:G4303,MATCH(C1190,'Diseases'!D2:D4303,0))),"")</f>
        <v>4635519</v>
      </c>
      <c r="F1190" s="23" cm="1">
        <f t="array" ref="F1190">_xlfn.IFERROR(IF(E1190="","",D1190/E1190*100000),"")</f>
        <v>954.715103098488</v>
      </c>
    </row>
    <row r="1191" ht="13.65" customHeight="1">
      <c r="A1191" t="s" s="26">
        <v>36</v>
      </c>
      <c r="B1191" t="s" s="21">
        <v>62</v>
      </c>
      <c r="C1191" t="s" s="21">
        <v>21</v>
      </c>
      <c r="D1191" s="22" cm="1">
        <f t="array" ref="D1191">_xlfn.SUMIFS('Diseases'!F2:F4303,'Diseases'!B2:B4303,A1191,'Diseases'!C2:C4303,B1191,'Diseases'!D2:D4303,C1191)</f>
        <v>28880</v>
      </c>
      <c r="E1191" s="22" cm="1">
        <f t="array" ref="E1191">_xlfn.IFERROR(IF(INDEX('Diseases'!G2:G4303,MATCH(C1191,'Diseases'!D2:D4303,0))="","",INDEX('Diseases'!G2:G4303,MATCH(C1191,'Diseases'!D2:D4303,0))),"")</f>
        <v>4635519</v>
      </c>
      <c r="F1191" s="23" cm="1">
        <f t="array" ref="F1191">_xlfn.IFERROR(IF(E1191="","",D1191/E1191*100000),"")</f>
        <v>623.015459541855</v>
      </c>
    </row>
    <row r="1192" ht="13.65" customHeight="1">
      <c r="A1192" t="s" s="31">
        <v>45</v>
      </c>
      <c r="B1192" t="s" s="21">
        <v>62</v>
      </c>
      <c r="C1192" t="s" s="21">
        <v>21</v>
      </c>
      <c r="D1192" s="22" cm="1">
        <f t="array" ref="D1192">_xlfn.SUMIFS('Diseases'!F2:F4303,'Diseases'!B2:B4303,A1192,'Diseases'!C2:C4303,B1192,'Diseases'!D2:D4303,C1192)</f>
        <v>10672</v>
      </c>
      <c r="E1192" s="22" cm="1">
        <f t="array" ref="E1192">_xlfn.IFERROR(IF(INDEX('Diseases'!G2:G4303,MATCH(C1192,'Diseases'!D2:D4303,0))="","",INDEX('Diseases'!G2:G4303,MATCH(C1192,'Diseases'!D2:D4303,0))),"")</f>
        <v>4635519</v>
      </c>
      <c r="F1192" s="23" cm="1">
        <f t="array" ref="F1192">_xlfn.IFERROR(IF(E1192="","",D1192/E1192*100000),"")</f>
        <v>230.222333248985</v>
      </c>
    </row>
    <row r="1193" ht="13.65" customHeight="1">
      <c r="A1193" t="s" s="24">
        <v>34</v>
      </c>
      <c r="B1193" t="s" s="21">
        <v>62</v>
      </c>
      <c r="C1193" t="s" s="21">
        <v>21</v>
      </c>
      <c r="D1193" s="22" cm="1">
        <f t="array" ref="D1193">_xlfn.SUMIFS('Diseases'!F2:F4303,'Diseases'!B2:B4303,A1193,'Diseases'!C2:C4303,B1193,'Diseases'!D2:D4303,C1193)</f>
        <v>10048</v>
      </c>
      <c r="E1193" s="22" cm="1">
        <f t="array" ref="E1193">_xlfn.IFERROR(IF(INDEX('Diseases'!G2:G4303,MATCH(C1193,'Diseases'!D2:D4303,0))="","",INDEX('Diseases'!G2:G4303,MATCH(C1193,'Diseases'!D2:D4303,0))),"")</f>
        <v>4635519</v>
      </c>
      <c r="F1193" s="23" cm="1">
        <f t="array" ref="F1193">_xlfn.IFERROR(IF(E1193="","",D1193/E1193*100000),"")</f>
        <v>216.761057391848</v>
      </c>
    </row>
    <row r="1194" ht="13.65" customHeight="1">
      <c r="A1194" t="s" s="25">
        <v>35</v>
      </c>
      <c r="B1194" t="s" s="21">
        <v>62</v>
      </c>
      <c r="C1194" t="s" s="21">
        <v>21</v>
      </c>
      <c r="D1194" s="22" cm="1">
        <f t="array" ref="D1194">_xlfn.SUMIFS('Diseases'!F2:F4303,'Diseases'!B2:B4303,A1194,'Diseases'!C2:C4303,B1194,'Diseases'!D2:D4303,C1194)</f>
        <v>8608</v>
      </c>
      <c r="E1194" s="22" cm="1">
        <f t="array" ref="E1194">_xlfn.IFERROR(IF(INDEX('Diseases'!G2:G4303,MATCH(C1194,'Diseases'!D2:D4303,0))="","",INDEX('Diseases'!G2:G4303,MATCH(C1194,'Diseases'!D2:D4303,0))),"")</f>
        <v>4635519</v>
      </c>
      <c r="F1194" s="23" cm="1">
        <f t="array" ref="F1194">_xlfn.IFERROR(IF(E1194="","",D1194/E1194*100000),"")</f>
        <v>185.696574644608</v>
      </c>
    </row>
    <row r="1195" ht="13.65" customHeight="1">
      <c r="A1195" t="s" s="28">
        <v>41</v>
      </c>
      <c r="B1195" t="s" s="21">
        <v>62</v>
      </c>
      <c r="C1195" t="s" s="21">
        <v>21</v>
      </c>
      <c r="D1195" s="22" cm="1">
        <f t="array" ref="D1195">_xlfn.SUMIFS('Diseases'!F2:F4303,'Diseases'!B2:B4303,A1195,'Diseases'!C2:C4303,B1195,'Diseases'!D2:D4303,C1195)</f>
        <v>8432</v>
      </c>
      <c r="E1195" s="22" cm="1">
        <f t="array" ref="E1195">_xlfn.IFERROR(IF(INDEX('Diseases'!G2:G4303,MATCH(C1195,'Diseases'!D2:D4303,0))="","",INDEX('Diseases'!G2:G4303,MATCH(C1195,'Diseases'!D2:D4303,0))),"")</f>
        <v>4635519</v>
      </c>
      <c r="F1195" s="23" cm="1">
        <f t="array" ref="F1195">_xlfn.IFERROR(IF(E1195="","",D1195/E1195*100000),"")</f>
        <v>181.899804531057</v>
      </c>
    </row>
    <row r="1196" ht="13.65" customHeight="1">
      <c r="A1196" t="s" s="27">
        <v>37</v>
      </c>
      <c r="B1196" t="s" s="21">
        <v>62</v>
      </c>
      <c r="C1196" t="s" s="21">
        <v>21</v>
      </c>
      <c r="D1196" s="22" cm="1">
        <f t="array" ref="D1196">_xlfn.SUMIFS('Diseases'!F2:F4303,'Diseases'!B2:B4303,A1196,'Diseases'!C2:C4303,B1196,'Diseases'!D2:D4303,C1196)</f>
        <v>3952</v>
      </c>
      <c r="E1196" s="22" cm="1">
        <f t="array" ref="E1196">_xlfn.IFERROR(IF(INDEX('Diseases'!G2:G4303,MATCH(C1196,'Diseases'!D2:D4303,0))="","",INDEX('Diseases'!G2:G4303,MATCH(C1196,'Diseases'!D2:D4303,0))),"")</f>
        <v>4635519</v>
      </c>
      <c r="F1196" s="23" cm="1">
        <f t="array" ref="F1196">_xlfn.IFERROR(IF(E1196="","",D1196/E1196*100000),"")</f>
        <v>85.2547470952012</v>
      </c>
    </row>
    <row r="1197" ht="13.65" customHeight="1">
      <c r="A1197" t="s" s="20">
        <v>30</v>
      </c>
      <c r="B1197" t="s" s="21">
        <v>63</v>
      </c>
      <c r="C1197" t="s" s="21">
        <v>21</v>
      </c>
      <c r="D1197" s="22" cm="1">
        <f t="array" ref="D1197">_xlfn.SUMIFS('Diseases'!F2:F4303,'Diseases'!B2:B4303,A1197,'Diseases'!C2:C4303,B1197,'Diseases'!D2:D4303,C1197)</f>
        <v>2696</v>
      </c>
      <c r="E1197" s="22" cm="1">
        <f t="array" ref="E1197">_xlfn.IFERROR(IF(INDEX('Diseases'!G2:G4303,MATCH(C1197,'Diseases'!D2:D4303,0))="","",INDEX('Diseases'!G2:G4303,MATCH(C1197,'Diseases'!D2:D4303,0))),"")</f>
        <v>4635519</v>
      </c>
      <c r="F1197" s="23" cm="1">
        <f t="array" ref="F1197">_xlfn.IFERROR(IF(E1197="","",D1197/E1197*100000),"")</f>
        <v>58.1596149212203</v>
      </c>
    </row>
    <row r="1198" ht="13.65" customHeight="1">
      <c r="A1198" t="s" s="26">
        <v>36</v>
      </c>
      <c r="B1198" t="s" s="21">
        <v>63</v>
      </c>
      <c r="C1198" t="s" s="21">
        <v>21</v>
      </c>
      <c r="D1198" s="22" cm="1">
        <f t="array" ref="D1198">_xlfn.SUMIFS('Diseases'!F2:F4303,'Diseases'!B2:B4303,A1198,'Diseases'!C2:C4303,B1198,'Diseases'!D2:D4303,C1198)</f>
        <v>1394</v>
      </c>
      <c r="E1198" s="22" cm="1">
        <f t="array" ref="E1198">_xlfn.IFERROR(IF(INDEX('Diseases'!G2:G4303,MATCH(C1198,'Diseases'!D2:D4303,0))="","",INDEX('Diseases'!G2:G4303,MATCH(C1198,'Diseases'!D2:D4303,0))),"")</f>
        <v>4635519</v>
      </c>
      <c r="F1198" s="23" cm="1">
        <f t="array" ref="F1198">_xlfn.IFERROR(IF(E1198="","",D1198/E1198*100000),"")</f>
        <v>30.0721451039247</v>
      </c>
    </row>
    <row r="1199" ht="13.65" customHeight="1">
      <c r="A1199" t="s" s="24">
        <v>34</v>
      </c>
      <c r="B1199" t="s" s="21">
        <v>63</v>
      </c>
      <c r="C1199" t="s" s="21">
        <v>21</v>
      </c>
      <c r="D1199" s="22" cm="1">
        <f t="array" ref="D1199">_xlfn.SUMIFS('Diseases'!F2:F4303,'Diseases'!B2:B4303,A1199,'Diseases'!C2:C4303,B1199,'Diseases'!D2:D4303,C1199)</f>
        <v>822</v>
      </c>
      <c r="E1199" s="22" cm="1">
        <f t="array" ref="E1199">_xlfn.IFERROR(IF(INDEX('Diseases'!G2:G4303,MATCH(C1199,'Diseases'!D2:D4303,0))="","",INDEX('Diseases'!G2:G4303,MATCH(C1199,'Diseases'!D2:D4303,0))),"")</f>
        <v>4635519</v>
      </c>
      <c r="F1199" s="23" cm="1">
        <f t="array" ref="F1199">_xlfn.IFERROR(IF(E1199="","",D1199/E1199*100000),"")</f>
        <v>17.7326422348824</v>
      </c>
    </row>
    <row r="1200" ht="13.65" customHeight="1">
      <c r="A1200" t="s" s="31">
        <v>45</v>
      </c>
      <c r="B1200" t="s" s="21">
        <v>63</v>
      </c>
      <c r="C1200" t="s" s="21">
        <v>21</v>
      </c>
      <c r="D1200" s="22" cm="1">
        <f t="array" ref="D1200">_xlfn.SUMIFS('Diseases'!F2:F4303,'Diseases'!B2:B4303,A1200,'Diseases'!C2:C4303,B1200,'Diseases'!D2:D4303,C1200)</f>
        <v>630</v>
      </c>
      <c r="E1200" s="22" cm="1">
        <f t="array" ref="E1200">_xlfn.IFERROR(IF(INDEX('Diseases'!G2:G4303,MATCH(C1200,'Diseases'!D2:D4303,0))="","",INDEX('Diseases'!G2:G4303,MATCH(C1200,'Diseases'!D2:D4303,0))),"")</f>
        <v>4635519</v>
      </c>
      <c r="F1200" s="23" cm="1">
        <f t="array" ref="F1200">_xlfn.IFERROR(IF(E1200="","",D1200/E1200*100000),"")</f>
        <v>13.5907112019172</v>
      </c>
    </row>
    <row r="1201" ht="13.65" customHeight="1">
      <c r="A1201" t="s" s="27">
        <v>37</v>
      </c>
      <c r="B1201" t="s" s="21">
        <v>63</v>
      </c>
      <c r="C1201" t="s" s="21">
        <v>21</v>
      </c>
      <c r="D1201" s="22" cm="1">
        <f t="array" ref="D1201">_xlfn.SUMIFS('Diseases'!F2:F4303,'Diseases'!B2:B4303,A1201,'Diseases'!C2:C4303,B1201,'Diseases'!D2:D4303,C1201)</f>
        <v>504</v>
      </c>
      <c r="E1201" s="22" cm="1">
        <f t="array" ref="E1201">_xlfn.IFERROR(IF(INDEX('Diseases'!G2:G4303,MATCH(C1201,'Diseases'!D2:D4303,0))="","",INDEX('Diseases'!G2:G4303,MATCH(C1201,'Diseases'!D2:D4303,0))),"")</f>
        <v>4635519</v>
      </c>
      <c r="F1201" s="23" cm="1">
        <f t="array" ref="F1201">_xlfn.IFERROR(IF(E1201="","",D1201/E1201*100000),"")</f>
        <v>10.8725689615338</v>
      </c>
    </row>
    <row r="1202" ht="13.65" customHeight="1">
      <c r="A1202" t="s" s="20">
        <v>30</v>
      </c>
      <c r="B1202" t="s" s="21">
        <v>64</v>
      </c>
      <c r="C1202" t="s" s="21">
        <v>21</v>
      </c>
      <c r="D1202" s="22" cm="1">
        <f t="array" ref="D1202">_xlfn.SUMIFS('Diseases'!F2:F4303,'Diseases'!B2:B4303,A1202,'Diseases'!C2:C4303,B1202,'Diseases'!D2:D4303,C1202)</f>
        <v>6533</v>
      </c>
      <c r="E1202" s="22" cm="1">
        <f t="array" ref="E1202">_xlfn.IFERROR(IF(INDEX('Diseases'!G2:G4303,MATCH(C1202,'Diseases'!D2:D4303,0))="","",INDEX('Diseases'!G2:G4303,MATCH(C1202,'Diseases'!D2:D4303,0))),"")</f>
        <v>4635519</v>
      </c>
      <c r="F1202" s="23" cm="1">
        <f t="array" ref="F1202">_xlfn.IFERROR(IF(E1202="","",D1202/E1202*100000),"")</f>
        <v>140.933517908135</v>
      </c>
    </row>
    <row r="1203" ht="13.65" customHeight="1">
      <c r="A1203" t="s" s="24">
        <v>34</v>
      </c>
      <c r="B1203" t="s" s="21">
        <v>64</v>
      </c>
      <c r="C1203" t="s" s="21">
        <v>21</v>
      </c>
      <c r="D1203" s="22" cm="1">
        <f t="array" ref="D1203">_xlfn.SUMIFS('Diseases'!F2:F4303,'Diseases'!B2:B4303,A1203,'Diseases'!C2:C4303,B1203,'Diseases'!D2:D4303,C1203)</f>
        <v>3397</v>
      </c>
      <c r="E1203" s="22" cm="1">
        <f t="array" ref="E1203">_xlfn.IFERROR(IF(INDEX('Diseases'!G2:G4303,MATCH(C1203,'Diseases'!D2:D4303,0))="","",INDEX('Diseases'!G2:G4303,MATCH(C1203,'Diseases'!D2:D4303,0))),"")</f>
        <v>4635519</v>
      </c>
      <c r="F1203" s="23" cm="1">
        <f t="array" ref="F1203">_xlfn.IFERROR(IF(E1203="","",D1203/E1203*100000),"")</f>
        <v>73.28197770303611</v>
      </c>
    </row>
    <row r="1204" ht="13.65" customHeight="1">
      <c r="A1204" t="s" s="26">
        <v>36</v>
      </c>
      <c r="B1204" t="s" s="21">
        <v>64</v>
      </c>
      <c r="C1204" t="s" s="21">
        <v>21</v>
      </c>
      <c r="D1204" s="22" cm="1">
        <f t="array" ref="D1204">_xlfn.SUMIFS('Diseases'!F2:F4303,'Diseases'!B2:B4303,A1204,'Diseases'!C2:C4303,B1204,'Diseases'!D2:D4303,C1204)</f>
        <v>2630</v>
      </c>
      <c r="E1204" s="22" cm="1">
        <f t="array" ref="E1204">_xlfn.IFERROR(IF(INDEX('Diseases'!G2:G4303,MATCH(C1204,'Diseases'!D2:D4303,0))="","",INDEX('Diseases'!G2:G4303,MATCH(C1204,'Diseases'!D2:D4303,0))),"")</f>
        <v>4635519</v>
      </c>
      <c r="F1204" s="23" cm="1">
        <f t="array" ref="F1204">_xlfn.IFERROR(IF(E1204="","",D1204/E1204*100000),"")</f>
        <v>56.7358261286385</v>
      </c>
    </row>
    <row r="1205" ht="13.65" customHeight="1">
      <c r="A1205" t="s" s="31">
        <v>45</v>
      </c>
      <c r="B1205" t="s" s="21">
        <v>64</v>
      </c>
      <c r="C1205" t="s" s="21">
        <v>21</v>
      </c>
      <c r="D1205" s="22" cm="1">
        <f t="array" ref="D1205">_xlfn.SUMIFS('Diseases'!F2:F4303,'Diseases'!B2:B4303,A1205,'Diseases'!C2:C4303,B1205,'Diseases'!D2:D4303,C1205)</f>
        <v>1381</v>
      </c>
      <c r="E1205" s="22" cm="1">
        <f t="array" ref="E1205">_xlfn.IFERROR(IF(INDEX('Diseases'!G2:G4303,MATCH(C1205,'Diseases'!D2:D4303,0))="","",INDEX('Diseases'!G2:G4303,MATCH(C1205,'Diseases'!D2:D4303,0))),"")</f>
        <v>4635519</v>
      </c>
      <c r="F1205" s="23" cm="1">
        <f t="array" ref="F1205">_xlfn.IFERROR(IF(E1205="","",D1205/E1205*100000),"")</f>
        <v>29.791701856901</v>
      </c>
    </row>
    <row r="1206" ht="13.65" customHeight="1">
      <c r="A1206" t="s" s="25">
        <v>35</v>
      </c>
      <c r="B1206" t="s" s="21">
        <v>64</v>
      </c>
      <c r="C1206" t="s" s="21">
        <v>21</v>
      </c>
      <c r="D1206" s="22" cm="1">
        <f t="array" ref="D1206">_xlfn.SUMIFS('Diseases'!F2:F4303,'Diseases'!B2:B4303,A1206,'Diseases'!C2:C4303,B1206,'Diseases'!D2:D4303,C1206)</f>
        <v>1287</v>
      </c>
      <c r="E1206" s="22" cm="1">
        <f t="array" ref="E1206">_xlfn.IFERROR(IF(INDEX('Diseases'!G2:G4303,MATCH(C1206,'Diseases'!D2:D4303,0))="","",INDEX('Diseases'!G2:G4303,MATCH(C1206,'Diseases'!D2:D4303,0))),"")</f>
        <v>4635519</v>
      </c>
      <c r="F1206" s="23" cm="1">
        <f t="array" ref="F1206">_xlfn.IFERROR(IF(E1206="","",D1206/E1206*100000),"")</f>
        <v>27.7638814553451</v>
      </c>
    </row>
    <row r="1207" ht="13.65" customHeight="1">
      <c r="A1207" t="s" s="20">
        <v>30</v>
      </c>
      <c r="B1207" t="s" s="21">
        <v>65</v>
      </c>
      <c r="C1207" t="s" s="21">
        <v>21</v>
      </c>
      <c r="D1207" s="22" cm="1">
        <f t="array" ref="D1207">_xlfn.SUMIFS('Diseases'!F2:F4303,'Diseases'!B2:B4303,A1207,'Diseases'!C2:C4303,B1207,'Diseases'!D2:D4303,C1207)</f>
        <v>13223</v>
      </c>
      <c r="E1207" s="22" cm="1">
        <f t="array" ref="E1207">_xlfn.IFERROR(IF(INDEX('Diseases'!G2:G4303,MATCH(C1207,'Diseases'!D2:D4303,0))="","",INDEX('Diseases'!G2:G4303,MATCH(C1207,'Diseases'!D2:D4303,0))),"")</f>
        <v>4635519</v>
      </c>
      <c r="F1207" s="23" cm="1">
        <f t="array" ref="F1207">_xlfn.IFERROR(IF(E1207="","",D1207/E1207*100000),"")</f>
        <v>285.253927338018</v>
      </c>
    </row>
    <row r="1208" ht="13.65" customHeight="1">
      <c r="A1208" t="s" s="26">
        <v>36</v>
      </c>
      <c r="B1208" t="s" s="21">
        <v>65</v>
      </c>
      <c r="C1208" t="s" s="21">
        <v>21</v>
      </c>
      <c r="D1208" s="22" cm="1">
        <f t="array" ref="D1208">_xlfn.SUMIFS('Diseases'!F2:F4303,'Diseases'!B2:B4303,A1208,'Diseases'!C2:C4303,B1208,'Diseases'!D2:D4303,C1208)</f>
        <v>4521</v>
      </c>
      <c r="E1208" s="22" cm="1">
        <f t="array" ref="E1208">_xlfn.IFERROR(IF(INDEX('Diseases'!G2:G4303,MATCH(C1208,'Diseases'!D2:D4303,0))="","",INDEX('Diseases'!G2:G4303,MATCH(C1208,'Diseases'!D2:D4303,0))),"")</f>
        <v>4635519</v>
      </c>
      <c r="F1208" s="23" cm="1">
        <f t="array" ref="F1208">_xlfn.IFERROR(IF(E1208="","",D1208/E1208*100000),"")</f>
        <v>97.5295322918534</v>
      </c>
    </row>
    <row r="1209" ht="13.65" customHeight="1">
      <c r="A1209" t="s" s="24">
        <v>34</v>
      </c>
      <c r="B1209" t="s" s="21">
        <v>65</v>
      </c>
      <c r="C1209" t="s" s="21">
        <v>21</v>
      </c>
      <c r="D1209" s="22" cm="1">
        <f t="array" ref="D1209">_xlfn.SUMIFS('Diseases'!F2:F4303,'Diseases'!B2:B4303,A1209,'Diseases'!C2:C4303,B1209,'Diseases'!D2:D4303,C1209)</f>
        <v>2794</v>
      </c>
      <c r="E1209" s="22" cm="1">
        <f t="array" ref="E1209">_xlfn.IFERROR(IF(INDEX('Diseases'!G2:G4303,MATCH(C1209,'Diseases'!D2:D4303,0))="","",INDEX('Diseases'!G2:G4303,MATCH(C1209,'Diseases'!D2:D4303,0))),"")</f>
        <v>4635519</v>
      </c>
      <c r="F1209" s="23" cm="1">
        <f t="array" ref="F1209">_xlfn.IFERROR(IF(E1209="","",D1209/E1209*100000),"")</f>
        <v>60.2737255526296</v>
      </c>
    </row>
    <row r="1210" ht="13.65" customHeight="1">
      <c r="A1210" t="s" s="25">
        <v>35</v>
      </c>
      <c r="B1210" t="s" s="21">
        <v>65</v>
      </c>
      <c r="C1210" t="s" s="21">
        <v>21</v>
      </c>
      <c r="D1210" s="22" cm="1">
        <f t="array" ref="D1210">_xlfn.SUMIFS('Diseases'!F2:F4303,'Diseases'!B2:B4303,A1210,'Diseases'!C2:C4303,B1210,'Diseases'!D2:D4303,C1210)</f>
        <v>1883</v>
      </c>
      <c r="E1210" s="22" cm="1">
        <f t="array" ref="E1210">_xlfn.IFERROR(IF(INDEX('Diseases'!G2:G4303,MATCH(C1210,'Diseases'!D2:D4303,0))="","",INDEX('Diseases'!G2:G4303,MATCH(C1210,'Diseases'!D2:D4303,0))),"")</f>
        <v>4635519</v>
      </c>
      <c r="F1210" s="23" cm="1">
        <f t="array" ref="F1210">_xlfn.IFERROR(IF(E1210="","",D1210/E1210*100000),"")</f>
        <v>40.6211257035081</v>
      </c>
    </row>
    <row r="1211" ht="13.65" customHeight="1">
      <c r="A1211" t="s" s="28">
        <v>41</v>
      </c>
      <c r="B1211" t="s" s="21">
        <v>65</v>
      </c>
      <c r="C1211" t="s" s="21">
        <v>21</v>
      </c>
      <c r="D1211" s="22" cm="1">
        <f t="array" ref="D1211">_xlfn.SUMIFS('Diseases'!F2:F4303,'Diseases'!B2:B4303,A1211,'Diseases'!C2:C4303,B1211,'Diseases'!D2:D4303,C1211)</f>
        <v>1208</v>
      </c>
      <c r="E1211" s="22" cm="1">
        <f t="array" ref="E1211">_xlfn.IFERROR(IF(INDEX('Diseases'!G2:G4303,MATCH(C1211,'Diseases'!D2:D4303,0))="","",INDEX('Diseases'!G2:G4303,MATCH(C1211,'Diseases'!D2:D4303,0))),"")</f>
        <v>4635519</v>
      </c>
      <c r="F1211" s="23" cm="1">
        <f t="array" ref="F1211">_xlfn.IFERROR(IF(E1211="","",D1211/E1211*100000),"")</f>
        <v>26.0596494157396</v>
      </c>
    </row>
    <row r="1212" ht="13.65" customHeight="1">
      <c r="A1212" t="s" s="27">
        <v>37</v>
      </c>
      <c r="B1212" t="s" s="21">
        <v>65</v>
      </c>
      <c r="C1212" t="s" s="21">
        <v>21</v>
      </c>
      <c r="D1212" s="22" cm="1">
        <f t="array" ref="D1212">_xlfn.SUMIFS('Diseases'!F2:F4303,'Diseases'!B2:B4303,A1212,'Diseases'!C2:C4303,B1212,'Diseases'!D2:D4303,C1212)</f>
        <v>856</v>
      </c>
      <c r="E1212" s="22" cm="1">
        <f t="array" ref="E1212">_xlfn.IFERROR(IF(INDEX('Diseases'!G2:G4303,MATCH(C1212,'Diseases'!D2:D4303,0))="","",INDEX('Diseases'!G2:G4303,MATCH(C1212,'Diseases'!D2:D4303,0))),"")</f>
        <v>4635519</v>
      </c>
      <c r="F1212" s="23" cm="1">
        <f t="array" ref="F1212">_xlfn.IFERROR(IF(E1212="","",D1212/E1212*100000),"")</f>
        <v>18.4661091886367</v>
      </c>
    </row>
    <row r="1213" ht="13.65" customHeight="1">
      <c r="A1213" t="s" s="20">
        <v>30</v>
      </c>
      <c r="B1213" t="s" s="21">
        <v>66</v>
      </c>
      <c r="C1213" t="s" s="21">
        <v>21</v>
      </c>
      <c r="D1213" s="22" cm="1">
        <f t="array" ref="D1213">_xlfn.SUMIFS('Diseases'!F2:F4303,'Diseases'!B2:B4303,A1213,'Diseases'!C2:C4303,B1213,'Diseases'!D2:D4303,C1213)</f>
        <v>14007</v>
      </c>
      <c r="E1213" s="22" cm="1">
        <f t="array" ref="E1213">_xlfn.IFERROR(IF(INDEX('Diseases'!G2:G4303,MATCH(C1213,'Diseases'!D2:D4303,0))="","",INDEX('Diseases'!G2:G4303,MATCH(C1213,'Diseases'!D2:D4303,0))),"")</f>
        <v>4635519</v>
      </c>
      <c r="F1213" s="23" cm="1">
        <f t="array" ref="F1213">_xlfn.IFERROR(IF(E1213="","",D1213/E1213*100000),"")</f>
        <v>302.166812389292</v>
      </c>
    </row>
    <row r="1214" ht="13.65" customHeight="1">
      <c r="A1214" t="s" s="26">
        <v>36</v>
      </c>
      <c r="B1214" t="s" s="21">
        <v>66</v>
      </c>
      <c r="C1214" t="s" s="21">
        <v>21</v>
      </c>
      <c r="D1214" s="22" cm="1">
        <f t="array" ref="D1214">_xlfn.SUMIFS('Diseases'!F2:F4303,'Diseases'!B2:B4303,A1214,'Diseases'!C2:C4303,B1214,'Diseases'!D2:D4303,C1214)</f>
        <v>4785</v>
      </c>
      <c r="E1214" s="22" cm="1">
        <f t="array" ref="E1214">_xlfn.IFERROR(IF(INDEX('Diseases'!G2:G4303,MATCH(C1214,'Diseases'!D2:D4303,0))="","",INDEX('Diseases'!G2:G4303,MATCH(C1214,'Diseases'!D2:D4303,0))),"")</f>
        <v>4635519</v>
      </c>
      <c r="F1214" s="23" cm="1">
        <f t="array" ref="F1214">_xlfn.IFERROR(IF(E1214="","",D1214/E1214*100000),"")</f>
        <v>103.224687462181</v>
      </c>
    </row>
    <row r="1215" ht="13.65" customHeight="1">
      <c r="A1215" t="s" s="24">
        <v>34</v>
      </c>
      <c r="B1215" t="s" s="21">
        <v>66</v>
      </c>
      <c r="C1215" t="s" s="21">
        <v>21</v>
      </c>
      <c r="D1215" s="22" cm="1">
        <f t="array" ref="D1215">_xlfn.SUMIFS('Diseases'!F2:F4303,'Diseases'!B2:B4303,A1215,'Diseases'!C2:C4303,B1215,'Diseases'!D2:D4303,C1215)</f>
        <v>3275</v>
      </c>
      <c r="E1215" s="22" cm="1">
        <f t="array" ref="E1215">_xlfn.IFERROR(IF(INDEX('Diseases'!G2:G4303,MATCH(C1215,'Diseases'!D2:D4303,0))="","",INDEX('Diseases'!G2:G4303,MATCH(C1215,'Diseases'!D2:D4303,0))),"")</f>
        <v>4635519</v>
      </c>
      <c r="F1215" s="23" cm="1">
        <f t="array" ref="F1215">_xlfn.IFERROR(IF(E1215="","",D1215/E1215*100000),"")</f>
        <v>70.65012569250609</v>
      </c>
    </row>
    <row r="1216" ht="13.65" customHeight="1">
      <c r="A1216" t="s" s="28">
        <v>41</v>
      </c>
      <c r="B1216" t="s" s="21">
        <v>66</v>
      </c>
      <c r="C1216" t="s" s="21">
        <v>21</v>
      </c>
      <c r="D1216" s="22" cm="1">
        <f t="array" ref="D1216">_xlfn.SUMIFS('Diseases'!F2:F4303,'Diseases'!B2:B4303,A1216,'Diseases'!C2:C4303,B1216,'Diseases'!D2:D4303,C1216)</f>
        <v>1241</v>
      </c>
      <c r="E1216" s="22" cm="1">
        <f t="array" ref="E1216">_xlfn.IFERROR(IF(INDEX('Diseases'!G2:G4303,MATCH(C1216,'Diseases'!D2:D4303,0))="","",INDEX('Diseases'!G2:G4303,MATCH(C1216,'Diseases'!D2:D4303,0))),"")</f>
        <v>4635519</v>
      </c>
      <c r="F1216" s="23" cm="1">
        <f t="array" ref="F1216">_xlfn.IFERROR(IF(E1216="","",D1216/E1216*100000),"")</f>
        <v>26.7715438120305</v>
      </c>
    </row>
    <row r="1217" ht="13.65" customHeight="1">
      <c r="A1217" t="s" s="31">
        <v>45</v>
      </c>
      <c r="B1217" t="s" s="21">
        <v>66</v>
      </c>
      <c r="C1217" t="s" s="21">
        <v>21</v>
      </c>
      <c r="D1217" s="22" cm="1">
        <f t="array" ref="D1217">_xlfn.SUMIFS('Diseases'!F2:F4303,'Diseases'!B2:B4303,A1217,'Diseases'!C2:C4303,B1217,'Diseases'!D2:D4303,C1217)</f>
        <v>1120</v>
      </c>
      <c r="E1217" s="22" cm="1">
        <f t="array" ref="E1217">_xlfn.IFERROR(IF(INDEX('Diseases'!G2:G4303,MATCH(C1217,'Diseases'!D2:D4303,0))="","",INDEX('Diseases'!G2:G4303,MATCH(C1217,'Diseases'!D2:D4303,0))),"")</f>
        <v>4635519</v>
      </c>
      <c r="F1217" s="23" cm="1">
        <f t="array" ref="F1217">_xlfn.IFERROR(IF(E1217="","",D1217/E1217*100000),"")</f>
        <v>24.1612643589639</v>
      </c>
    </row>
    <row r="1218" ht="13.65" customHeight="1">
      <c r="A1218" t="s" s="27">
        <v>37</v>
      </c>
      <c r="B1218" t="s" s="21">
        <v>66</v>
      </c>
      <c r="C1218" t="s" s="21">
        <v>21</v>
      </c>
      <c r="D1218" s="22" cm="1">
        <f t="array" ref="D1218">_xlfn.SUMIFS('Diseases'!F2:F4303,'Diseases'!B2:B4303,A1218,'Diseases'!C2:C4303,B1218,'Diseases'!D2:D4303,C1218)</f>
        <v>962</v>
      </c>
      <c r="E1218" s="22" cm="1">
        <f t="array" ref="E1218">_xlfn.IFERROR(IF(INDEX('Diseases'!G2:G4303,MATCH(C1218,'Diseases'!D2:D4303,0))="","",INDEX('Diseases'!G2:G4303,MATCH(C1218,'Diseases'!D2:D4303,0))),"")</f>
        <v>4635519</v>
      </c>
      <c r="F1218" s="23" cm="1">
        <f t="array" ref="F1218">_xlfn.IFERROR(IF(E1218="","",D1218/E1218*100000),"")</f>
        <v>20.7528002797529</v>
      </c>
    </row>
    <row r="1219" ht="13.65" customHeight="1">
      <c r="A1219" t="s" s="20">
        <v>30</v>
      </c>
      <c r="B1219" t="s" s="21">
        <v>67</v>
      </c>
      <c r="C1219" t="s" s="21">
        <v>21</v>
      </c>
      <c r="D1219" s="22" cm="1">
        <f t="array" ref="D1219">_xlfn.SUMIFS('Diseases'!F2:F4303,'Diseases'!B2:B4303,A1219,'Diseases'!C2:C4303,B1219,'Diseases'!D2:D4303,C1219)</f>
        <v>13755</v>
      </c>
      <c r="E1219" s="22" cm="1">
        <f t="array" ref="E1219">_xlfn.IFERROR(IF(INDEX('Diseases'!G2:G4303,MATCH(C1219,'Diseases'!D2:D4303,0))="","",INDEX('Diseases'!G2:G4303,MATCH(C1219,'Diseases'!D2:D4303,0))),"")</f>
        <v>4635519</v>
      </c>
      <c r="F1219" s="23" cm="1">
        <f t="array" ref="F1219">_xlfn.IFERROR(IF(E1219="","",D1219/E1219*100000),"")</f>
        <v>296.730527908525</v>
      </c>
    </row>
    <row r="1220" ht="13.65" customHeight="1">
      <c r="A1220" t="s" s="26">
        <v>36</v>
      </c>
      <c r="B1220" t="s" s="21">
        <v>67</v>
      </c>
      <c r="C1220" t="s" s="21">
        <v>21</v>
      </c>
      <c r="D1220" s="22" cm="1">
        <f t="array" ref="D1220">_xlfn.SUMIFS('Diseases'!F2:F4303,'Diseases'!B2:B4303,A1220,'Diseases'!C2:C4303,B1220,'Diseases'!D2:D4303,C1220)</f>
        <v>5412</v>
      </c>
      <c r="E1220" s="22" cm="1">
        <f t="array" ref="E1220">_xlfn.IFERROR(IF(INDEX('Diseases'!G2:G4303,MATCH(C1220,'Diseases'!D2:D4303,0))="","",INDEX('Diseases'!G2:G4303,MATCH(C1220,'Diseases'!D2:D4303,0))),"")</f>
        <v>4635519</v>
      </c>
      <c r="F1220" s="23" cm="1">
        <f t="array" ref="F1220">_xlfn.IFERROR(IF(E1220="","",D1220/E1220*100000),"")</f>
        <v>116.750680991708</v>
      </c>
    </row>
    <row r="1221" ht="13.65" customHeight="1">
      <c r="A1221" t="s" s="24">
        <v>34</v>
      </c>
      <c r="B1221" t="s" s="21">
        <v>67</v>
      </c>
      <c r="C1221" t="s" s="21">
        <v>21</v>
      </c>
      <c r="D1221" s="22" cm="1">
        <f t="array" ref="D1221">_xlfn.SUMIFS('Diseases'!F2:F4303,'Diseases'!B2:B4303,A1221,'Diseases'!C2:C4303,B1221,'Diseases'!D2:D4303,C1221)</f>
        <v>3594</v>
      </c>
      <c r="E1221" s="22" cm="1">
        <f t="array" ref="E1221">_xlfn.IFERROR(IF(INDEX('Diseases'!G2:G4303,MATCH(C1221,'Diseases'!D2:D4303,0))="","",INDEX('Diseases'!G2:G4303,MATCH(C1221,'Diseases'!D2:D4303,0))),"")</f>
        <v>4635519</v>
      </c>
      <c r="F1221" s="23" cm="1">
        <f t="array" ref="F1221">_xlfn.IFERROR(IF(E1221="","",D1221/E1221*100000),"")</f>
        <v>77.5317715233181</v>
      </c>
    </row>
    <row r="1222" ht="13.65" customHeight="1">
      <c r="A1222" t="s" s="27">
        <v>37</v>
      </c>
      <c r="B1222" t="s" s="21">
        <v>67</v>
      </c>
      <c r="C1222" t="s" s="21">
        <v>21</v>
      </c>
      <c r="D1222" s="22" cm="1">
        <f t="array" ref="D1222">_xlfn.SUMIFS('Diseases'!F2:F4303,'Diseases'!B2:B4303,A1222,'Diseases'!C2:C4303,B1222,'Diseases'!D2:D4303,C1222)</f>
        <v>2286</v>
      </c>
      <c r="E1222" s="22" cm="1">
        <f t="array" ref="E1222">_xlfn.IFERROR(IF(INDEX('Diseases'!G2:G4303,MATCH(C1222,'Diseases'!D2:D4303,0))="","",INDEX('Diseases'!G2:G4303,MATCH(C1222,'Diseases'!D2:D4303,0))),"")</f>
        <v>4635519</v>
      </c>
      <c r="F1222" s="23" cm="1">
        <f t="array" ref="F1222">_xlfn.IFERROR(IF(E1222="","",D1222/E1222*100000),"")</f>
        <v>49.3148663612424</v>
      </c>
    </row>
    <row r="1223" ht="13.65" customHeight="1">
      <c r="A1223" t="s" s="31">
        <v>45</v>
      </c>
      <c r="B1223" t="s" s="21">
        <v>67</v>
      </c>
      <c r="C1223" t="s" s="21">
        <v>21</v>
      </c>
      <c r="D1223" s="22" cm="1">
        <f t="array" ref="D1223">_xlfn.SUMIFS('Diseases'!F2:F4303,'Diseases'!B2:B4303,A1223,'Diseases'!C2:C4303,B1223,'Diseases'!D2:D4303,C1223)</f>
        <v>1579</v>
      </c>
      <c r="E1223" s="22" cm="1">
        <f t="array" ref="E1223">_xlfn.IFERROR(IF(INDEX('Diseases'!G2:G4303,MATCH(C1223,'Diseases'!D2:D4303,0))="","",INDEX('Diseases'!G2:G4303,MATCH(C1223,'Diseases'!D2:D4303,0))),"")</f>
        <v>4635519</v>
      </c>
      <c r="F1223" s="23" cm="1">
        <f t="array" ref="F1223">_xlfn.IFERROR(IF(E1223="","",D1223/E1223*100000),"")</f>
        <v>34.0630682346464</v>
      </c>
    </row>
    <row r="1224" ht="13.65" customHeight="1">
      <c r="A1224" t="s" s="28">
        <v>41</v>
      </c>
      <c r="B1224" t="s" s="21">
        <v>67</v>
      </c>
      <c r="C1224" t="s" s="21">
        <v>21</v>
      </c>
      <c r="D1224" s="22" cm="1">
        <f t="array" ref="D1224">_xlfn.SUMIFS('Diseases'!F2:F4303,'Diseases'!B2:B4303,A1224,'Diseases'!C2:C4303,B1224,'Diseases'!D2:D4303,C1224)</f>
        <v>1578</v>
      </c>
      <c r="E1224" s="22" cm="1">
        <f t="array" ref="E1224">_xlfn.IFERROR(IF(INDEX('Diseases'!G2:G4303,MATCH(C1224,'Diseases'!D2:D4303,0))="","",INDEX('Diseases'!G2:G4303,MATCH(C1224,'Diseases'!D2:D4303,0))),"")</f>
        <v>4635519</v>
      </c>
      <c r="F1224" s="23" cm="1">
        <f t="array" ref="F1224">_xlfn.IFERROR(IF(E1224="","",D1224/E1224*100000),"")</f>
        <v>34.0414956771831</v>
      </c>
    </row>
    <row r="1225" ht="13.65" customHeight="1">
      <c r="A1225" t="s" s="20">
        <v>30</v>
      </c>
      <c r="B1225" t="s" s="21">
        <v>68</v>
      </c>
      <c r="C1225" t="s" s="21">
        <v>21</v>
      </c>
      <c r="D1225" s="22" cm="1">
        <f t="array" ref="D1225">_xlfn.SUMIFS('Diseases'!F2:F4303,'Diseases'!B2:B4303,A1225,'Diseases'!C2:C4303,B1225,'Diseases'!D2:D4303,C1225)</f>
        <v>17089</v>
      </c>
      <c r="E1225" s="22" cm="1">
        <f t="array" ref="E1225">_xlfn.IFERROR(IF(INDEX('Diseases'!G2:G4303,MATCH(C1225,'Diseases'!D2:D4303,0))="","",INDEX('Diseases'!G2:G4303,MATCH(C1225,'Diseases'!D2:D4303,0))),"")</f>
        <v>4635519</v>
      </c>
      <c r="F1225" s="23" cm="1">
        <f t="array" ref="F1225">_xlfn.IFERROR(IF(E1225="","",D1225/E1225*100000),"")</f>
        <v>368.653434491370</v>
      </c>
    </row>
    <row r="1226" ht="13.65" customHeight="1">
      <c r="A1226" t="s" s="26">
        <v>36</v>
      </c>
      <c r="B1226" t="s" s="21">
        <v>68</v>
      </c>
      <c r="C1226" t="s" s="21">
        <v>21</v>
      </c>
      <c r="D1226" s="22" cm="1">
        <f t="array" ref="D1226">_xlfn.SUMIFS('Diseases'!F2:F4303,'Diseases'!B2:B4303,A1226,'Diseases'!C2:C4303,B1226,'Diseases'!D2:D4303,C1226)</f>
        <v>5389</v>
      </c>
      <c r="E1226" s="22" cm="1">
        <f t="array" ref="E1226">_xlfn.IFERROR(IF(INDEX('Diseases'!G2:G4303,MATCH(C1226,'Diseases'!D2:D4303,0))="","",INDEX('Diseases'!G2:G4303,MATCH(C1226,'Diseases'!D2:D4303,0))),"")</f>
        <v>4635519</v>
      </c>
      <c r="F1226" s="23" cm="1">
        <f t="array" ref="F1226">_xlfn.IFERROR(IF(E1226="","",D1226/E1226*100000),"")</f>
        <v>116.254512170050</v>
      </c>
    </row>
    <row r="1227" ht="13.65" customHeight="1">
      <c r="A1227" t="s" s="24">
        <v>34</v>
      </c>
      <c r="B1227" t="s" s="21">
        <v>68</v>
      </c>
      <c r="C1227" t="s" s="21">
        <v>21</v>
      </c>
      <c r="D1227" s="22" cm="1">
        <f t="array" ref="D1227">_xlfn.SUMIFS('Diseases'!F2:F4303,'Diseases'!B2:B4303,A1227,'Diseases'!C2:C4303,B1227,'Diseases'!D2:D4303,C1227)</f>
        <v>2936</v>
      </c>
      <c r="E1227" s="22" cm="1">
        <f t="array" ref="E1227">_xlfn.IFERROR(IF(INDEX('Diseases'!G2:G4303,MATCH(C1227,'Diseases'!D2:D4303,0))="","",INDEX('Diseases'!G2:G4303,MATCH(C1227,'Diseases'!D2:D4303,0))),"")</f>
        <v>4635519</v>
      </c>
      <c r="F1227" s="23" cm="1">
        <f t="array" ref="F1227">_xlfn.IFERROR(IF(E1227="","",D1227/E1227*100000),"")</f>
        <v>63.3370287124268</v>
      </c>
    </row>
    <row r="1228" ht="13.65" customHeight="1">
      <c r="A1228" t="s" s="28">
        <v>41</v>
      </c>
      <c r="B1228" t="s" s="21">
        <v>68</v>
      </c>
      <c r="C1228" t="s" s="21">
        <v>21</v>
      </c>
      <c r="D1228" s="22" cm="1">
        <f t="array" ref="D1228">_xlfn.SUMIFS('Diseases'!F2:F4303,'Diseases'!B2:B4303,A1228,'Diseases'!C2:C4303,B1228,'Diseases'!D2:D4303,C1228)</f>
        <v>2593</v>
      </c>
      <c r="E1228" s="22" cm="1">
        <f t="array" ref="E1228">_xlfn.IFERROR(IF(INDEX('Diseases'!G2:G4303,MATCH(C1228,'Diseases'!D2:D4303,0))="","",INDEX('Diseases'!G2:G4303,MATCH(C1228,'Diseases'!D2:D4303,0))),"")</f>
        <v>4635519</v>
      </c>
      <c r="F1228" s="23" cm="1">
        <f t="array" ref="F1228">_xlfn.IFERROR(IF(E1228="","",D1228/E1228*100000),"")</f>
        <v>55.9376415024941</v>
      </c>
    </row>
    <row r="1229" ht="13.65" customHeight="1">
      <c r="A1229" t="s" s="31">
        <v>45</v>
      </c>
      <c r="B1229" t="s" s="21">
        <v>68</v>
      </c>
      <c r="C1229" t="s" s="21">
        <v>21</v>
      </c>
      <c r="D1229" s="22" cm="1">
        <f t="array" ref="D1229">_xlfn.SUMIFS('Diseases'!F2:F4303,'Diseases'!B2:B4303,A1229,'Diseases'!C2:C4303,B1229,'Diseases'!D2:D4303,C1229)</f>
        <v>1090</v>
      </c>
      <c r="E1229" s="22" cm="1">
        <f t="array" ref="E1229">_xlfn.IFERROR(IF(INDEX('Diseases'!G2:G4303,MATCH(C1229,'Diseases'!D2:D4303,0))="","",INDEX('Diseases'!G2:G4303,MATCH(C1229,'Diseases'!D2:D4303,0))),"")</f>
        <v>4635519</v>
      </c>
      <c r="F1229" s="23" cm="1">
        <f t="array" ref="F1229">_xlfn.IFERROR(IF(E1229="","",D1229/E1229*100000),"")</f>
        <v>23.5140876350631</v>
      </c>
    </row>
    <row r="1230" ht="13.65" customHeight="1">
      <c r="A1230" t="s" s="29">
        <v>39</v>
      </c>
      <c r="B1230" t="s" s="21">
        <v>68</v>
      </c>
      <c r="C1230" t="s" s="21">
        <v>21</v>
      </c>
      <c r="D1230" s="22" cm="1">
        <f t="array" ref="D1230">_xlfn.SUMIFS('Diseases'!F2:F4303,'Diseases'!B2:B4303,A1230,'Diseases'!C2:C4303,B1230,'Diseases'!D2:D4303,C1230)</f>
        <v>1021</v>
      </c>
      <c r="E1230" s="22" cm="1">
        <f t="array" ref="E1230">_xlfn.IFERROR(IF(INDEX('Diseases'!G2:G4303,MATCH(C1230,'Diseases'!D2:D4303,0))="","",INDEX('Diseases'!G2:G4303,MATCH(C1230,'Diseases'!D2:D4303,0))),"")</f>
        <v>4635519</v>
      </c>
      <c r="F1230" s="23" cm="1">
        <f t="array" ref="F1230">_xlfn.IFERROR(IF(E1230="","",D1230/E1230*100000),"")</f>
        <v>22.0255811700912</v>
      </c>
    </row>
    <row r="1231" ht="13.65" customHeight="1">
      <c r="A1231" t="s" s="20">
        <v>30</v>
      </c>
      <c r="B1231" t="s" s="21">
        <v>69</v>
      </c>
      <c r="C1231" t="s" s="21">
        <v>21</v>
      </c>
      <c r="D1231" s="22" cm="1">
        <f t="array" ref="D1231">_xlfn.SUMIFS('Diseases'!F2:F4303,'Diseases'!B2:B4303,A1231,'Diseases'!C2:C4303,B1231,'Diseases'!D2:D4303,C1231)</f>
        <v>14853</v>
      </c>
      <c r="E1231" s="22" cm="1">
        <f t="array" ref="E1231">_xlfn.IFERROR(IF(INDEX('Diseases'!G2:G4303,MATCH(C1231,'Diseases'!D2:D4303,0))="","",INDEX('Diseases'!G2:G4303,MATCH(C1231,'Diseases'!D2:D4303,0))),"")</f>
        <v>4635519</v>
      </c>
      <c r="F1231" s="23" cm="1">
        <f t="array" ref="F1231">_xlfn.IFERROR(IF(E1231="","",D1231/E1231*100000),"")</f>
        <v>320.417196003295</v>
      </c>
    </row>
    <row r="1232" ht="13.65" customHeight="1">
      <c r="A1232" t="s" s="26">
        <v>36</v>
      </c>
      <c r="B1232" t="s" s="21">
        <v>69</v>
      </c>
      <c r="C1232" t="s" s="21">
        <v>21</v>
      </c>
      <c r="D1232" s="22" cm="1">
        <f t="array" ref="D1232">_xlfn.SUMIFS('Diseases'!F2:F4303,'Diseases'!B2:B4303,A1232,'Diseases'!C2:C4303,B1232,'Diseases'!D2:D4303,C1232)</f>
        <v>2870</v>
      </c>
      <c r="E1232" s="22" cm="1">
        <f t="array" ref="E1232">_xlfn.IFERROR(IF(INDEX('Diseases'!G2:G4303,MATCH(C1232,'Diseases'!D2:D4303,0))="","",INDEX('Diseases'!G2:G4303,MATCH(C1232,'Diseases'!D2:D4303,0))),"")</f>
        <v>4635519</v>
      </c>
      <c r="F1232" s="23" cm="1">
        <f t="array" ref="F1232">_xlfn.IFERROR(IF(E1232="","",D1232/E1232*100000),"")</f>
        <v>61.913239919845</v>
      </c>
    </row>
    <row r="1233" ht="13.65" customHeight="1">
      <c r="A1233" t="s" s="24">
        <v>34</v>
      </c>
      <c r="B1233" t="s" s="21">
        <v>69</v>
      </c>
      <c r="C1233" t="s" s="21">
        <v>21</v>
      </c>
      <c r="D1233" s="22" cm="1">
        <f t="array" ref="D1233">_xlfn.SUMIFS('Diseases'!F2:F4303,'Diseases'!B2:B4303,A1233,'Diseases'!C2:C4303,B1233,'Diseases'!D2:D4303,C1233)</f>
        <v>2284</v>
      </c>
      <c r="E1233" s="22" cm="1">
        <f t="array" ref="E1233">_xlfn.IFERROR(IF(INDEX('Diseases'!G2:G4303,MATCH(C1233,'Diseases'!D2:D4303,0))="","",INDEX('Diseases'!G2:G4303,MATCH(C1233,'Diseases'!D2:D4303,0))),"")</f>
        <v>4635519</v>
      </c>
      <c r="F1233" s="23" cm="1">
        <f t="array" ref="F1233">_xlfn.IFERROR(IF(E1233="","",D1233/E1233*100000),"")</f>
        <v>49.2717212463157</v>
      </c>
    </row>
    <row r="1234" ht="13.65" customHeight="1">
      <c r="A1234" t="s" s="31">
        <v>45</v>
      </c>
      <c r="B1234" t="s" s="21">
        <v>69</v>
      </c>
      <c r="C1234" t="s" s="21">
        <v>21</v>
      </c>
      <c r="D1234" s="22" cm="1">
        <f t="array" ref="D1234">_xlfn.SUMIFS('Diseases'!F2:F4303,'Diseases'!B2:B4303,A1234,'Diseases'!C2:C4303,B1234,'Diseases'!D2:D4303,C1234)</f>
        <v>1471</v>
      </c>
      <c r="E1234" s="22" cm="1">
        <f t="array" ref="E1234">_xlfn.IFERROR(IF(INDEX('Diseases'!G2:G4303,MATCH(C1234,'Diseases'!D2:D4303,0))="","",INDEX('Diseases'!G2:G4303,MATCH(C1234,'Diseases'!D2:D4303,0))),"")</f>
        <v>4635519</v>
      </c>
      <c r="F1234" s="23" cm="1">
        <f t="array" ref="F1234">_xlfn.IFERROR(IF(E1234="","",D1234/E1234*100000),"")</f>
        <v>31.7332320286035</v>
      </c>
    </row>
    <row r="1235" ht="13.65" customHeight="1">
      <c r="A1235" t="s" s="20">
        <v>30</v>
      </c>
      <c r="B1235" t="s" s="21">
        <v>70</v>
      </c>
      <c r="C1235" t="s" s="21">
        <v>21</v>
      </c>
      <c r="D1235" s="22" cm="1">
        <f t="array" ref="D1235">_xlfn.SUMIFS('Diseases'!F2:F4303,'Diseases'!B2:B4303,A1235,'Diseases'!C2:C4303,B1235,'Diseases'!D2:D4303,C1235)</f>
        <v>14368</v>
      </c>
      <c r="E1235" s="22" cm="1">
        <f t="array" ref="E1235">_xlfn.IFERROR(IF(INDEX('Diseases'!G2:G4303,MATCH(C1235,'Diseases'!D2:D4303,0))="","",INDEX('Diseases'!G2:G4303,MATCH(C1235,'Diseases'!D2:D4303,0))),"")</f>
        <v>4635519</v>
      </c>
      <c r="F1235" s="23" cm="1">
        <f t="array" ref="F1235">_xlfn.IFERROR(IF(E1235="","",D1235/E1235*100000),"")</f>
        <v>309.954505633566</v>
      </c>
    </row>
    <row r="1236" ht="13.65" customHeight="1">
      <c r="A1236" t="s" s="26">
        <v>36</v>
      </c>
      <c r="B1236" t="s" s="21">
        <v>70</v>
      </c>
      <c r="C1236" t="s" s="21">
        <v>21</v>
      </c>
      <c r="D1236" s="22" cm="1">
        <f t="array" ref="D1236">_xlfn.SUMIFS('Diseases'!F2:F4303,'Diseases'!B2:B4303,A1236,'Diseases'!C2:C4303,B1236,'Diseases'!D2:D4303,C1236)</f>
        <v>3121</v>
      </c>
      <c r="E1236" s="22" cm="1">
        <f t="array" ref="E1236">_xlfn.IFERROR(IF(INDEX('Diseases'!G2:G4303,MATCH(C1236,'Diseases'!D2:D4303,0))="","",INDEX('Diseases'!G2:G4303,MATCH(C1236,'Diseases'!D2:D4303,0))),"")</f>
        <v>4635519</v>
      </c>
      <c r="F1236" s="23" cm="1">
        <f t="array" ref="F1236">_xlfn.IFERROR(IF(E1236="","",D1236/E1236*100000),"")</f>
        <v>67.3279518431485</v>
      </c>
    </row>
    <row r="1237" ht="13.65" customHeight="1">
      <c r="A1237" t="s" s="24">
        <v>34</v>
      </c>
      <c r="B1237" t="s" s="21">
        <v>70</v>
      </c>
      <c r="C1237" t="s" s="21">
        <v>21</v>
      </c>
      <c r="D1237" s="22" cm="1">
        <f t="array" ref="D1237">_xlfn.SUMIFS('Diseases'!F2:F4303,'Diseases'!B2:B4303,A1237,'Diseases'!C2:C4303,B1237,'Diseases'!D2:D4303,C1237)</f>
        <v>2663</v>
      </c>
      <c r="E1237" s="22" cm="1">
        <f t="array" ref="E1237">_xlfn.IFERROR(IF(INDEX('Diseases'!G2:G4303,MATCH(C1237,'Diseases'!D2:D4303,0))="","",INDEX('Diseases'!G2:G4303,MATCH(C1237,'Diseases'!D2:D4303,0))),"")</f>
        <v>4635519</v>
      </c>
      <c r="F1237" s="23" cm="1">
        <f t="array" ref="F1237">_xlfn.IFERROR(IF(E1237="","",D1237/E1237*100000),"")</f>
        <v>57.4477205249294</v>
      </c>
    </row>
    <row r="1238" ht="13.65" customHeight="1">
      <c r="A1238" t="s" s="28">
        <v>41</v>
      </c>
      <c r="B1238" t="s" s="21">
        <v>70</v>
      </c>
      <c r="C1238" t="s" s="21">
        <v>21</v>
      </c>
      <c r="D1238" s="22" cm="1">
        <f t="array" ref="D1238">_xlfn.SUMIFS('Diseases'!F2:F4303,'Diseases'!B2:B4303,A1238,'Diseases'!C2:C4303,B1238,'Diseases'!D2:D4303,C1238)</f>
        <v>1359</v>
      </c>
      <c r="E1238" s="22" cm="1">
        <f t="array" ref="E1238">_xlfn.IFERROR(IF(INDEX('Diseases'!G2:G4303,MATCH(C1238,'Diseases'!D2:D4303,0))="","",INDEX('Diseases'!G2:G4303,MATCH(C1238,'Diseases'!D2:D4303,0))),"")</f>
        <v>4635519</v>
      </c>
      <c r="F1238" s="23" cm="1">
        <f t="array" ref="F1238">_xlfn.IFERROR(IF(E1238="","",D1238/E1238*100000),"")</f>
        <v>29.3171055927071</v>
      </c>
    </row>
    <row r="1239" ht="13.65" customHeight="1">
      <c r="A1239" t="s" s="31">
        <v>45</v>
      </c>
      <c r="B1239" t="s" s="21">
        <v>70</v>
      </c>
      <c r="C1239" t="s" s="21">
        <v>21</v>
      </c>
      <c r="D1239" s="22" cm="1">
        <f t="array" ref="D1239">_xlfn.SUMIFS('Diseases'!F2:F4303,'Diseases'!B2:B4303,A1239,'Diseases'!C2:C4303,B1239,'Diseases'!D2:D4303,C1239)</f>
        <v>998</v>
      </c>
      <c r="E1239" s="22" cm="1">
        <f t="array" ref="E1239">_xlfn.IFERROR(IF(INDEX('Diseases'!G2:G4303,MATCH(C1239,'Diseases'!D2:D4303,0))="","",INDEX('Diseases'!G2:G4303,MATCH(C1239,'Diseases'!D2:D4303,0))),"")</f>
        <v>4635519</v>
      </c>
      <c r="F1239" s="23" cm="1">
        <f t="array" ref="F1239">_xlfn.IFERROR(IF(E1239="","",D1239/E1239*100000),"")</f>
        <v>21.5294123484339</v>
      </c>
    </row>
    <row r="1240" ht="13.65" customHeight="1">
      <c r="A1240" t="s" s="29">
        <v>39</v>
      </c>
      <c r="B1240" t="s" s="21">
        <v>70</v>
      </c>
      <c r="C1240" t="s" s="21">
        <v>21</v>
      </c>
      <c r="D1240" s="22" cm="1">
        <f t="array" ref="D1240">_xlfn.SUMIFS('Diseases'!F2:F4303,'Diseases'!B2:B4303,A1240,'Diseases'!C2:C4303,B1240,'Diseases'!D2:D4303,C1240)</f>
        <v>920</v>
      </c>
      <c r="E1240" s="22" cm="1">
        <f t="array" ref="E1240">_xlfn.IFERROR(IF(INDEX('Diseases'!G2:G4303,MATCH(C1240,'Diseases'!D2:D4303,0))="","",INDEX('Diseases'!G2:G4303,MATCH(C1240,'Diseases'!D2:D4303,0))),"")</f>
        <v>4635519</v>
      </c>
      <c r="F1240" s="23" cm="1">
        <f t="array" ref="F1240">_xlfn.IFERROR(IF(E1240="","",D1240/E1240*100000),"")</f>
        <v>19.8467528662918</v>
      </c>
    </row>
    <row r="1241" ht="13.65" customHeight="1">
      <c r="A1241" t="s" s="20">
        <v>30</v>
      </c>
      <c r="B1241" t="s" s="21">
        <v>31</v>
      </c>
      <c r="C1241" t="s" s="21">
        <v>58</v>
      </c>
      <c r="D1241" s="22" cm="1">
        <f t="array" ref="D1241">_xlfn.SUMIFS('Diseases'!F2:F4303,'Diseases'!B2:B4303,A1241,'Diseases'!C2:C4303,B1241,'Diseases'!D2:D4303,C1241)</f>
        <v>18002</v>
      </c>
      <c r="E1241" t="str" s="34" cm="1">
        <f t="array" ref="E1241">_xlfn.IFERROR(IF(INDEX('Diseases'!G2:G4303,MATCH(C1241,'Diseases'!D2:D4303,0))="","",INDEX('Diseases'!G2:G4303,MATCH(C1241,'Diseases'!D2:D4303,0))),"")</f>
      </c>
      <c r="F1241" t="str" s="34" cm="1">
        <f t="array" ref="F1241">_xlfn.IFERROR(IF(E1241="","",D1241/E1241*100000),"")</f>
      </c>
    </row>
    <row r="1242" ht="13.65" customHeight="1">
      <c r="A1242" t="s" s="25">
        <v>35</v>
      </c>
      <c r="B1242" t="s" s="21">
        <v>31</v>
      </c>
      <c r="C1242" t="s" s="21">
        <v>58</v>
      </c>
      <c r="D1242" s="22" cm="1">
        <f t="array" ref="D1242">_xlfn.SUMIFS('Diseases'!F2:F4303,'Diseases'!B2:B4303,A1242,'Diseases'!C2:C4303,B1242,'Diseases'!D2:D4303,C1242)</f>
        <v>2127</v>
      </c>
      <c r="E1242" t="str" s="34" cm="1">
        <f t="array" ref="E1242">_xlfn.IFERROR(IF(INDEX('Diseases'!G2:G4303,MATCH(C1242,'Diseases'!D2:D4303,0))="","",INDEX('Diseases'!G2:G4303,MATCH(C1242,'Diseases'!D2:D4303,0))),"")</f>
      </c>
      <c r="F1242" t="str" s="34" cm="1">
        <f t="array" ref="F1242">_xlfn.IFERROR(IF(E1242="","",D1242/E1242*100000),"")</f>
      </c>
    </row>
    <row r="1243" ht="13.65" customHeight="1">
      <c r="A1243" t="s" s="29">
        <v>39</v>
      </c>
      <c r="B1243" t="s" s="21">
        <v>31</v>
      </c>
      <c r="C1243" t="s" s="21">
        <v>58</v>
      </c>
      <c r="D1243" s="22" cm="1">
        <f t="array" ref="D1243">_xlfn.SUMIFS('Diseases'!F2:F4303,'Diseases'!B2:B4303,A1243,'Diseases'!C2:C4303,B1243,'Diseases'!D2:D4303,C1243)</f>
        <v>1637</v>
      </c>
      <c r="E1243" t="str" s="34" cm="1">
        <f t="array" ref="E1243">_xlfn.IFERROR(IF(INDEX('Diseases'!G2:G4303,MATCH(C1243,'Diseases'!D2:D4303,0))="","",INDEX('Diseases'!G2:G4303,MATCH(C1243,'Diseases'!D2:D4303,0))),"")</f>
      </c>
      <c r="F1243" t="str" s="34" cm="1">
        <f t="array" ref="F1243">_xlfn.IFERROR(IF(E1243="","",D1243/E1243*100000),"")</f>
      </c>
    </row>
    <row r="1244" ht="13.65" customHeight="1">
      <c r="A1244" t="s" s="24">
        <v>34</v>
      </c>
      <c r="B1244" t="s" s="21">
        <v>31</v>
      </c>
      <c r="C1244" t="s" s="21">
        <v>58</v>
      </c>
      <c r="D1244" s="22" cm="1">
        <f t="array" ref="D1244">_xlfn.SUMIFS('Diseases'!F2:F4303,'Diseases'!B2:B4303,A1244,'Diseases'!C2:C4303,B1244,'Diseases'!D2:D4303,C1244)</f>
        <v>1608</v>
      </c>
      <c r="E1244" t="str" s="34" cm="1">
        <f t="array" ref="E1244">_xlfn.IFERROR(IF(INDEX('Diseases'!G2:G4303,MATCH(C1244,'Diseases'!D2:D4303,0))="","",INDEX('Diseases'!G2:G4303,MATCH(C1244,'Diseases'!D2:D4303,0))),"")</f>
      </c>
      <c r="F1244" t="str" s="34" cm="1">
        <f t="array" ref="F1244">_xlfn.IFERROR(IF(E1244="","",D1244/E1244*100000),"")</f>
      </c>
    </row>
    <row r="1245" ht="13.65" customHeight="1">
      <c r="A1245" t="s" s="31">
        <v>45</v>
      </c>
      <c r="B1245" t="s" s="21">
        <v>31</v>
      </c>
      <c r="C1245" t="s" s="21">
        <v>58</v>
      </c>
      <c r="D1245" s="22" cm="1">
        <f t="array" ref="D1245">_xlfn.SUMIFS('Diseases'!F2:F4303,'Diseases'!B2:B4303,A1245,'Diseases'!C2:C4303,B1245,'Diseases'!D2:D4303,C1245)</f>
        <v>997</v>
      </c>
      <c r="E1245" t="str" s="34" cm="1">
        <f t="array" ref="E1245">_xlfn.IFERROR(IF(INDEX('Diseases'!G2:G4303,MATCH(C1245,'Diseases'!D2:D4303,0))="","",INDEX('Diseases'!G2:G4303,MATCH(C1245,'Diseases'!D2:D4303,0))),"")</f>
      </c>
      <c r="F1245" t="str" s="34" cm="1">
        <f t="array" ref="F1245">_xlfn.IFERROR(IF(E1245="","",D1245/E1245*100000),"")</f>
      </c>
    </row>
    <row r="1246" ht="13.65" customHeight="1">
      <c r="A1246" t="s" s="33">
        <v>59</v>
      </c>
      <c r="B1246" t="s" s="21">
        <v>31</v>
      </c>
      <c r="C1246" t="s" s="21">
        <v>58</v>
      </c>
      <c r="D1246" s="22" cm="1">
        <f t="array" ref="D1246">_xlfn.SUMIFS('Diseases'!F2:F4303,'Diseases'!B2:B4303,A1246,'Diseases'!C2:C4303,B1246,'Diseases'!D2:D4303,C1246)</f>
        <v>714</v>
      </c>
      <c r="E1246" t="str" s="34" cm="1">
        <f t="array" ref="E1246">_xlfn.IFERROR(IF(INDEX('Diseases'!G2:G4303,MATCH(C1246,'Diseases'!D2:D4303,0))="","",INDEX('Diseases'!G2:G4303,MATCH(C1246,'Diseases'!D2:D4303,0))),"")</f>
      </c>
      <c r="F1246" t="str" s="34" cm="1">
        <f t="array" ref="F1246">_xlfn.IFERROR(IF(E1246="","",D1246/E1246*100000),"")</f>
      </c>
    </row>
    <row r="1247" ht="13.65" customHeight="1">
      <c r="A1247" t="s" s="26">
        <v>36</v>
      </c>
      <c r="B1247" t="s" s="21">
        <v>31</v>
      </c>
      <c r="C1247" t="s" s="21">
        <v>58</v>
      </c>
      <c r="D1247" s="22" cm="1">
        <f t="array" ref="D1247">_xlfn.SUMIFS('Diseases'!F2:F4303,'Diseases'!B2:B4303,A1247,'Diseases'!C2:C4303,B1247,'Diseases'!D2:D4303,C1247)</f>
        <v>609</v>
      </c>
      <c r="E1247" t="str" s="34" cm="1">
        <f t="array" ref="E1247">_xlfn.IFERROR(IF(INDEX('Diseases'!G2:G4303,MATCH(C1247,'Diseases'!D2:D4303,0))="","",INDEX('Diseases'!G2:G4303,MATCH(C1247,'Diseases'!D2:D4303,0))),"")</f>
      </c>
      <c r="F1247" t="str" s="34" cm="1">
        <f t="array" ref="F1247">_xlfn.IFERROR(IF(E1247="","",D1247/E1247*100000),"")</f>
      </c>
    </row>
    <row r="1248" ht="13.65" customHeight="1">
      <c r="A1248" t="s" s="25">
        <v>35</v>
      </c>
      <c r="B1248" t="s" s="21">
        <v>60</v>
      </c>
      <c r="C1248" t="s" s="21">
        <v>58</v>
      </c>
      <c r="D1248" s="22" cm="1">
        <f t="array" ref="D1248">_xlfn.SUMIFS('Diseases'!F2:F4303,'Diseases'!B2:B4303,A1248,'Diseases'!C2:C4303,B1248,'Diseases'!D2:D4303,C1248)</f>
        <v>369</v>
      </c>
      <c r="E1248" t="str" s="34" cm="1">
        <f t="array" ref="E1248">_xlfn.IFERROR(IF(INDEX('Diseases'!G2:G4303,MATCH(C1248,'Diseases'!D2:D4303,0))="","",INDEX('Diseases'!G2:G4303,MATCH(C1248,'Diseases'!D2:D4303,0))),"")</f>
      </c>
      <c r="F1248" t="str" s="34" cm="1">
        <f t="array" ref="F1248">_xlfn.IFERROR(IF(E1248="","",D1248/E1248*100000),"")</f>
      </c>
    </row>
    <row r="1249" ht="13.65" customHeight="1">
      <c r="A1249" t="s" s="20">
        <v>30</v>
      </c>
      <c r="B1249" t="s" s="21">
        <v>60</v>
      </c>
      <c r="C1249" t="s" s="21">
        <v>58</v>
      </c>
      <c r="D1249" s="22" cm="1">
        <f t="array" ref="D1249">_xlfn.SUMIFS('Diseases'!F2:F4303,'Diseases'!B2:B4303,A1249,'Diseases'!C2:C4303,B1249,'Diseases'!D2:D4303,C1249)</f>
        <v>314</v>
      </c>
      <c r="E1249" t="str" s="34" cm="1">
        <f t="array" ref="E1249">_xlfn.IFERROR(IF(INDEX('Diseases'!G2:G4303,MATCH(C1249,'Diseases'!D2:D4303,0))="","",INDEX('Diseases'!G2:G4303,MATCH(C1249,'Diseases'!D2:D4303,0))),"")</f>
      </c>
      <c r="F1249" t="str" s="34" cm="1">
        <f t="array" ref="F1249">_xlfn.IFERROR(IF(E1249="","",D1249/E1249*100000),"")</f>
      </c>
    </row>
    <row r="1250" ht="13.65" customHeight="1">
      <c r="A1250" t="s" s="24">
        <v>34</v>
      </c>
      <c r="B1250" t="s" s="21">
        <v>60</v>
      </c>
      <c r="C1250" t="s" s="21">
        <v>58</v>
      </c>
      <c r="D1250" s="22" cm="1">
        <f t="array" ref="D1250">_xlfn.SUMIFS('Diseases'!F2:F4303,'Diseases'!B2:B4303,A1250,'Diseases'!C2:C4303,B1250,'Diseases'!D2:D4303,C1250)</f>
        <v>285</v>
      </c>
      <c r="E1250" t="str" s="34" cm="1">
        <f t="array" ref="E1250">_xlfn.IFERROR(IF(INDEX('Diseases'!G2:G4303,MATCH(C1250,'Diseases'!D2:D4303,0))="","",INDEX('Diseases'!G2:G4303,MATCH(C1250,'Diseases'!D2:D4303,0))),"")</f>
      </c>
      <c r="F1250" t="str" s="34" cm="1">
        <f t="array" ref="F1250">_xlfn.IFERROR(IF(E1250="","",D1250/E1250*100000),"")</f>
      </c>
    </row>
    <row r="1251" ht="13.65" customHeight="1">
      <c r="A1251" t="s" s="28">
        <v>41</v>
      </c>
      <c r="B1251" t="s" s="21">
        <v>60</v>
      </c>
      <c r="C1251" t="s" s="21">
        <v>58</v>
      </c>
      <c r="D1251" s="22" cm="1">
        <f t="array" ref="D1251">_xlfn.SUMIFS('Diseases'!F2:F4303,'Diseases'!B2:B4303,A1251,'Diseases'!C2:C4303,B1251,'Diseases'!D2:D4303,C1251)</f>
        <v>128</v>
      </c>
      <c r="E1251" t="str" s="34" cm="1">
        <f t="array" ref="E1251">_xlfn.IFERROR(IF(INDEX('Diseases'!G2:G4303,MATCH(C1251,'Diseases'!D2:D4303,0))="","",INDEX('Diseases'!G2:G4303,MATCH(C1251,'Diseases'!D2:D4303,0))),"")</f>
      </c>
      <c r="F1251" t="str" s="34" cm="1">
        <f t="array" ref="F1251">_xlfn.IFERROR(IF(E1251="","",D1251/E1251*100000),"")</f>
      </c>
    </row>
    <row r="1252" ht="13.65" customHeight="1">
      <c r="A1252" t="s" s="31">
        <v>45</v>
      </c>
      <c r="B1252" t="s" s="21">
        <v>60</v>
      </c>
      <c r="C1252" t="s" s="21">
        <v>58</v>
      </c>
      <c r="D1252" s="22" cm="1">
        <f t="array" ref="D1252">_xlfn.SUMIFS('Diseases'!F2:F4303,'Diseases'!B2:B4303,A1252,'Diseases'!C2:C4303,B1252,'Diseases'!D2:D4303,C1252)</f>
        <v>23</v>
      </c>
      <c r="E1252" t="str" s="34" cm="1">
        <f t="array" ref="E1252">_xlfn.IFERROR(IF(INDEX('Diseases'!G2:G4303,MATCH(C1252,'Diseases'!D2:D4303,0))="","",INDEX('Diseases'!G2:G4303,MATCH(C1252,'Diseases'!D2:D4303,0))),"")</f>
      </c>
      <c r="F1252" t="str" s="34" cm="1">
        <f t="array" ref="F1252">_xlfn.IFERROR(IF(E1252="","",D1252/E1252*100000),"")</f>
      </c>
    </row>
    <row r="1253" ht="13.65" customHeight="1">
      <c r="A1253" t="s" s="20">
        <v>30</v>
      </c>
      <c r="B1253" t="s" s="21">
        <v>61</v>
      </c>
      <c r="C1253" t="s" s="21">
        <v>58</v>
      </c>
      <c r="D1253" s="22" cm="1">
        <f t="array" ref="D1253">_xlfn.SUMIFS('Diseases'!F2:F4303,'Diseases'!B2:B4303,A1253,'Diseases'!C2:C4303,B1253,'Diseases'!D2:D4303,C1253)</f>
        <v>3462</v>
      </c>
      <c r="E1253" t="str" s="34" cm="1">
        <f t="array" ref="E1253">_xlfn.IFERROR(IF(INDEX('Diseases'!G2:G4303,MATCH(C1253,'Diseases'!D2:D4303,0))="","",INDEX('Diseases'!G2:G4303,MATCH(C1253,'Diseases'!D2:D4303,0))),"")</f>
      </c>
      <c r="F1253" t="str" s="34" cm="1">
        <f t="array" ref="F1253">_xlfn.IFERROR(IF(E1253="","",D1253/E1253*100000),"")</f>
      </c>
    </row>
    <row r="1254" ht="13.65" customHeight="1">
      <c r="A1254" t="s" s="25">
        <v>35</v>
      </c>
      <c r="B1254" t="s" s="21">
        <v>61</v>
      </c>
      <c r="C1254" t="s" s="21">
        <v>58</v>
      </c>
      <c r="D1254" s="22" cm="1">
        <f t="array" ref="D1254">_xlfn.SUMIFS('Diseases'!F2:F4303,'Diseases'!B2:B4303,A1254,'Diseases'!C2:C4303,B1254,'Diseases'!D2:D4303,C1254)</f>
        <v>1612</v>
      </c>
      <c r="E1254" t="str" s="34" cm="1">
        <f t="array" ref="E1254">_xlfn.IFERROR(IF(INDEX('Diseases'!G2:G4303,MATCH(C1254,'Diseases'!D2:D4303,0))="","",INDEX('Diseases'!G2:G4303,MATCH(C1254,'Diseases'!D2:D4303,0))),"")</f>
      </c>
      <c r="F1254" t="str" s="34" cm="1">
        <f t="array" ref="F1254">_xlfn.IFERROR(IF(E1254="","",D1254/E1254*100000),"")</f>
      </c>
    </row>
    <row r="1255" ht="13.65" customHeight="1">
      <c r="A1255" t="s" s="27">
        <v>37</v>
      </c>
      <c r="B1255" t="s" s="21">
        <v>61</v>
      </c>
      <c r="C1255" t="s" s="21">
        <v>58</v>
      </c>
      <c r="D1255" s="22" cm="1">
        <f t="array" ref="D1255">_xlfn.SUMIFS('Diseases'!F2:F4303,'Diseases'!B2:B4303,A1255,'Diseases'!C2:C4303,B1255,'Diseases'!D2:D4303,C1255)</f>
        <v>582</v>
      </c>
      <c r="E1255" t="str" s="34" cm="1">
        <f t="array" ref="E1255">_xlfn.IFERROR(IF(INDEX('Diseases'!G2:G4303,MATCH(C1255,'Diseases'!D2:D4303,0))="","",INDEX('Diseases'!G2:G4303,MATCH(C1255,'Diseases'!D2:D4303,0))),"")</f>
      </c>
      <c r="F1255" t="str" s="34" cm="1">
        <f t="array" ref="F1255">_xlfn.IFERROR(IF(E1255="","",D1255/E1255*100000),"")</f>
      </c>
    </row>
    <row r="1256" ht="13.65" customHeight="1">
      <c r="A1256" t="s" s="24">
        <v>34</v>
      </c>
      <c r="B1256" t="s" s="21">
        <v>61</v>
      </c>
      <c r="C1256" t="s" s="21">
        <v>58</v>
      </c>
      <c r="D1256" s="22" cm="1">
        <f t="array" ref="D1256">_xlfn.SUMIFS('Diseases'!F2:F4303,'Diseases'!B2:B4303,A1256,'Diseases'!C2:C4303,B1256,'Diseases'!D2:D4303,C1256)</f>
        <v>574</v>
      </c>
      <c r="E1256" t="str" s="34" cm="1">
        <f t="array" ref="E1256">_xlfn.IFERROR(IF(INDEX('Diseases'!G2:G4303,MATCH(C1256,'Diseases'!D2:D4303,0))="","",INDEX('Diseases'!G2:G4303,MATCH(C1256,'Diseases'!D2:D4303,0))),"")</f>
      </c>
      <c r="F1256" t="str" s="34" cm="1">
        <f t="array" ref="F1256">_xlfn.IFERROR(IF(E1256="","",D1256/E1256*100000),"")</f>
      </c>
    </row>
    <row r="1257" ht="13.65" customHeight="1">
      <c r="A1257" t="s" s="26">
        <v>36</v>
      </c>
      <c r="B1257" t="s" s="21">
        <v>61</v>
      </c>
      <c r="C1257" t="s" s="21">
        <v>58</v>
      </c>
      <c r="D1257" s="22" cm="1">
        <f t="array" ref="D1257">_xlfn.SUMIFS('Diseases'!F2:F4303,'Diseases'!B2:B4303,A1257,'Diseases'!C2:C4303,B1257,'Diseases'!D2:D4303,C1257)</f>
        <v>485</v>
      </c>
      <c r="E1257" t="str" s="34" cm="1">
        <f t="array" ref="E1257">_xlfn.IFERROR(IF(INDEX('Diseases'!G2:G4303,MATCH(C1257,'Diseases'!D2:D4303,0))="","",INDEX('Diseases'!G2:G4303,MATCH(C1257,'Diseases'!D2:D4303,0))),"")</f>
      </c>
      <c r="F1257" t="str" s="34" cm="1">
        <f t="array" ref="F1257">_xlfn.IFERROR(IF(E1257="","",D1257/E1257*100000),"")</f>
      </c>
    </row>
    <row r="1258" ht="13.65" customHeight="1">
      <c r="A1258" t="s" s="29">
        <v>39</v>
      </c>
      <c r="B1258" t="s" s="21">
        <v>61</v>
      </c>
      <c r="C1258" t="s" s="21">
        <v>58</v>
      </c>
      <c r="D1258" s="22" cm="1">
        <f t="array" ref="D1258">_xlfn.SUMIFS('Diseases'!F2:F4303,'Diseases'!B2:B4303,A1258,'Diseases'!C2:C4303,B1258,'Diseases'!D2:D4303,C1258)</f>
        <v>344</v>
      </c>
      <c r="E1258" t="str" s="34" cm="1">
        <f t="array" ref="E1258">_xlfn.IFERROR(IF(INDEX('Diseases'!G2:G4303,MATCH(C1258,'Diseases'!D2:D4303,0))="","",INDEX('Diseases'!G2:G4303,MATCH(C1258,'Diseases'!D2:D4303,0))),"")</f>
      </c>
      <c r="F1258" t="str" s="34" cm="1">
        <f t="array" ref="F1258">_xlfn.IFERROR(IF(E1258="","",D1258/E1258*100000),"")</f>
      </c>
    </row>
    <row r="1259" ht="13.65" customHeight="1">
      <c r="A1259" t="s" s="20">
        <v>30</v>
      </c>
      <c r="B1259" t="s" s="21">
        <v>62</v>
      </c>
      <c r="C1259" t="s" s="21">
        <v>58</v>
      </c>
      <c r="D1259" s="22" cm="1">
        <f t="array" ref="D1259">_xlfn.SUMIFS('Diseases'!F2:F4303,'Diseases'!B2:B4303,A1259,'Diseases'!C2:C4303,B1259,'Diseases'!D2:D4303,C1259)</f>
        <v>44256</v>
      </c>
      <c r="E1259" t="str" s="34" cm="1">
        <f t="array" ref="E1259">_xlfn.IFERROR(IF(INDEX('Diseases'!G2:G4303,MATCH(C1259,'Diseases'!D2:D4303,0))="","",INDEX('Diseases'!G2:G4303,MATCH(C1259,'Diseases'!D2:D4303,0))),"")</f>
      </c>
      <c r="F1259" t="str" s="34" cm="1">
        <f t="array" ref="F1259">_xlfn.IFERROR(IF(E1259="","",D1259/E1259*100000),"")</f>
      </c>
    </row>
    <row r="1260" ht="13.65" customHeight="1">
      <c r="A1260" t="s" s="26">
        <v>36</v>
      </c>
      <c r="B1260" t="s" s="21">
        <v>62</v>
      </c>
      <c r="C1260" t="s" s="21">
        <v>58</v>
      </c>
      <c r="D1260" s="22" cm="1">
        <f t="array" ref="D1260">_xlfn.SUMIFS('Diseases'!F2:F4303,'Diseases'!B2:B4303,A1260,'Diseases'!C2:C4303,B1260,'Diseases'!D2:D4303,C1260)</f>
        <v>28880</v>
      </c>
      <c r="E1260" t="str" s="34" cm="1">
        <f t="array" ref="E1260">_xlfn.IFERROR(IF(INDEX('Diseases'!G2:G4303,MATCH(C1260,'Diseases'!D2:D4303,0))="","",INDEX('Diseases'!G2:G4303,MATCH(C1260,'Diseases'!D2:D4303,0))),"")</f>
      </c>
      <c r="F1260" t="str" s="34" cm="1">
        <f t="array" ref="F1260">_xlfn.IFERROR(IF(E1260="","",D1260/E1260*100000),"")</f>
      </c>
    </row>
    <row r="1261" ht="13.65" customHeight="1">
      <c r="A1261" t="s" s="31">
        <v>45</v>
      </c>
      <c r="B1261" t="s" s="21">
        <v>62</v>
      </c>
      <c r="C1261" t="s" s="21">
        <v>58</v>
      </c>
      <c r="D1261" s="22" cm="1">
        <f t="array" ref="D1261">_xlfn.SUMIFS('Diseases'!F2:F4303,'Diseases'!B2:B4303,A1261,'Diseases'!C2:C4303,B1261,'Diseases'!D2:D4303,C1261)</f>
        <v>10672</v>
      </c>
      <c r="E1261" t="str" s="34" cm="1">
        <f t="array" ref="E1261">_xlfn.IFERROR(IF(INDEX('Diseases'!G2:G4303,MATCH(C1261,'Diseases'!D2:D4303,0))="","",INDEX('Diseases'!G2:G4303,MATCH(C1261,'Diseases'!D2:D4303,0))),"")</f>
      </c>
      <c r="F1261" t="str" s="34" cm="1">
        <f t="array" ref="F1261">_xlfn.IFERROR(IF(E1261="","",D1261/E1261*100000),"")</f>
      </c>
    </row>
    <row r="1262" ht="13.65" customHeight="1">
      <c r="A1262" t="s" s="24">
        <v>34</v>
      </c>
      <c r="B1262" t="s" s="21">
        <v>62</v>
      </c>
      <c r="C1262" t="s" s="21">
        <v>58</v>
      </c>
      <c r="D1262" s="22" cm="1">
        <f t="array" ref="D1262">_xlfn.SUMIFS('Diseases'!F2:F4303,'Diseases'!B2:B4303,A1262,'Diseases'!C2:C4303,B1262,'Diseases'!D2:D4303,C1262)</f>
        <v>10048</v>
      </c>
      <c r="E1262" t="str" s="34" cm="1">
        <f t="array" ref="E1262">_xlfn.IFERROR(IF(INDEX('Diseases'!G2:G4303,MATCH(C1262,'Diseases'!D2:D4303,0))="","",INDEX('Diseases'!G2:G4303,MATCH(C1262,'Diseases'!D2:D4303,0))),"")</f>
      </c>
      <c r="F1262" t="str" s="34" cm="1">
        <f t="array" ref="F1262">_xlfn.IFERROR(IF(E1262="","",D1262/E1262*100000),"")</f>
      </c>
    </row>
    <row r="1263" ht="13.65" customHeight="1">
      <c r="A1263" t="s" s="25">
        <v>35</v>
      </c>
      <c r="B1263" t="s" s="21">
        <v>62</v>
      </c>
      <c r="C1263" t="s" s="21">
        <v>58</v>
      </c>
      <c r="D1263" s="22" cm="1">
        <f t="array" ref="D1263">_xlfn.SUMIFS('Diseases'!F2:F4303,'Diseases'!B2:B4303,A1263,'Diseases'!C2:C4303,B1263,'Diseases'!D2:D4303,C1263)</f>
        <v>8608</v>
      </c>
      <c r="E1263" t="str" s="34" cm="1">
        <f t="array" ref="E1263">_xlfn.IFERROR(IF(INDEX('Diseases'!G2:G4303,MATCH(C1263,'Diseases'!D2:D4303,0))="","",INDEX('Diseases'!G2:G4303,MATCH(C1263,'Diseases'!D2:D4303,0))),"")</f>
      </c>
      <c r="F1263" t="str" s="34" cm="1">
        <f t="array" ref="F1263">_xlfn.IFERROR(IF(E1263="","",D1263/E1263*100000),"")</f>
      </c>
    </row>
    <row r="1264" ht="13.65" customHeight="1">
      <c r="A1264" t="s" s="28">
        <v>41</v>
      </c>
      <c r="B1264" t="s" s="21">
        <v>62</v>
      </c>
      <c r="C1264" t="s" s="21">
        <v>58</v>
      </c>
      <c r="D1264" s="22" cm="1">
        <f t="array" ref="D1264">_xlfn.SUMIFS('Diseases'!F2:F4303,'Diseases'!B2:B4303,A1264,'Diseases'!C2:C4303,B1264,'Diseases'!D2:D4303,C1264)</f>
        <v>8432</v>
      </c>
      <c r="E1264" t="str" s="34" cm="1">
        <f t="array" ref="E1264">_xlfn.IFERROR(IF(INDEX('Diseases'!G2:G4303,MATCH(C1264,'Diseases'!D2:D4303,0))="","",INDEX('Diseases'!G2:G4303,MATCH(C1264,'Diseases'!D2:D4303,0))),"")</f>
      </c>
      <c r="F1264" t="str" s="34" cm="1">
        <f t="array" ref="F1264">_xlfn.IFERROR(IF(E1264="","",D1264/E1264*100000),"")</f>
      </c>
    </row>
    <row r="1265" ht="13.65" customHeight="1">
      <c r="A1265" t="s" s="27">
        <v>37</v>
      </c>
      <c r="B1265" t="s" s="21">
        <v>62</v>
      </c>
      <c r="C1265" t="s" s="21">
        <v>58</v>
      </c>
      <c r="D1265" s="22" cm="1">
        <f t="array" ref="D1265">_xlfn.SUMIFS('Diseases'!F2:F4303,'Diseases'!B2:B4303,A1265,'Diseases'!C2:C4303,B1265,'Diseases'!D2:D4303,C1265)</f>
        <v>3952</v>
      </c>
      <c r="E1265" t="str" s="34" cm="1">
        <f t="array" ref="E1265">_xlfn.IFERROR(IF(INDEX('Diseases'!G2:G4303,MATCH(C1265,'Diseases'!D2:D4303,0))="","",INDEX('Diseases'!G2:G4303,MATCH(C1265,'Diseases'!D2:D4303,0))),"")</f>
      </c>
      <c r="F1265" t="str" s="34" cm="1">
        <f t="array" ref="F1265">_xlfn.IFERROR(IF(E1265="","",D1265/E1265*100000),"")</f>
      </c>
    </row>
    <row r="1266" ht="13.65" customHeight="1">
      <c r="A1266" t="s" s="25">
        <v>35</v>
      </c>
      <c r="B1266" t="s" s="21">
        <v>63</v>
      </c>
      <c r="C1266" t="s" s="21">
        <v>58</v>
      </c>
      <c r="D1266" s="22" cm="1">
        <f t="array" ref="D1266">_xlfn.SUMIFS('Diseases'!F2:F4303,'Diseases'!B2:B4303,A1266,'Diseases'!C2:C4303,B1266,'Diseases'!D2:D4303,C1266)</f>
        <v>4577</v>
      </c>
      <c r="E1266" t="str" s="34" cm="1">
        <f t="array" ref="E1266">_xlfn.IFERROR(IF(INDEX('Diseases'!G2:G4303,MATCH(C1266,'Diseases'!D2:D4303,0))="","",INDEX('Diseases'!G2:G4303,MATCH(C1266,'Diseases'!D2:D4303,0))),"")</f>
      </c>
      <c r="F1266" t="str" s="34" cm="1">
        <f t="array" ref="F1266">_xlfn.IFERROR(IF(E1266="","",D1266/E1266*100000),"")</f>
      </c>
    </row>
    <row r="1267" ht="13.65" customHeight="1">
      <c r="A1267" t="s" s="20">
        <v>30</v>
      </c>
      <c r="B1267" t="s" s="21">
        <v>63</v>
      </c>
      <c r="C1267" t="s" s="21">
        <v>58</v>
      </c>
      <c r="D1267" s="22" cm="1">
        <f t="array" ref="D1267">_xlfn.SUMIFS('Diseases'!F2:F4303,'Diseases'!B2:B4303,A1267,'Diseases'!C2:C4303,B1267,'Diseases'!D2:D4303,C1267)</f>
        <v>4056</v>
      </c>
      <c r="E1267" t="str" s="34" cm="1">
        <f t="array" ref="E1267">_xlfn.IFERROR(IF(INDEX('Diseases'!G2:G4303,MATCH(C1267,'Diseases'!D2:D4303,0))="","",INDEX('Diseases'!G2:G4303,MATCH(C1267,'Diseases'!D2:D4303,0))),"")</f>
      </c>
      <c r="F1267" t="str" s="34" cm="1">
        <f t="array" ref="F1267">_xlfn.IFERROR(IF(E1267="","",D1267/E1267*100000),"")</f>
      </c>
    </row>
    <row r="1268" ht="13.65" customHeight="1">
      <c r="A1268" t="s" s="24">
        <v>34</v>
      </c>
      <c r="B1268" t="s" s="21">
        <v>63</v>
      </c>
      <c r="C1268" t="s" s="21">
        <v>58</v>
      </c>
      <c r="D1268" s="22" cm="1">
        <f t="array" ref="D1268">_xlfn.SUMIFS('Diseases'!F2:F4303,'Diseases'!B2:B4303,A1268,'Diseases'!C2:C4303,B1268,'Diseases'!D2:D4303,C1268)</f>
        <v>1188</v>
      </c>
      <c r="E1268" t="str" s="34" cm="1">
        <f t="array" ref="E1268">_xlfn.IFERROR(IF(INDEX('Diseases'!G2:G4303,MATCH(C1268,'Diseases'!D2:D4303,0))="","",INDEX('Diseases'!G2:G4303,MATCH(C1268,'Diseases'!D2:D4303,0))),"")</f>
      </c>
      <c r="F1268" t="str" s="34" cm="1">
        <f t="array" ref="F1268">_xlfn.IFERROR(IF(E1268="","",D1268/E1268*100000),"")</f>
      </c>
    </row>
    <row r="1269" ht="13.65" customHeight="1">
      <c r="A1269" t="s" s="26">
        <v>36</v>
      </c>
      <c r="B1269" t="s" s="21">
        <v>63</v>
      </c>
      <c r="C1269" t="s" s="21">
        <v>58</v>
      </c>
      <c r="D1269" s="22" cm="1">
        <f t="array" ref="D1269">_xlfn.SUMIFS('Diseases'!F2:F4303,'Diseases'!B2:B4303,A1269,'Diseases'!C2:C4303,B1269,'Diseases'!D2:D4303,C1269)</f>
        <v>792</v>
      </c>
      <c r="E1269" t="str" s="34" cm="1">
        <f t="array" ref="E1269">_xlfn.IFERROR(IF(INDEX('Diseases'!G2:G4303,MATCH(C1269,'Diseases'!D2:D4303,0))="","",INDEX('Diseases'!G2:G4303,MATCH(C1269,'Diseases'!D2:D4303,0))),"")</f>
      </c>
      <c r="F1269" t="str" s="34" cm="1">
        <f t="array" ref="F1269">_xlfn.IFERROR(IF(E1269="","",D1269/E1269*100000),"")</f>
      </c>
    </row>
    <row r="1270" ht="13.65" customHeight="1">
      <c r="A1270" t="s" s="29">
        <v>39</v>
      </c>
      <c r="B1270" t="s" s="21">
        <v>63</v>
      </c>
      <c r="C1270" t="s" s="21">
        <v>58</v>
      </c>
      <c r="D1270" s="22" cm="1">
        <f t="array" ref="D1270">_xlfn.SUMIFS('Diseases'!F2:F4303,'Diseases'!B2:B4303,A1270,'Diseases'!C2:C4303,B1270,'Diseases'!D2:D4303,C1270)</f>
        <v>627</v>
      </c>
      <c r="E1270" t="str" s="34" cm="1">
        <f t="array" ref="E1270">_xlfn.IFERROR(IF(INDEX('Diseases'!G2:G4303,MATCH(C1270,'Diseases'!D2:D4303,0))="","",INDEX('Diseases'!G2:G4303,MATCH(C1270,'Diseases'!D2:D4303,0))),"")</f>
      </c>
      <c r="F1270" t="str" s="34" cm="1">
        <f t="array" ref="F1270">_xlfn.IFERROR(IF(E1270="","",D1270/E1270*100000),"")</f>
      </c>
    </row>
    <row r="1271" ht="13.65" customHeight="1">
      <c r="A1271" t="s" s="27">
        <v>37</v>
      </c>
      <c r="B1271" t="s" s="21">
        <v>63</v>
      </c>
      <c r="C1271" t="s" s="21">
        <v>58</v>
      </c>
      <c r="D1271" s="22" cm="1">
        <f t="array" ref="D1271">_xlfn.SUMIFS('Diseases'!F2:F4303,'Diseases'!B2:B4303,A1271,'Diseases'!C2:C4303,B1271,'Diseases'!D2:D4303,C1271)</f>
        <v>501</v>
      </c>
      <c r="E1271" t="str" s="34" cm="1">
        <f t="array" ref="E1271">_xlfn.IFERROR(IF(INDEX('Diseases'!G2:G4303,MATCH(C1271,'Diseases'!D2:D4303,0))="","",INDEX('Diseases'!G2:G4303,MATCH(C1271,'Diseases'!D2:D4303,0))),"")</f>
      </c>
      <c r="F1271" t="str" s="34" cm="1">
        <f t="array" ref="F1271">_xlfn.IFERROR(IF(E1271="","",D1271/E1271*100000),"")</f>
      </c>
    </row>
    <row r="1272" ht="13.65" customHeight="1">
      <c r="A1272" t="s" s="20">
        <v>30</v>
      </c>
      <c r="B1272" t="s" s="21">
        <v>64</v>
      </c>
      <c r="C1272" t="s" s="21">
        <v>58</v>
      </c>
      <c r="D1272" s="22" cm="1">
        <f t="array" ref="D1272">_xlfn.SUMIFS('Diseases'!F2:F4303,'Diseases'!B2:B4303,A1272,'Diseases'!C2:C4303,B1272,'Diseases'!D2:D4303,C1272)</f>
        <v>10837</v>
      </c>
      <c r="E1272" t="str" s="34" cm="1">
        <f t="array" ref="E1272">_xlfn.IFERROR(IF(INDEX('Diseases'!G2:G4303,MATCH(C1272,'Diseases'!D2:D4303,0))="","",INDEX('Diseases'!G2:G4303,MATCH(C1272,'Diseases'!D2:D4303,0))),"")</f>
      </c>
      <c r="F1272" t="str" s="34" cm="1">
        <f t="array" ref="F1272">_xlfn.IFERROR(IF(E1272="","",D1272/E1272*100000),"")</f>
      </c>
    </row>
    <row r="1273" ht="13.65" customHeight="1">
      <c r="A1273" t="s" s="25">
        <v>35</v>
      </c>
      <c r="B1273" t="s" s="21">
        <v>64</v>
      </c>
      <c r="C1273" t="s" s="21">
        <v>58</v>
      </c>
      <c r="D1273" s="22" cm="1">
        <f t="array" ref="D1273">_xlfn.SUMIFS('Diseases'!F2:F4303,'Diseases'!B2:B4303,A1273,'Diseases'!C2:C4303,B1273,'Diseases'!D2:D4303,C1273)</f>
        <v>10475</v>
      </c>
      <c r="E1273" t="str" s="34" cm="1">
        <f t="array" ref="E1273">_xlfn.IFERROR(IF(INDEX('Diseases'!G2:G4303,MATCH(C1273,'Diseases'!D2:D4303,0))="","",INDEX('Diseases'!G2:G4303,MATCH(C1273,'Diseases'!D2:D4303,0))),"")</f>
      </c>
      <c r="F1273" t="str" s="34" cm="1">
        <f t="array" ref="F1273">_xlfn.IFERROR(IF(E1273="","",D1273/E1273*100000),"")</f>
      </c>
    </row>
    <row r="1274" ht="13.65" customHeight="1">
      <c r="A1274" t="s" s="26">
        <v>36</v>
      </c>
      <c r="B1274" t="s" s="21">
        <v>64</v>
      </c>
      <c r="C1274" t="s" s="21">
        <v>58</v>
      </c>
      <c r="D1274" s="22" cm="1">
        <f t="array" ref="D1274">_xlfn.SUMIFS('Diseases'!F2:F4303,'Diseases'!B2:B4303,A1274,'Diseases'!C2:C4303,B1274,'Diseases'!D2:D4303,C1274)</f>
        <v>1649</v>
      </c>
      <c r="E1274" t="str" s="34" cm="1">
        <f t="array" ref="E1274">_xlfn.IFERROR(IF(INDEX('Diseases'!G2:G4303,MATCH(C1274,'Diseases'!D2:D4303,0))="","",INDEX('Diseases'!G2:G4303,MATCH(C1274,'Diseases'!D2:D4303,0))),"")</f>
      </c>
      <c r="F1274" t="str" s="34" cm="1">
        <f t="array" ref="F1274">_xlfn.IFERROR(IF(E1274="","",D1274/E1274*100000),"")</f>
      </c>
    </row>
    <row r="1275" ht="13.65" customHeight="1">
      <c r="A1275" t="s" s="24">
        <v>34</v>
      </c>
      <c r="B1275" t="s" s="21">
        <v>64</v>
      </c>
      <c r="C1275" t="s" s="21">
        <v>58</v>
      </c>
      <c r="D1275" s="22" cm="1">
        <f t="array" ref="D1275">_xlfn.SUMIFS('Diseases'!F2:F4303,'Diseases'!B2:B4303,A1275,'Diseases'!C2:C4303,B1275,'Diseases'!D2:D4303,C1275)</f>
        <v>1267</v>
      </c>
      <c r="E1275" t="str" s="34" cm="1">
        <f t="array" ref="E1275">_xlfn.IFERROR(IF(INDEX('Diseases'!G2:G4303,MATCH(C1275,'Diseases'!D2:D4303,0))="","",INDEX('Diseases'!G2:G4303,MATCH(C1275,'Diseases'!D2:D4303,0))),"")</f>
      </c>
      <c r="F1275" t="str" s="34" cm="1">
        <f t="array" ref="F1275">_xlfn.IFERROR(IF(E1275="","",D1275/E1275*100000),"")</f>
      </c>
    </row>
    <row r="1276" ht="13.65" customHeight="1">
      <c r="A1276" t="s" s="29">
        <v>39</v>
      </c>
      <c r="B1276" t="s" s="21">
        <v>64</v>
      </c>
      <c r="C1276" t="s" s="21">
        <v>58</v>
      </c>
      <c r="D1276" s="22" cm="1">
        <f t="array" ref="D1276">_xlfn.SUMIFS('Diseases'!F2:F4303,'Diseases'!B2:B4303,A1276,'Diseases'!C2:C4303,B1276,'Diseases'!D2:D4303,C1276)</f>
        <v>693</v>
      </c>
      <c r="E1276" t="str" s="34" cm="1">
        <f t="array" ref="E1276">_xlfn.IFERROR(IF(INDEX('Diseases'!G2:G4303,MATCH(C1276,'Diseases'!D2:D4303,0))="","",INDEX('Diseases'!G2:G4303,MATCH(C1276,'Diseases'!D2:D4303,0))),"")</f>
      </c>
      <c r="F1276" t="str" s="34" cm="1">
        <f t="array" ref="F1276">_xlfn.IFERROR(IF(E1276="","",D1276/E1276*100000),"")</f>
      </c>
    </row>
    <row r="1277" ht="13.65" customHeight="1">
      <c r="A1277" t="s" s="25">
        <v>35</v>
      </c>
      <c r="B1277" t="s" s="21">
        <v>65</v>
      </c>
      <c r="C1277" t="s" s="21">
        <v>58</v>
      </c>
      <c r="D1277" s="22" cm="1">
        <f t="array" ref="D1277">_xlfn.SUMIFS('Diseases'!F2:F4303,'Diseases'!B2:B4303,A1277,'Diseases'!C2:C4303,B1277,'Diseases'!D2:D4303,C1277)</f>
        <v>6632</v>
      </c>
      <c r="E1277" t="str" s="34" cm="1">
        <f t="array" ref="E1277">_xlfn.IFERROR(IF(INDEX('Diseases'!G2:G4303,MATCH(C1277,'Diseases'!D2:D4303,0))="","",INDEX('Diseases'!G2:G4303,MATCH(C1277,'Diseases'!D2:D4303,0))),"")</f>
      </c>
      <c r="F1277" t="str" s="34" cm="1">
        <f t="array" ref="F1277">_xlfn.IFERROR(IF(E1277="","",D1277/E1277*100000),"")</f>
      </c>
    </row>
    <row r="1278" ht="13.65" customHeight="1">
      <c r="A1278" t="s" s="20">
        <v>30</v>
      </c>
      <c r="B1278" t="s" s="21">
        <v>65</v>
      </c>
      <c r="C1278" t="s" s="21">
        <v>58</v>
      </c>
      <c r="D1278" s="22" cm="1">
        <f t="array" ref="D1278">_xlfn.SUMIFS('Diseases'!F2:F4303,'Diseases'!B2:B4303,A1278,'Diseases'!C2:C4303,B1278,'Diseases'!D2:D4303,C1278)</f>
        <v>6045</v>
      </c>
      <c r="E1278" t="str" s="34" cm="1">
        <f t="array" ref="E1278">_xlfn.IFERROR(IF(INDEX('Diseases'!G2:G4303,MATCH(C1278,'Diseases'!D2:D4303,0))="","",INDEX('Diseases'!G2:G4303,MATCH(C1278,'Diseases'!D2:D4303,0))),"")</f>
      </c>
      <c r="F1278" t="str" s="34" cm="1">
        <f t="array" ref="F1278">_xlfn.IFERROR(IF(E1278="","",D1278/E1278*100000),"")</f>
      </c>
    </row>
    <row r="1279" ht="13.65" customHeight="1">
      <c r="A1279" t="s" s="24">
        <v>34</v>
      </c>
      <c r="B1279" t="s" s="21">
        <v>65</v>
      </c>
      <c r="C1279" t="s" s="21">
        <v>58</v>
      </c>
      <c r="D1279" s="22" cm="1">
        <f t="array" ref="D1279">_xlfn.SUMIFS('Diseases'!F2:F4303,'Diseases'!B2:B4303,A1279,'Diseases'!C2:C4303,B1279,'Diseases'!D2:D4303,C1279)</f>
        <v>1574</v>
      </c>
      <c r="E1279" t="str" s="34" cm="1">
        <f t="array" ref="E1279">_xlfn.IFERROR(IF(INDEX('Diseases'!G2:G4303,MATCH(C1279,'Diseases'!D2:D4303,0))="","",INDEX('Diseases'!G2:G4303,MATCH(C1279,'Diseases'!D2:D4303,0))),"")</f>
      </c>
      <c r="F1279" t="str" s="34" cm="1">
        <f t="array" ref="F1279">_xlfn.IFERROR(IF(E1279="","",D1279/E1279*100000),"")</f>
      </c>
    </row>
    <row r="1280" ht="13.65" customHeight="1">
      <c r="A1280" t="s" s="26">
        <v>36</v>
      </c>
      <c r="B1280" t="s" s="21">
        <v>65</v>
      </c>
      <c r="C1280" t="s" s="21">
        <v>58</v>
      </c>
      <c r="D1280" s="22" cm="1">
        <f t="array" ref="D1280">_xlfn.SUMIFS('Diseases'!F2:F4303,'Diseases'!B2:B4303,A1280,'Diseases'!C2:C4303,B1280,'Diseases'!D2:D4303,C1280)</f>
        <v>1158</v>
      </c>
      <c r="E1280" t="str" s="34" cm="1">
        <f t="array" ref="E1280">_xlfn.IFERROR(IF(INDEX('Diseases'!G2:G4303,MATCH(C1280,'Diseases'!D2:D4303,0))="","",INDEX('Diseases'!G2:G4303,MATCH(C1280,'Diseases'!D2:D4303,0))),"")</f>
      </c>
      <c r="F1280" t="str" s="34" cm="1">
        <f t="array" ref="F1280">_xlfn.IFERROR(IF(E1280="","",D1280/E1280*100000),"")</f>
      </c>
    </row>
    <row r="1281" ht="13.65" customHeight="1">
      <c r="A1281" t="s" s="31">
        <v>45</v>
      </c>
      <c r="B1281" t="s" s="21">
        <v>65</v>
      </c>
      <c r="C1281" t="s" s="21">
        <v>58</v>
      </c>
      <c r="D1281" s="22" cm="1">
        <f t="array" ref="D1281">_xlfn.SUMIFS('Diseases'!F2:F4303,'Diseases'!B2:B4303,A1281,'Diseases'!C2:C4303,B1281,'Diseases'!D2:D4303,C1281)</f>
        <v>907</v>
      </c>
      <c r="E1281" t="str" s="34" cm="1">
        <f t="array" ref="E1281">_xlfn.IFERROR(IF(INDEX('Diseases'!G2:G4303,MATCH(C1281,'Diseases'!D2:D4303,0))="","",INDEX('Diseases'!G2:G4303,MATCH(C1281,'Diseases'!D2:D4303,0))),"")</f>
      </c>
      <c r="F1281" t="str" s="34" cm="1">
        <f t="array" ref="F1281">_xlfn.IFERROR(IF(E1281="","",D1281/E1281*100000),"")</f>
      </c>
    </row>
    <row r="1282" ht="13.65" customHeight="1">
      <c r="A1282" t="s" s="27">
        <v>37</v>
      </c>
      <c r="B1282" t="s" s="21">
        <v>65</v>
      </c>
      <c r="C1282" t="s" s="21">
        <v>58</v>
      </c>
      <c r="D1282" s="22" cm="1">
        <f t="array" ref="D1282">_xlfn.SUMIFS('Diseases'!F2:F4303,'Diseases'!B2:B4303,A1282,'Diseases'!C2:C4303,B1282,'Diseases'!D2:D4303,C1282)</f>
        <v>821</v>
      </c>
      <c r="E1282" t="str" s="34" cm="1">
        <f t="array" ref="E1282">_xlfn.IFERROR(IF(INDEX('Diseases'!G2:G4303,MATCH(C1282,'Diseases'!D2:D4303,0))="","",INDEX('Diseases'!G2:G4303,MATCH(C1282,'Diseases'!D2:D4303,0))),"")</f>
      </c>
      <c r="F1282" t="str" s="34" cm="1">
        <f t="array" ref="F1282">_xlfn.IFERROR(IF(E1282="","",D1282/E1282*100000),"")</f>
      </c>
    </row>
    <row r="1283" ht="13.65" customHeight="1">
      <c r="A1283" t="s" s="29">
        <v>39</v>
      </c>
      <c r="B1283" t="s" s="21">
        <v>65</v>
      </c>
      <c r="C1283" t="s" s="21">
        <v>58</v>
      </c>
      <c r="D1283" s="22" cm="1">
        <f t="array" ref="D1283">_xlfn.SUMIFS('Diseases'!F2:F4303,'Diseases'!B2:B4303,A1283,'Diseases'!C2:C4303,B1283,'Diseases'!D2:D4303,C1283)</f>
        <v>820</v>
      </c>
      <c r="E1283" t="str" s="34" cm="1">
        <f t="array" ref="E1283">_xlfn.IFERROR(IF(INDEX('Diseases'!G2:G4303,MATCH(C1283,'Diseases'!D2:D4303,0))="","",INDEX('Diseases'!G2:G4303,MATCH(C1283,'Diseases'!D2:D4303,0))),"")</f>
      </c>
      <c r="F1283" t="str" s="34" cm="1">
        <f t="array" ref="F1283">_xlfn.IFERROR(IF(E1283="","",D1283/E1283*100000),"")</f>
      </c>
    </row>
    <row r="1284" ht="13.65" customHeight="1">
      <c r="A1284" t="s" s="20">
        <v>30</v>
      </c>
      <c r="B1284" t="s" s="21">
        <v>66</v>
      </c>
      <c r="C1284" t="s" s="21">
        <v>58</v>
      </c>
      <c r="D1284" s="22" cm="1">
        <f t="array" ref="D1284">_xlfn.SUMIFS('Diseases'!F2:F4303,'Diseases'!B2:B4303,A1284,'Diseases'!C2:C4303,B1284,'Diseases'!D2:D4303,C1284)</f>
        <v>7266</v>
      </c>
      <c r="E1284" t="str" s="34" cm="1">
        <f t="array" ref="E1284">_xlfn.IFERROR(IF(INDEX('Diseases'!G2:G4303,MATCH(C1284,'Diseases'!D2:D4303,0))="","",INDEX('Diseases'!G2:G4303,MATCH(C1284,'Diseases'!D2:D4303,0))),"")</f>
      </c>
      <c r="F1284" t="str" s="34" cm="1">
        <f t="array" ref="F1284">_xlfn.IFERROR(IF(E1284="","",D1284/E1284*100000),"")</f>
      </c>
    </row>
    <row r="1285" ht="13.65" customHeight="1">
      <c r="A1285" t="s" s="25">
        <v>35</v>
      </c>
      <c r="B1285" t="s" s="21">
        <v>66</v>
      </c>
      <c r="C1285" t="s" s="21">
        <v>58</v>
      </c>
      <c r="D1285" s="22" cm="1">
        <f t="array" ref="D1285">_xlfn.SUMIFS('Diseases'!F2:F4303,'Diseases'!B2:B4303,A1285,'Diseases'!C2:C4303,B1285,'Diseases'!D2:D4303,C1285)</f>
        <v>6756</v>
      </c>
      <c r="E1285" t="str" s="34" cm="1">
        <f t="array" ref="E1285">_xlfn.IFERROR(IF(INDEX('Diseases'!G2:G4303,MATCH(C1285,'Diseases'!D2:D4303,0))="","",INDEX('Diseases'!G2:G4303,MATCH(C1285,'Diseases'!D2:D4303,0))),"")</f>
      </c>
      <c r="F1285" t="str" s="34" cm="1">
        <f t="array" ref="F1285">_xlfn.IFERROR(IF(E1285="","",D1285/E1285*100000),"")</f>
      </c>
    </row>
    <row r="1286" ht="13.65" customHeight="1">
      <c r="A1286" t="s" s="24">
        <v>34</v>
      </c>
      <c r="B1286" t="s" s="21">
        <v>66</v>
      </c>
      <c r="C1286" t="s" s="21">
        <v>58</v>
      </c>
      <c r="D1286" s="22" cm="1">
        <f t="array" ref="D1286">_xlfn.SUMIFS('Diseases'!F2:F4303,'Diseases'!B2:B4303,A1286,'Diseases'!C2:C4303,B1286,'Diseases'!D2:D4303,C1286)</f>
        <v>1687</v>
      </c>
      <c r="E1286" t="str" s="34" cm="1">
        <f t="array" ref="E1286">_xlfn.IFERROR(IF(INDEX('Diseases'!G2:G4303,MATCH(C1286,'Diseases'!D2:D4303,0))="","",INDEX('Diseases'!G2:G4303,MATCH(C1286,'Diseases'!D2:D4303,0))),"")</f>
      </c>
      <c r="F1286" t="str" s="34" cm="1">
        <f t="array" ref="F1286">_xlfn.IFERROR(IF(E1286="","",D1286/E1286*100000),"")</f>
      </c>
    </row>
    <row r="1287" ht="13.65" customHeight="1">
      <c r="A1287" t="s" s="29">
        <v>39</v>
      </c>
      <c r="B1287" t="s" s="21">
        <v>66</v>
      </c>
      <c r="C1287" t="s" s="21">
        <v>58</v>
      </c>
      <c r="D1287" s="22" cm="1">
        <f t="array" ref="D1287">_xlfn.SUMIFS('Diseases'!F2:F4303,'Diseases'!B2:B4303,A1287,'Diseases'!C2:C4303,B1287,'Diseases'!D2:D4303,C1287)</f>
        <v>1020</v>
      </c>
      <c r="E1287" t="str" s="34" cm="1">
        <f t="array" ref="E1287">_xlfn.IFERROR(IF(INDEX('Diseases'!G2:G4303,MATCH(C1287,'Diseases'!D2:D4303,0))="","",INDEX('Diseases'!G2:G4303,MATCH(C1287,'Diseases'!D2:D4303,0))),"")</f>
      </c>
      <c r="F1287" t="str" s="34" cm="1">
        <f t="array" ref="F1287">_xlfn.IFERROR(IF(E1287="","",D1287/E1287*100000),"")</f>
      </c>
    </row>
    <row r="1288" ht="13.65" customHeight="1">
      <c r="A1288" t="s" s="26">
        <v>36</v>
      </c>
      <c r="B1288" t="s" s="21">
        <v>66</v>
      </c>
      <c r="C1288" t="s" s="21">
        <v>58</v>
      </c>
      <c r="D1288" s="22" cm="1">
        <f t="array" ref="D1288">_xlfn.SUMIFS('Diseases'!F2:F4303,'Diseases'!B2:B4303,A1288,'Diseases'!C2:C4303,B1288,'Diseases'!D2:D4303,C1288)</f>
        <v>969</v>
      </c>
      <c r="E1288" t="str" s="34" cm="1">
        <f t="array" ref="E1288">_xlfn.IFERROR(IF(INDEX('Diseases'!G2:G4303,MATCH(C1288,'Diseases'!D2:D4303,0))="","",INDEX('Diseases'!G2:G4303,MATCH(C1288,'Diseases'!D2:D4303,0))),"")</f>
      </c>
      <c r="F1288" t="str" s="34" cm="1">
        <f t="array" ref="F1288">_xlfn.IFERROR(IF(E1288="","",D1288/E1288*100000),"")</f>
      </c>
    </row>
    <row r="1289" ht="13.65" customHeight="1">
      <c r="A1289" t="s" s="31">
        <v>45</v>
      </c>
      <c r="B1289" t="s" s="21">
        <v>66</v>
      </c>
      <c r="C1289" t="s" s="21">
        <v>58</v>
      </c>
      <c r="D1289" s="22" cm="1">
        <f t="array" ref="D1289">_xlfn.SUMIFS('Diseases'!F2:F4303,'Diseases'!B2:B4303,A1289,'Diseases'!C2:C4303,B1289,'Diseases'!D2:D4303,C1289)</f>
        <v>763</v>
      </c>
      <c r="E1289" t="str" s="34" cm="1">
        <f t="array" ref="E1289">_xlfn.IFERROR(IF(INDEX('Diseases'!G2:G4303,MATCH(C1289,'Diseases'!D2:D4303,0))="","",INDEX('Diseases'!G2:G4303,MATCH(C1289,'Diseases'!D2:D4303,0))),"")</f>
      </c>
      <c r="F1289" t="str" s="34" cm="1">
        <f t="array" ref="F1289">_xlfn.IFERROR(IF(E1289="","",D1289/E1289*100000),"")</f>
      </c>
    </row>
    <row r="1290" ht="13.65" customHeight="1">
      <c r="A1290" t="s" s="20">
        <v>30</v>
      </c>
      <c r="B1290" t="s" s="21">
        <v>67</v>
      </c>
      <c r="C1290" t="s" s="21">
        <v>58</v>
      </c>
      <c r="D1290" s="22" cm="1">
        <f t="array" ref="D1290">_xlfn.SUMIFS('Diseases'!F2:F4303,'Diseases'!B2:B4303,A1290,'Diseases'!C2:C4303,B1290,'Diseases'!D2:D4303,C1290)</f>
        <v>16791</v>
      </c>
      <c r="E1290" t="str" s="34" cm="1">
        <f t="array" ref="E1290">_xlfn.IFERROR(IF(INDEX('Diseases'!G2:G4303,MATCH(C1290,'Diseases'!D2:D4303,0))="","",INDEX('Diseases'!G2:G4303,MATCH(C1290,'Diseases'!D2:D4303,0))),"")</f>
      </c>
      <c r="F1290" t="str" s="34" cm="1">
        <f t="array" ref="F1290">_xlfn.IFERROR(IF(E1290="","",D1290/E1290*100000),"")</f>
      </c>
    </row>
    <row r="1291" ht="13.65" customHeight="1">
      <c r="A1291" t="s" s="25">
        <v>35</v>
      </c>
      <c r="B1291" t="s" s="21">
        <v>67</v>
      </c>
      <c r="C1291" t="s" s="21">
        <v>58</v>
      </c>
      <c r="D1291" s="22" cm="1">
        <f t="array" ref="D1291">_xlfn.SUMIFS('Diseases'!F2:F4303,'Diseases'!B2:B4303,A1291,'Diseases'!C2:C4303,B1291,'Diseases'!D2:D4303,C1291)</f>
        <v>6134</v>
      </c>
      <c r="E1291" t="str" s="34" cm="1">
        <f t="array" ref="E1291">_xlfn.IFERROR(IF(INDEX('Diseases'!G2:G4303,MATCH(C1291,'Diseases'!D2:D4303,0))="","",INDEX('Diseases'!G2:G4303,MATCH(C1291,'Diseases'!D2:D4303,0))),"")</f>
      </c>
      <c r="F1291" t="str" s="34" cm="1">
        <f t="array" ref="F1291">_xlfn.IFERROR(IF(E1291="","",D1291/E1291*100000),"")</f>
      </c>
    </row>
    <row r="1292" ht="13.65" customHeight="1">
      <c r="A1292" t="s" s="24">
        <v>34</v>
      </c>
      <c r="B1292" t="s" s="21">
        <v>67</v>
      </c>
      <c r="C1292" t="s" s="21">
        <v>58</v>
      </c>
      <c r="D1292" s="22" cm="1">
        <f t="array" ref="D1292">_xlfn.SUMIFS('Diseases'!F2:F4303,'Diseases'!B2:B4303,A1292,'Diseases'!C2:C4303,B1292,'Diseases'!D2:D4303,C1292)</f>
        <v>2564</v>
      </c>
      <c r="E1292" t="str" s="34" cm="1">
        <f t="array" ref="E1292">_xlfn.IFERROR(IF(INDEX('Diseases'!G2:G4303,MATCH(C1292,'Diseases'!D2:D4303,0))="","",INDEX('Diseases'!G2:G4303,MATCH(C1292,'Diseases'!D2:D4303,0))),"")</f>
      </c>
      <c r="F1292" t="str" s="34" cm="1">
        <f t="array" ref="F1292">_xlfn.IFERROR(IF(E1292="","",D1292/E1292*100000),"")</f>
      </c>
    </row>
    <row r="1293" ht="13.65" customHeight="1">
      <c r="A1293" t="s" s="28">
        <v>41</v>
      </c>
      <c r="B1293" t="s" s="21">
        <v>67</v>
      </c>
      <c r="C1293" t="s" s="21">
        <v>58</v>
      </c>
      <c r="D1293" s="22" cm="1">
        <f t="array" ref="D1293">_xlfn.SUMIFS('Diseases'!F2:F4303,'Diseases'!B2:B4303,A1293,'Diseases'!C2:C4303,B1293,'Diseases'!D2:D4303,C1293)</f>
        <v>1447</v>
      </c>
      <c r="E1293" t="str" s="34" cm="1">
        <f t="array" ref="E1293">_xlfn.IFERROR(IF(INDEX('Diseases'!G2:G4303,MATCH(C1293,'Diseases'!D2:D4303,0))="","",INDEX('Diseases'!G2:G4303,MATCH(C1293,'Diseases'!D2:D4303,0))),"")</f>
      </c>
      <c r="F1293" t="str" s="34" cm="1">
        <f t="array" ref="F1293">_xlfn.IFERROR(IF(E1293="","",D1293/E1293*100000),"")</f>
      </c>
    </row>
    <row r="1294" ht="13.65" customHeight="1">
      <c r="A1294" t="s" s="29">
        <v>39</v>
      </c>
      <c r="B1294" t="s" s="21">
        <v>67</v>
      </c>
      <c r="C1294" t="s" s="21">
        <v>58</v>
      </c>
      <c r="D1294" s="22" cm="1">
        <f t="array" ref="D1294">_xlfn.SUMIFS('Diseases'!F2:F4303,'Diseases'!B2:B4303,A1294,'Diseases'!C2:C4303,B1294,'Diseases'!D2:D4303,C1294)</f>
        <v>964</v>
      </c>
      <c r="E1294" t="str" s="34" cm="1">
        <f t="array" ref="E1294">_xlfn.IFERROR(IF(INDEX('Diseases'!G2:G4303,MATCH(C1294,'Diseases'!D2:D4303,0))="","",INDEX('Diseases'!G2:G4303,MATCH(C1294,'Diseases'!D2:D4303,0))),"")</f>
      </c>
      <c r="F1294" t="str" s="34" cm="1">
        <f t="array" ref="F1294">_xlfn.IFERROR(IF(E1294="","",D1294/E1294*100000),"")</f>
      </c>
    </row>
    <row r="1295" ht="13.65" customHeight="1">
      <c r="A1295" t="s" s="26">
        <v>36</v>
      </c>
      <c r="B1295" t="s" s="21">
        <v>67</v>
      </c>
      <c r="C1295" t="s" s="21">
        <v>58</v>
      </c>
      <c r="D1295" s="22" cm="1">
        <f t="array" ref="D1295">_xlfn.SUMIFS('Diseases'!F2:F4303,'Diseases'!B2:B4303,A1295,'Diseases'!C2:C4303,B1295,'Diseases'!D2:D4303,C1295)</f>
        <v>855</v>
      </c>
      <c r="E1295" t="str" s="34" cm="1">
        <f t="array" ref="E1295">_xlfn.IFERROR(IF(INDEX('Diseases'!G2:G4303,MATCH(C1295,'Diseases'!D2:D4303,0))="","",INDEX('Diseases'!G2:G4303,MATCH(C1295,'Diseases'!D2:D4303,0))),"")</f>
      </c>
      <c r="F1295" t="str" s="34" cm="1">
        <f t="array" ref="F1295">_xlfn.IFERROR(IF(E1295="","",D1295/E1295*100000),"")</f>
      </c>
    </row>
    <row r="1296" ht="13.65" customHeight="1">
      <c r="A1296" t="s" s="20">
        <v>30</v>
      </c>
      <c r="B1296" t="s" s="21">
        <v>68</v>
      </c>
      <c r="C1296" t="s" s="21">
        <v>58</v>
      </c>
      <c r="D1296" s="22" cm="1">
        <f t="array" ref="D1296">_xlfn.SUMIFS('Diseases'!F2:F4303,'Diseases'!B2:B4303,A1296,'Diseases'!C2:C4303,B1296,'Diseases'!D2:D4303,C1296)</f>
        <v>2238</v>
      </c>
      <c r="E1296" t="str" s="34" cm="1">
        <f t="array" ref="E1296">_xlfn.IFERROR(IF(INDEX('Diseases'!G2:G4303,MATCH(C1296,'Diseases'!D2:D4303,0))="","",INDEX('Diseases'!G2:G4303,MATCH(C1296,'Diseases'!D2:D4303,0))),"")</f>
      </c>
      <c r="F1296" t="str" s="34" cm="1">
        <f t="array" ref="F1296">_xlfn.IFERROR(IF(E1296="","",D1296/E1296*100000),"")</f>
      </c>
    </row>
    <row r="1297" ht="13.65" customHeight="1">
      <c r="A1297" t="s" s="25">
        <v>35</v>
      </c>
      <c r="B1297" t="s" s="21">
        <v>68</v>
      </c>
      <c r="C1297" t="s" s="21">
        <v>58</v>
      </c>
      <c r="D1297" s="22" cm="1">
        <f t="array" ref="D1297">_xlfn.SUMIFS('Diseases'!F2:F4303,'Diseases'!B2:B4303,A1297,'Diseases'!C2:C4303,B1297,'Diseases'!D2:D4303,C1297)</f>
        <v>1543</v>
      </c>
      <c r="E1297" t="str" s="34" cm="1">
        <f t="array" ref="E1297">_xlfn.IFERROR(IF(INDEX('Diseases'!G2:G4303,MATCH(C1297,'Diseases'!D2:D4303,0))="","",INDEX('Diseases'!G2:G4303,MATCH(C1297,'Diseases'!D2:D4303,0))),"")</f>
      </c>
      <c r="F1297" t="str" s="34" cm="1">
        <f t="array" ref="F1297">_xlfn.IFERROR(IF(E1297="","",D1297/E1297*100000),"")</f>
      </c>
    </row>
    <row r="1298" ht="13.65" customHeight="1">
      <c r="A1298" t="s" s="24">
        <v>34</v>
      </c>
      <c r="B1298" t="s" s="21">
        <v>68</v>
      </c>
      <c r="C1298" t="s" s="21">
        <v>58</v>
      </c>
      <c r="D1298" s="22" cm="1">
        <f t="array" ref="D1298">_xlfn.SUMIFS('Diseases'!F2:F4303,'Diseases'!B2:B4303,A1298,'Diseases'!C2:C4303,B1298,'Diseases'!D2:D4303,C1298)</f>
        <v>705</v>
      </c>
      <c r="E1298" t="str" s="34" cm="1">
        <f t="array" ref="E1298">_xlfn.IFERROR(IF(INDEX('Diseases'!G2:G4303,MATCH(C1298,'Diseases'!D2:D4303,0))="","",INDEX('Diseases'!G2:G4303,MATCH(C1298,'Diseases'!D2:D4303,0))),"")</f>
      </c>
      <c r="F1298" t="str" s="34" cm="1">
        <f t="array" ref="F1298">_xlfn.IFERROR(IF(E1298="","",D1298/E1298*100000),"")</f>
      </c>
    </row>
    <row r="1299" ht="13.65" customHeight="1">
      <c r="A1299" t="s" s="27">
        <v>37</v>
      </c>
      <c r="B1299" t="s" s="21">
        <v>68</v>
      </c>
      <c r="C1299" t="s" s="21">
        <v>58</v>
      </c>
      <c r="D1299" s="22" cm="1">
        <f t="array" ref="D1299">_xlfn.SUMIFS('Diseases'!F2:F4303,'Diseases'!B2:B4303,A1299,'Diseases'!C2:C4303,B1299,'Diseases'!D2:D4303,C1299)</f>
        <v>271</v>
      </c>
      <c r="E1299" t="str" s="34" cm="1">
        <f t="array" ref="E1299">_xlfn.IFERROR(IF(INDEX('Diseases'!G2:G4303,MATCH(C1299,'Diseases'!D2:D4303,0))="","",INDEX('Diseases'!G2:G4303,MATCH(C1299,'Diseases'!D2:D4303,0))),"")</f>
      </c>
      <c r="F1299" t="str" s="34" cm="1">
        <f t="array" ref="F1299">_xlfn.IFERROR(IF(E1299="","",D1299/E1299*100000),"")</f>
      </c>
    </row>
    <row r="1300" ht="13.65" customHeight="1">
      <c r="A1300" t="s" s="29">
        <v>39</v>
      </c>
      <c r="B1300" t="s" s="21">
        <v>68</v>
      </c>
      <c r="C1300" t="s" s="21">
        <v>58</v>
      </c>
      <c r="D1300" s="22" cm="1">
        <f t="array" ref="D1300">_xlfn.SUMIFS('Diseases'!F2:F4303,'Diseases'!B2:B4303,A1300,'Diseases'!C2:C4303,B1300,'Diseases'!D2:D4303,C1300)</f>
        <v>160</v>
      </c>
      <c r="E1300" t="str" s="34" cm="1">
        <f t="array" ref="E1300">_xlfn.IFERROR(IF(INDEX('Diseases'!G2:G4303,MATCH(C1300,'Diseases'!D2:D4303,0))="","",INDEX('Diseases'!G2:G4303,MATCH(C1300,'Diseases'!D2:D4303,0))),"")</f>
      </c>
      <c r="F1300" t="str" s="34" cm="1">
        <f t="array" ref="F1300">_xlfn.IFERROR(IF(E1300="","",D1300/E1300*100000),"")</f>
      </c>
    </row>
    <row r="1301" ht="13.65" customHeight="1">
      <c r="A1301" t="s" s="26">
        <v>36</v>
      </c>
      <c r="B1301" t="s" s="21">
        <v>68</v>
      </c>
      <c r="C1301" t="s" s="21">
        <v>58</v>
      </c>
      <c r="D1301" s="22" cm="1">
        <f t="array" ref="D1301">_xlfn.SUMIFS('Diseases'!F2:F4303,'Diseases'!B2:B4303,A1301,'Diseases'!C2:C4303,B1301,'Diseases'!D2:D4303,C1301)</f>
        <v>136</v>
      </c>
      <c r="E1301" t="str" s="34" cm="1">
        <f t="array" ref="E1301">_xlfn.IFERROR(IF(INDEX('Diseases'!G2:G4303,MATCH(C1301,'Diseases'!D2:D4303,0))="","",INDEX('Diseases'!G2:G4303,MATCH(C1301,'Diseases'!D2:D4303,0))),"")</f>
      </c>
      <c r="F1301" t="str" s="34" cm="1">
        <f t="array" ref="F1301">_xlfn.IFERROR(IF(E1301="","",D1301/E1301*100000),"")</f>
      </c>
    </row>
    <row r="1302" ht="13.65" customHeight="1">
      <c r="A1302" t="s" s="31">
        <v>45</v>
      </c>
      <c r="B1302" t="s" s="21">
        <v>68</v>
      </c>
      <c r="C1302" t="s" s="21">
        <v>58</v>
      </c>
      <c r="D1302" s="22" cm="1">
        <f t="array" ref="D1302">_xlfn.SUMIFS('Diseases'!F2:F4303,'Diseases'!B2:B4303,A1302,'Diseases'!C2:C4303,B1302,'Diseases'!D2:D4303,C1302)</f>
        <v>116</v>
      </c>
      <c r="E1302" t="str" s="34" cm="1">
        <f t="array" ref="E1302">_xlfn.IFERROR(IF(INDEX('Diseases'!G2:G4303,MATCH(C1302,'Diseases'!D2:D4303,0))="","",INDEX('Diseases'!G2:G4303,MATCH(C1302,'Diseases'!D2:D4303,0))),"")</f>
      </c>
      <c r="F1302" t="str" s="34" cm="1">
        <f t="array" ref="F1302">_xlfn.IFERROR(IF(E1302="","",D1302/E1302*100000),"")</f>
      </c>
    </row>
    <row r="1303" ht="13.65" customHeight="1">
      <c r="A1303" t="s" s="20">
        <v>30</v>
      </c>
      <c r="B1303" t="s" s="21">
        <v>69</v>
      </c>
      <c r="C1303" t="s" s="21">
        <v>58</v>
      </c>
      <c r="D1303" s="22" cm="1">
        <f t="array" ref="D1303">_xlfn.SUMIFS('Diseases'!F2:F4303,'Diseases'!B2:B4303,A1303,'Diseases'!C2:C4303,B1303,'Diseases'!D2:D4303,C1303)</f>
        <v>14853</v>
      </c>
      <c r="E1303" t="str" s="34" cm="1">
        <f t="array" ref="E1303">_xlfn.IFERROR(IF(INDEX('Diseases'!G2:G4303,MATCH(C1303,'Diseases'!D2:D4303,0))="","",INDEX('Diseases'!G2:G4303,MATCH(C1303,'Diseases'!D2:D4303,0))),"")</f>
      </c>
      <c r="F1303" t="str" s="34" cm="1">
        <f t="array" ref="F1303">_xlfn.IFERROR(IF(E1303="","",D1303/E1303*100000),"")</f>
      </c>
    </row>
    <row r="1304" ht="13.65" customHeight="1">
      <c r="A1304" t="s" s="26">
        <v>36</v>
      </c>
      <c r="B1304" t="s" s="21">
        <v>69</v>
      </c>
      <c r="C1304" t="s" s="21">
        <v>58</v>
      </c>
      <c r="D1304" s="22" cm="1">
        <f t="array" ref="D1304">_xlfn.SUMIFS('Diseases'!F2:F4303,'Diseases'!B2:B4303,A1304,'Diseases'!C2:C4303,B1304,'Diseases'!D2:D4303,C1304)</f>
        <v>2870</v>
      </c>
      <c r="E1304" t="str" s="34" cm="1">
        <f t="array" ref="E1304">_xlfn.IFERROR(IF(INDEX('Diseases'!G2:G4303,MATCH(C1304,'Diseases'!D2:D4303,0))="","",INDEX('Diseases'!G2:G4303,MATCH(C1304,'Diseases'!D2:D4303,0))),"")</f>
      </c>
      <c r="F1304" t="str" s="34" cm="1">
        <f t="array" ref="F1304">_xlfn.IFERROR(IF(E1304="","",D1304/E1304*100000),"")</f>
      </c>
    </row>
    <row r="1305" ht="13.65" customHeight="1">
      <c r="A1305" t="s" s="24">
        <v>34</v>
      </c>
      <c r="B1305" t="s" s="21">
        <v>69</v>
      </c>
      <c r="C1305" t="s" s="21">
        <v>58</v>
      </c>
      <c r="D1305" s="22" cm="1">
        <f t="array" ref="D1305">_xlfn.SUMIFS('Diseases'!F2:F4303,'Diseases'!B2:B4303,A1305,'Diseases'!C2:C4303,B1305,'Diseases'!D2:D4303,C1305)</f>
        <v>2284</v>
      </c>
      <c r="E1305" t="str" s="34" cm="1">
        <f t="array" ref="E1305">_xlfn.IFERROR(IF(INDEX('Diseases'!G2:G4303,MATCH(C1305,'Diseases'!D2:D4303,0))="","",INDEX('Diseases'!G2:G4303,MATCH(C1305,'Diseases'!D2:D4303,0))),"")</f>
      </c>
      <c r="F1305" t="str" s="34" cm="1">
        <f t="array" ref="F1305">_xlfn.IFERROR(IF(E1305="","",D1305/E1305*100000),"")</f>
      </c>
    </row>
    <row r="1306" ht="13.65" customHeight="1">
      <c r="A1306" t="s" s="31">
        <v>45</v>
      </c>
      <c r="B1306" t="s" s="21">
        <v>69</v>
      </c>
      <c r="C1306" t="s" s="21">
        <v>58</v>
      </c>
      <c r="D1306" s="22" cm="1">
        <f t="array" ref="D1306">_xlfn.SUMIFS('Diseases'!F2:F4303,'Diseases'!B2:B4303,A1306,'Diseases'!C2:C4303,B1306,'Diseases'!D2:D4303,C1306)</f>
        <v>1471</v>
      </c>
      <c r="E1306" t="str" s="34" cm="1">
        <f t="array" ref="E1306">_xlfn.IFERROR(IF(INDEX('Diseases'!G2:G4303,MATCH(C1306,'Diseases'!D2:D4303,0))="","",INDEX('Diseases'!G2:G4303,MATCH(C1306,'Diseases'!D2:D4303,0))),"")</f>
      </c>
      <c r="F1306" t="str" s="34" cm="1">
        <f t="array" ref="F1306">_xlfn.IFERROR(IF(E1306="","",D1306/E1306*100000),"")</f>
      </c>
    </row>
    <row r="1307" ht="13.65" customHeight="1">
      <c r="A1307" t="s" s="20">
        <v>30</v>
      </c>
      <c r="B1307" t="s" s="21">
        <v>70</v>
      </c>
      <c r="C1307" t="s" s="21">
        <v>58</v>
      </c>
      <c r="D1307" s="22" cm="1">
        <f t="array" ref="D1307">_xlfn.SUMIFS('Diseases'!F2:F4303,'Diseases'!B2:B4303,A1307,'Diseases'!C2:C4303,B1307,'Diseases'!D2:D4303,C1307)</f>
        <v>5984</v>
      </c>
      <c r="E1307" t="str" s="34" cm="1">
        <f t="array" ref="E1307">_xlfn.IFERROR(IF(INDEX('Diseases'!G2:G4303,MATCH(C1307,'Diseases'!D2:D4303,0))="","",INDEX('Diseases'!G2:G4303,MATCH(C1307,'Diseases'!D2:D4303,0))),"")</f>
      </c>
      <c r="F1307" t="str" s="34" cm="1">
        <f t="array" ref="F1307">_xlfn.IFERROR(IF(E1307="","",D1307/E1307*100000),"")</f>
      </c>
    </row>
    <row r="1308" ht="13.65" customHeight="1">
      <c r="A1308" t="s" s="25">
        <v>35</v>
      </c>
      <c r="B1308" t="s" s="21">
        <v>70</v>
      </c>
      <c r="C1308" t="s" s="21">
        <v>58</v>
      </c>
      <c r="D1308" s="22" cm="1">
        <f t="array" ref="D1308">_xlfn.SUMIFS('Diseases'!F2:F4303,'Diseases'!B2:B4303,A1308,'Diseases'!C2:C4303,B1308,'Diseases'!D2:D4303,C1308)</f>
        <v>4409</v>
      </c>
      <c r="E1308" t="str" s="34" cm="1">
        <f t="array" ref="E1308">_xlfn.IFERROR(IF(INDEX('Diseases'!G2:G4303,MATCH(C1308,'Diseases'!D2:D4303,0))="","",INDEX('Diseases'!G2:G4303,MATCH(C1308,'Diseases'!D2:D4303,0))),"")</f>
      </c>
      <c r="F1308" t="str" s="34" cm="1">
        <f t="array" ref="F1308">_xlfn.IFERROR(IF(E1308="","",D1308/E1308*100000),"")</f>
      </c>
    </row>
    <row r="1309" ht="13.65" customHeight="1">
      <c r="A1309" t="s" s="24">
        <v>34</v>
      </c>
      <c r="B1309" t="s" s="21">
        <v>70</v>
      </c>
      <c r="C1309" t="s" s="21">
        <v>58</v>
      </c>
      <c r="D1309" s="22" cm="1">
        <f t="array" ref="D1309">_xlfn.SUMIFS('Diseases'!F2:F4303,'Diseases'!B2:B4303,A1309,'Diseases'!C2:C4303,B1309,'Diseases'!D2:D4303,C1309)</f>
        <v>1197</v>
      </c>
      <c r="E1309" t="str" s="34" cm="1">
        <f t="array" ref="E1309">_xlfn.IFERROR(IF(INDEX('Diseases'!G2:G4303,MATCH(C1309,'Diseases'!D2:D4303,0))="","",INDEX('Diseases'!G2:G4303,MATCH(C1309,'Diseases'!D2:D4303,0))),"")</f>
      </c>
      <c r="F1309" t="str" s="34" cm="1">
        <f t="array" ref="F1309">_xlfn.IFERROR(IF(E1309="","",D1309/E1309*100000),"")</f>
      </c>
    </row>
    <row r="1310" ht="13.65" customHeight="1">
      <c r="A1310" t="s" s="29">
        <v>39</v>
      </c>
      <c r="B1310" t="s" s="21">
        <v>70</v>
      </c>
      <c r="C1310" t="s" s="21">
        <v>58</v>
      </c>
      <c r="D1310" s="22" cm="1">
        <f t="array" ref="D1310">_xlfn.SUMIFS('Diseases'!F2:F4303,'Diseases'!B2:B4303,A1310,'Diseases'!C2:C4303,B1310,'Diseases'!D2:D4303,C1310)</f>
        <v>608</v>
      </c>
      <c r="E1310" t="str" s="34" cm="1">
        <f t="array" ref="E1310">_xlfn.IFERROR(IF(INDEX('Diseases'!G2:G4303,MATCH(C1310,'Diseases'!D2:D4303,0))="","",INDEX('Diseases'!G2:G4303,MATCH(C1310,'Diseases'!D2:D4303,0))),"")</f>
      </c>
      <c r="F1310" t="str" s="34" cm="1">
        <f t="array" ref="F1310">_xlfn.IFERROR(IF(E1310="","",D1310/E1310*100000),"")</f>
      </c>
    </row>
    <row r="1311" ht="13.65" customHeight="1">
      <c r="A1311" t="s" s="26">
        <v>36</v>
      </c>
      <c r="B1311" t="s" s="21">
        <v>70</v>
      </c>
      <c r="C1311" t="s" s="21">
        <v>58</v>
      </c>
      <c r="D1311" s="22" cm="1">
        <f t="array" ref="D1311">_xlfn.SUMIFS('Diseases'!F2:F4303,'Diseases'!B2:B4303,A1311,'Diseases'!C2:C4303,B1311,'Diseases'!D2:D4303,C1311)</f>
        <v>544</v>
      </c>
      <c r="E1311" t="str" s="34" cm="1">
        <f t="array" ref="E1311">_xlfn.IFERROR(IF(INDEX('Diseases'!G2:G4303,MATCH(C1311,'Diseases'!D2:D4303,0))="","",INDEX('Diseases'!G2:G4303,MATCH(C1311,'Diseases'!D2:D4303,0))),"")</f>
      </c>
      <c r="F1311" t="str" s="34" cm="1">
        <f t="array" ref="F1311">_xlfn.IFERROR(IF(E1311="","",D1311/E1311*100000),"")</f>
      </c>
    </row>
    <row r="1312" ht="13.65" customHeight="1">
      <c r="A1312" t="s" s="27">
        <v>37</v>
      </c>
      <c r="B1312" t="s" s="21">
        <v>70</v>
      </c>
      <c r="C1312" t="s" s="21">
        <v>58</v>
      </c>
      <c r="D1312" s="22" cm="1">
        <f t="array" ref="D1312">_xlfn.SUMIFS('Diseases'!F2:F4303,'Diseases'!B2:B4303,A1312,'Diseases'!C2:C4303,B1312,'Diseases'!D2:D4303,C1312)</f>
        <v>438</v>
      </c>
      <c r="E1312" t="str" s="34" cm="1">
        <f t="array" ref="E1312">_xlfn.IFERROR(IF(INDEX('Diseases'!G2:G4303,MATCH(C1312,'Diseases'!D2:D4303,0))="","",INDEX('Diseases'!G2:G4303,MATCH(C1312,'Diseases'!D2:D4303,0))),"")</f>
      </c>
      <c r="F1312" t="str" s="34" cm="1">
        <f t="array" ref="F1312">_xlfn.IFERROR(IF(E1312="","",D1312/E1312*100000),"")</f>
      </c>
    </row>
    <row r="1313" ht="13.65" customHeight="1">
      <c r="A1313" s="35"/>
      <c r="B1313" s="35"/>
      <c r="C1313" s="35"/>
      <c r="D1313" s="35"/>
      <c r="E1313" s="35"/>
      <c r="F1313" s="35"/>
    </row>
    <row r="1314" ht="30" customHeight="1">
      <c r="A1314" t="s" s="36">
        <v>73</v>
      </c>
      <c r="B1314" s="37"/>
      <c r="C1314" s="37"/>
      <c r="D1314" s="37"/>
      <c r="E1314" s="37"/>
      <c r="F1314" s="37"/>
    </row>
  </sheetData>
  <mergeCells count="1">
    <mergeCell ref="A1314:F1314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38" customWidth="1"/>
    <col min="2" max="8" width="16" style="38" customWidth="1"/>
    <col min="9" max="10" width="8.67188" style="38" customWidth="1"/>
    <col min="11" max="16384" width="8.67188" style="38" customWidth="1"/>
  </cols>
  <sheetData>
    <row r="1" ht="18.5" customHeight="1">
      <c r="A1" t="s" s="39">
        <v>74</v>
      </c>
      <c r="B1" s="40"/>
      <c r="C1" s="40"/>
      <c r="D1" s="40"/>
      <c r="E1" s="40"/>
      <c r="F1" s="40"/>
      <c r="G1" s="40"/>
      <c r="H1" s="40"/>
      <c r="I1" s="4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45">
        <v>35</v>
      </c>
      <c r="F3" t="s" s="46">
        <v>30</v>
      </c>
      <c r="G3" t="s" s="47">
        <v>36</v>
      </c>
      <c r="H3" t="s" s="48">
        <v>41</v>
      </c>
      <c r="I3" s="49"/>
      <c r="J3" s="4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Cases'!C2:C1312,"National Capital Region"),0)</f>
        <v>67.6162506799327</v>
      </c>
      <c r="C4" s="23" cm="1">
        <f t="array" ref="C4">_xlfn.IFERROR(_xlfn.SUMIFS('Total Cases'!F2:F1312,'Total Cases'!A2:A1312,C$3,'Total Cases'!B2:B1312,$A4,'Total Cases'!C2:C1312,"National Capital Region"),0)</f>
        <v>9.792270950897681</v>
      </c>
      <c r="D4" s="23" cm="1">
        <f t="array" ref="D4">_xlfn.IFERROR(_xlfn.SUMIFS('Total Cases'!F2:F1312,'Total Cases'!A2:A1312,D$3,'Total Cases'!B2:B1312,$A4,'Total Cases'!C2:C1312,"National Capital Region"),0)</f>
        <v>0</v>
      </c>
      <c r="E4" s="23" cm="1">
        <f t="array" ref="E4">_xlfn.IFERROR(_xlfn.SUMIFS('Total Cases'!F2:F1312,'Total Cases'!A2:A1312,E$3,'Total Cases'!B2:B1312,$A4,'Total Cases'!C2:C1312,"National Capital Region"),0)</f>
        <v>44.7400733952055</v>
      </c>
      <c r="F4" s="23" cm="1">
        <f t="array" ref="F4">_xlfn.IFERROR(_xlfn.SUMIFS('Total Cases'!F2:F1312,'Total Cases'!A2:A1312,F$3,'Total Cases'!B2:B1312,$A4,'Total Cases'!C2:C1312,"National Capital Region"),0)</f>
        <v>157.034421071920</v>
      </c>
      <c r="G4" s="23" cm="1">
        <f t="array" ref="G4">_xlfn.IFERROR(_xlfn.SUMIFS('Total Cases'!F2:F1312,'Total Cases'!A2:A1312,G$3,'Total Cases'!B2:B1312,$A4,'Total Cases'!C2:C1312,"National Capital Region"),0)</f>
        <v>10.5635327979445</v>
      </c>
      <c r="H4" s="23" cm="1">
        <f t="array" ref="H4">_xlfn.IFERROR(_xlfn.SUMIFS('Total Cases'!F2:F1312,'Total Cases'!A2:A1312,H$3,'Total Cases'!B2:B1312,$A4,'Total Cases'!C2:C1312,"National Capital Region"),0)</f>
        <v>0</v>
      </c>
      <c r="I4" s="49"/>
      <c r="J4" s="4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Cases'!C2:C1312,"National Capital Region"),0)</f>
        <v>51.8329278814394</v>
      </c>
      <c r="C5" s="23" cm="1">
        <f t="array" ref="C5">_xlfn.IFERROR(_xlfn.SUMIFS('Total Cases'!F2:F1312,'Total Cases'!A2:A1312,C$3,'Total Cases'!B2:B1312,$A5,'Total Cases'!C2:C1312,"National Capital Region"),0)</f>
        <v>28.6537548710867</v>
      </c>
      <c r="D5" s="23" cm="1">
        <f t="array" ref="D5">_xlfn.IFERROR(_xlfn.SUMIFS('Total Cases'!F2:F1312,'Total Cases'!A2:A1312,D$3,'Total Cases'!B2:B1312,$A5,'Total Cases'!C2:C1312,"National Capital Region"),0)</f>
        <v>13.0494750013721</v>
      </c>
      <c r="E5" s="23" cm="1">
        <f t="array" ref="E5">_xlfn.IFERROR(_xlfn.SUMIFS('Total Cases'!F2:F1312,'Total Cases'!A2:A1312,E$3,'Total Cases'!B2:B1312,$A5,'Total Cases'!C2:C1312,"National Capital Region"),0)</f>
        <v>70.0815340838859</v>
      </c>
      <c r="F5" s="23" cm="1">
        <f t="array" ref="F5">_xlfn.IFERROR(_xlfn.SUMIFS('Total Cases'!F2:F1312,'Total Cases'!A2:A1312,F$3,'Total Cases'!B2:B1312,$A5,'Total Cases'!C2:C1312,"National Capital Region"),0)</f>
        <v>157.172146401750</v>
      </c>
      <c r="G5" s="23" cm="1">
        <f t="array" ref="G5">_xlfn.IFERROR(_xlfn.SUMIFS('Total Cases'!F2:F1312,'Total Cases'!A2:A1312,G$3,'Total Cases'!B2:B1312,$A5,'Total Cases'!C2:C1312,"National Capital Region"),0)</f>
        <v>0</v>
      </c>
      <c r="H5" s="23" cm="1">
        <f t="array" ref="H5">_xlfn.IFERROR(_xlfn.SUMIFS('Total Cases'!F2:F1312,'Total Cases'!A2:A1312,H$3,'Total Cases'!B2:B1312,$A5,'Total Cases'!C2:C1312,"National Capital Region"),0)</f>
        <v>38.8523155449822</v>
      </c>
      <c r="I5" s="49"/>
      <c r="J5" s="4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Cases'!C2:C1312,"National Capital Region"),0)</f>
        <v>89.2804450621579</v>
      </c>
      <c r="C6" s="23" cm="1">
        <f t="array" ref="C6">_xlfn.IFERROR(_xlfn.SUMIFS('Total Cases'!F2:F1312,'Total Cases'!A2:A1312,C$3,'Total Cases'!B2:B1312,$A6,'Total Cases'!C2:C1312,"National Capital Region"),0)</f>
        <v>25.6306838813229</v>
      </c>
      <c r="D6" s="23" cm="1">
        <f t="array" ref="D6">_xlfn.IFERROR(_xlfn.SUMIFS('Total Cases'!F2:F1312,'Total Cases'!A2:A1312,D$3,'Total Cases'!B2:B1312,$A6,'Total Cases'!C2:C1312,"National Capital Region"),0)</f>
        <v>10.4258074681147</v>
      </c>
      <c r="E6" s="23" cm="1">
        <f t="array" ref="E6">_xlfn.IFERROR(_xlfn.SUMIFS('Total Cases'!F2:F1312,'Total Cases'!A2:A1312,E$3,'Total Cases'!B2:B1312,$A6,'Total Cases'!C2:C1312,"National Capital Region"),0)</f>
        <v>76.98157310835811</v>
      </c>
      <c r="F6" s="23" cm="1">
        <f t="array" ref="F6">_xlfn.IFERROR(_xlfn.SUMIFS('Total Cases'!F2:F1312,'Total Cases'!A2:A1312,F$3,'Total Cases'!B2:B1312,$A6,'Total Cases'!C2:C1312,"National Capital Region"),0)</f>
        <v>155.326626982031</v>
      </c>
      <c r="G6" s="23" cm="1">
        <f t="array" ref="G6">_xlfn.IFERROR(_xlfn.SUMIFS('Total Cases'!F2:F1312,'Total Cases'!A2:A1312,G$3,'Total Cases'!B2:B1312,$A6,'Total Cases'!C2:C1312,"National Capital Region"),0)</f>
        <v>0</v>
      </c>
      <c r="H6" s="23" cm="1">
        <f t="array" ref="H6">_xlfn.IFERROR(_xlfn.SUMIFS('Total Cases'!F2:F1312,'Total Cases'!A2:A1312,H$3,'Total Cases'!B2:B1312,$A6,'Total Cases'!C2:C1312,"National Capital Region"),0)</f>
        <v>10.3638310696913</v>
      </c>
      <c r="I6" s="49"/>
      <c r="J6" s="4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Cases'!C2:C1312,"National Capital Region"),0)</f>
        <v>1572.444521999110</v>
      </c>
      <c r="C7" s="23" cm="1">
        <f t="array" ref="C7">_xlfn.IFERROR(_xlfn.SUMIFS('Total Cases'!F2:F1312,'Total Cases'!A2:A1312,C$3,'Total Cases'!B2:B1312,$A7,'Total Cases'!C2:C1312,"National Capital Region"),0)</f>
        <v>588.465903030212</v>
      </c>
      <c r="D7" s="23" cm="1">
        <f t="array" ref="D7">_xlfn.IFERROR(_xlfn.SUMIFS('Total Cases'!F2:F1312,'Total Cases'!A2:A1312,D$3,'Total Cases'!B2:B1312,$A7,'Total Cases'!C2:C1312,"National Capital Region"),0)</f>
        <v>0</v>
      </c>
      <c r="E7" s="23" cm="1">
        <f t="array" ref="E7">_xlfn.IFERROR(_xlfn.SUMIFS('Total Cases'!F2:F1312,'Total Cases'!A2:A1312,E$3,'Total Cases'!B2:B1312,$A7,'Total Cases'!C2:C1312,"National Capital Region"),0)</f>
        <v>1047.297839358140</v>
      </c>
      <c r="F7" s="23" cm="1">
        <f t="array" ref="F7">_xlfn.IFERROR(_xlfn.SUMIFS('Total Cases'!F2:F1312,'Total Cases'!A2:A1312,F$3,'Total Cases'!B2:B1312,$A7,'Total Cases'!C2:C1312,"National Capital Region"),0)</f>
        <v>2067.842533396840</v>
      </c>
      <c r="G7" s="23" cm="1">
        <f t="array" ref="G7">_xlfn.IFERROR(_xlfn.SUMIFS('Total Cases'!F2:F1312,'Total Cases'!A2:A1312,G$3,'Total Cases'!B2:B1312,$A7,'Total Cases'!C2:C1312,"National Capital Region"),0)</f>
        <v>139.653484447402</v>
      </c>
      <c r="H7" s="23" cm="1">
        <f t="array" ref="H7">_xlfn.IFERROR(_xlfn.SUMIFS('Total Cases'!F2:F1312,'Total Cases'!A2:A1312,H$3,'Total Cases'!B2:B1312,$A7,'Total Cases'!C2:C1312,"National Capital Region"),0)</f>
        <v>0</v>
      </c>
      <c r="I7" s="49"/>
      <c r="J7" s="4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Cases'!C2:C1312,"National Capital Region"),0)</f>
        <v>117.169824352689</v>
      </c>
      <c r="C8" s="23" cm="1">
        <f t="array" ref="C8">_xlfn.IFERROR(_xlfn.SUMIFS('Total Cases'!F2:F1312,'Total Cases'!A2:A1312,C$3,'Total Cases'!B2:B1312,$A8,'Total Cases'!C2:C1312,"National Capital Region"),0)</f>
        <v>87.8274428324536</v>
      </c>
      <c r="D8" s="23" cm="1">
        <f t="array" ref="D8">_xlfn.IFERROR(_xlfn.SUMIFS('Total Cases'!F2:F1312,'Total Cases'!A2:A1312,D$3,'Total Cases'!B2:B1312,$A8,'Total Cases'!C2:C1312,"National Capital Region"),0)</f>
        <v>23.2411494087761</v>
      </c>
      <c r="E8" s="23" cm="1">
        <f t="array" ref="E8">_xlfn.IFERROR(_xlfn.SUMIFS('Total Cases'!F2:F1312,'Total Cases'!A2:A1312,E$3,'Total Cases'!B2:B1312,$A8,'Total Cases'!C2:C1312,"National Capital Region"),0)</f>
        <v>73.05640120820919</v>
      </c>
      <c r="F8" s="23" cm="1">
        <f t="array" ref="F8">_xlfn.IFERROR(_xlfn.SUMIFS('Total Cases'!F2:F1312,'Total Cases'!A2:A1312,F$3,'Total Cases'!B2:B1312,$A8,'Total Cases'!C2:C1312,"National Capital Region"),0)</f>
        <v>134.468125779310</v>
      </c>
      <c r="G8" s="23" cm="1">
        <f t="array" ref="G8">_xlfn.IFERROR(_xlfn.SUMIFS('Total Cases'!F2:F1312,'Total Cases'!A2:A1312,G$3,'Total Cases'!B2:B1312,$A8,'Total Cases'!C2:C1312,"National Capital Region"),0)</f>
        <v>39.8577104527397</v>
      </c>
      <c r="H8" s="23" cm="1">
        <f t="array" ref="H8">_xlfn.IFERROR(_xlfn.SUMIFS('Total Cases'!F2:F1312,'Total Cases'!A2:A1312,H$3,'Total Cases'!B2:B1312,$A8,'Total Cases'!C2:C1312,"National Capital Region"),0)</f>
        <v>0</v>
      </c>
      <c r="I8" s="49"/>
      <c r="J8" s="4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Cases'!C2:C1312,"National Capital Region"),0)</f>
        <v>190.109159030543</v>
      </c>
      <c r="C9" s="23" cm="1">
        <f t="array" ref="C9">_xlfn.IFERROR(_xlfn.SUMIFS('Total Cases'!F2:F1312,'Total Cases'!A2:A1312,C$3,'Total Cases'!B2:B1312,$A9,'Total Cases'!C2:C1312,"National Capital Region"),0)</f>
        <v>127.375271293076</v>
      </c>
      <c r="D9" s="23" cm="1">
        <f t="array" ref="D9">_xlfn.IFERROR(_xlfn.SUMIFS('Total Cases'!F2:F1312,'Total Cases'!A2:A1312,D$3,'Total Cases'!B2:B1312,$A9,'Total Cases'!C2:C1312,"National Capital Region"),0)</f>
        <v>32.3379074440334</v>
      </c>
      <c r="E9" s="23" cm="1">
        <f t="array" ref="E9">_xlfn.IFERROR(_xlfn.SUMIFS('Total Cases'!F2:F1312,'Total Cases'!A2:A1312,E$3,'Total Cases'!B2:B1312,$A9,'Total Cases'!C2:C1312,"National Capital Region"),0)</f>
        <v>158.404788103727</v>
      </c>
      <c r="F9" s="23" cm="1">
        <f t="array" ref="F9">_xlfn.IFERROR(_xlfn.SUMIFS('Total Cases'!F2:F1312,'Total Cases'!A2:A1312,F$3,'Total Cases'!B2:B1312,$A9,'Total Cases'!C2:C1312,"National Capital Region"),0)</f>
        <v>162.522775465637</v>
      </c>
      <c r="G9" s="23" cm="1">
        <f t="array" ref="G9">_xlfn.IFERROR(_xlfn.SUMIFS('Total Cases'!F2:F1312,'Total Cases'!A2:A1312,G$3,'Total Cases'!B2:B1312,$A9,'Total Cases'!C2:C1312,"National Capital Region"),0)</f>
        <v>42.7912599781141</v>
      </c>
      <c r="H9" s="23" cm="1">
        <f t="array" ref="H9">_xlfn.IFERROR(_xlfn.SUMIFS('Total Cases'!F2:F1312,'Total Cases'!A2:A1312,H$3,'Total Cases'!B2:B1312,$A9,'Total Cases'!C2:C1312,"National Capital Region"),0)</f>
        <v>0</v>
      </c>
      <c r="I9" s="49"/>
      <c r="J9" s="4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Cases'!C2:C1312,"National Capital Region"),0)</f>
        <v>183.181574940105</v>
      </c>
      <c r="C10" s="23" cm="1">
        <f t="array" ref="C10">_xlfn.IFERROR(_xlfn.SUMIFS('Total Cases'!F2:F1312,'Total Cases'!A2:A1312,C$3,'Total Cases'!B2:B1312,$A10,'Total Cases'!C2:C1312,"National Capital Region"),0)</f>
        <v>99.8439778601023</v>
      </c>
      <c r="D10" s="23" cm="1">
        <f t="array" ref="D10">_xlfn.IFERROR(_xlfn.SUMIFS('Total Cases'!F2:F1312,'Total Cases'!A2:A1312,D$3,'Total Cases'!B2:B1312,$A10,'Total Cases'!C2:C1312,"National Capital Region"),0)</f>
        <v>39.327467932895</v>
      </c>
      <c r="E10" s="23" cm="1">
        <f t="array" ref="E10">_xlfn.IFERROR(_xlfn.SUMIFS('Total Cases'!F2:F1312,'Total Cases'!A2:A1312,E$3,'Total Cases'!B2:B1312,$A10,'Total Cases'!C2:C1312,"National Capital Region"),0)</f>
        <v>133.572911135417</v>
      </c>
      <c r="F10" s="23" cm="1">
        <f t="array" ref="F10">_xlfn.IFERROR(_xlfn.SUMIFS('Total Cases'!F2:F1312,'Total Cases'!A2:A1312,F$3,'Total Cases'!B2:B1312,$A10,'Total Cases'!C2:C1312,"National Capital Region"),0)</f>
        <v>230.318069074349</v>
      </c>
      <c r="G10" s="23" cm="1">
        <f t="array" ref="G10">_xlfn.IFERROR(_xlfn.SUMIFS('Total Cases'!F2:F1312,'Total Cases'!A2:A1312,G$3,'Total Cases'!B2:B1312,$A10,'Total Cases'!C2:C1312,"National Capital Region"),0)</f>
        <v>29.3768128526931</v>
      </c>
      <c r="H10" s="23" cm="1">
        <f t="array" ref="H10">_xlfn.IFERROR(_xlfn.SUMIFS('Total Cases'!F2:F1312,'Total Cases'!A2:A1312,H$3,'Total Cases'!B2:B1312,$A10,'Total Cases'!C2:C1312,"National Capital Region"),0)</f>
        <v>0</v>
      </c>
      <c r="I10" s="49"/>
      <c r="J10" s="4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Cases'!C2:C1312,"National Capital Region"),0)</f>
        <v>129.936962427910</v>
      </c>
      <c r="C11" s="23" cm="1">
        <f t="array" ref="C11">_xlfn.IFERROR(_xlfn.SUMIFS('Total Cases'!F2:F1312,'Total Cases'!A2:A1312,C$3,'Total Cases'!B2:B1312,$A11,'Total Cases'!C2:C1312,"National Capital Region"),0)</f>
        <v>69.3102722368391</v>
      </c>
      <c r="D11" s="23" cm="1">
        <f t="array" ref="D11">_xlfn.IFERROR(_xlfn.SUMIFS('Total Cases'!F2:F1312,'Total Cases'!A2:A1312,D$3,'Total Cases'!B2:B1312,$A11,'Total Cases'!C2:C1312,"National Capital Region"),0)</f>
        <v>34.1627680642781</v>
      </c>
      <c r="E11" s="23" cm="1">
        <f t="array" ref="E11">_xlfn.IFERROR(_xlfn.SUMIFS('Total Cases'!F2:F1312,'Total Cases'!A2:A1312,E$3,'Total Cases'!B2:B1312,$A11,'Total Cases'!C2:C1312,"National Capital Region"),0)</f>
        <v>93.3157972261705</v>
      </c>
      <c r="F11" s="23" cm="1">
        <f t="array" ref="F11">_xlfn.IFERROR(_xlfn.SUMIFS('Total Cases'!F2:F1312,'Total Cases'!A2:A1312,F$3,'Total Cases'!B2:B1312,$A11,'Total Cases'!C2:C1312,"National Capital Region"),0)</f>
        <v>223.314736052504</v>
      </c>
      <c r="G11" s="23" cm="1">
        <f t="array" ref="G11">_xlfn.IFERROR(_xlfn.SUMIFS('Total Cases'!F2:F1312,'Total Cases'!A2:A1312,G$3,'Total Cases'!B2:B1312,$A11,'Total Cases'!C2:C1312,"National Capital Region"),0)</f>
        <v>17.0917134318763</v>
      </c>
      <c r="H11" s="23" cm="1">
        <f t="array" ref="H11">_xlfn.IFERROR(_xlfn.SUMIFS('Total Cases'!F2:F1312,'Total Cases'!A2:A1312,H$3,'Total Cases'!B2:B1312,$A11,'Total Cases'!C2:C1312,"National Capital Region"),0)</f>
        <v>0</v>
      </c>
      <c r="I11" s="49"/>
      <c r="J11" s="4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Cases'!C2:C1312,"National Capital Region"),0)</f>
        <v>185.336976351941</v>
      </c>
      <c r="C12" s="23" cm="1">
        <f t="array" ref="C12">_xlfn.IFERROR(_xlfn.SUMIFS('Total Cases'!F2:F1312,'Total Cases'!A2:A1312,C$3,'Total Cases'!B2:B1312,$A12,'Total Cases'!C2:C1312,"National Capital Region"),0)</f>
        <v>126.975867836570</v>
      </c>
      <c r="D12" s="23" cm="1">
        <f t="array" ref="D12">_xlfn.IFERROR(_xlfn.SUMIFS('Total Cases'!F2:F1312,'Total Cases'!A2:A1312,D$3,'Total Cases'!B2:B1312,$A12,'Total Cases'!C2:C1312,"National Capital Region"),0)</f>
        <v>41.1041246876992</v>
      </c>
      <c r="E12" s="23" cm="1">
        <f t="array" ref="E12">_xlfn.IFERROR(_xlfn.SUMIFS('Total Cases'!F2:F1312,'Total Cases'!A2:A1312,E$3,'Total Cases'!B2:B1312,$A12,'Total Cases'!C2:C1312,"National Capital Region"),0)</f>
        <v>66.2665424476008</v>
      </c>
      <c r="F12" s="23" cm="1">
        <f t="array" ref="F12">_xlfn.IFERROR(_xlfn.SUMIFS('Total Cases'!F2:F1312,'Total Cases'!A2:A1312,F$3,'Total Cases'!B2:B1312,$A12,'Total Cases'!C2:C1312,"National Capital Region"),0)</f>
        <v>400.498372878522</v>
      </c>
      <c r="G12" s="23" cm="1">
        <f t="array" ref="G12">_xlfn.IFERROR(_xlfn.SUMIFS('Total Cases'!F2:F1312,'Total Cases'!A2:A1312,G$3,'Total Cases'!B2:B1312,$A12,'Total Cases'!C2:C1312,"National Capital Region"),0)</f>
        <v>0</v>
      </c>
      <c r="H12" s="23" cm="1">
        <f t="array" ref="H12">_xlfn.IFERROR(_xlfn.SUMIFS('Total Cases'!F2:F1312,'Total Cases'!A2:A1312,H$3,'Total Cases'!B2:B1312,$A12,'Total Cases'!C2:C1312,"National Capital Region"),0)</f>
        <v>0</v>
      </c>
      <c r="I12" s="49"/>
      <c r="J12" s="4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Cases'!C2:C1312,"National Capital Region"),0)</f>
        <v>247.244512110429</v>
      </c>
      <c r="C13" s="23" cm="1">
        <f t="array" ref="C13">_xlfn.IFERROR(_xlfn.SUMIFS('Total Cases'!F2:F1312,'Total Cases'!A2:A1312,C$3,'Total Cases'!B2:B1312,$A13,'Total Cases'!C2:C1312,"National Capital Region"),0)</f>
        <v>143.351409553331</v>
      </c>
      <c r="D13" s="23" cm="1">
        <f t="array" ref="D13">_xlfn.IFERROR(_xlfn.SUMIFS('Total Cases'!F2:F1312,'Total Cases'!A2:A1312,D$3,'Total Cases'!B2:B1312,$A13,'Total Cases'!C2:C1312,"National Capital Region"),0)</f>
        <v>47.9766186462055</v>
      </c>
      <c r="E13" s="23" cm="1">
        <f t="array" ref="E13">_xlfn.IFERROR(_xlfn.SUMIFS('Total Cases'!F2:F1312,'Total Cases'!A2:A1312,E$3,'Total Cases'!B2:B1312,$A13,'Total Cases'!C2:C1312,"National Capital Region"),0)</f>
        <v>83.4615498768495</v>
      </c>
      <c r="F13" s="23" cm="1">
        <f t="array" ref="F13">_xlfn.IFERROR(_xlfn.SUMIFS('Total Cases'!F2:F1312,'Total Cases'!A2:A1312,F$3,'Total Cases'!B2:B1312,$A13,'Total Cases'!C2:C1312,"National Capital Region"),0)</f>
        <v>493.166861054493</v>
      </c>
      <c r="G13" s="23" cm="1">
        <f t="array" ref="G13">_xlfn.IFERROR(_xlfn.SUMIFS('Total Cases'!F2:F1312,'Total Cases'!A2:A1312,G$3,'Total Cases'!B2:B1312,$A13,'Total Cases'!C2:C1312,"National Capital Region"),0)</f>
        <v>0</v>
      </c>
      <c r="H13" s="23" cm="1">
        <f t="array" ref="H13">_xlfn.IFERROR(_xlfn.SUMIFS('Total Cases'!F2:F1312,'Total Cases'!A2:A1312,H$3,'Total Cases'!B2:B1312,$A13,'Total Cases'!C2:C1312,"National Capital Region"),0)</f>
        <v>0</v>
      </c>
      <c r="I13" s="49"/>
      <c r="J13" s="4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Cases'!C2:C1312,"National Capital Region"),0)</f>
        <v>218.294647780209</v>
      </c>
      <c r="C14" s="23" cm="1">
        <f t="array" ref="C14">_xlfn.IFERROR(_xlfn.SUMIFS('Total Cases'!F2:F1312,'Total Cases'!A2:A1312,C$3,'Total Cases'!B2:B1312,$A14,'Total Cases'!C2:C1312,"National Capital Region"),0)</f>
        <v>147.861914105257</v>
      </c>
      <c r="D14" s="23" cm="1">
        <f t="array" ref="D14">_xlfn.IFERROR(_xlfn.SUMIFS('Total Cases'!F2:F1312,'Total Cases'!A2:A1312,D$3,'Total Cases'!B2:B1312,$A14,'Total Cases'!C2:C1312,"National Capital Region"),0)</f>
        <v>40.0780709804673</v>
      </c>
      <c r="E14" s="23" cm="1">
        <f t="array" ref="E14">_xlfn.IFERROR(_xlfn.SUMIFS('Total Cases'!F2:F1312,'Total Cases'!A2:A1312,E$3,'Total Cases'!B2:B1312,$A14,'Total Cases'!C2:C1312,"National Capital Region"),0)</f>
        <v>66.73480856902211</v>
      </c>
      <c r="F14" s="23" cm="1">
        <f t="array" ref="F14">_xlfn.IFERROR(_xlfn.SUMIFS('Total Cases'!F2:F1312,'Total Cases'!A2:A1312,F$3,'Total Cases'!B2:B1312,$A14,'Total Cases'!C2:C1312,"National Capital Region"),0)</f>
        <v>262.311663193808</v>
      </c>
      <c r="G14" s="23" cm="1">
        <f t="array" ref="G14">_xlfn.IFERROR(_xlfn.SUMIFS('Total Cases'!F2:F1312,'Total Cases'!A2:A1312,G$3,'Total Cases'!B2:B1312,$A14,'Total Cases'!C2:C1312,"National Capital Region"),0)</f>
        <v>20.7552072053485</v>
      </c>
      <c r="H14" s="23" cm="1">
        <f t="array" ref="H14">_xlfn.IFERROR(_xlfn.SUMIFS('Total Cases'!F2:F1312,'Total Cases'!A2:A1312,H$3,'Total Cases'!B2:B1312,$A14,'Total Cases'!C2:C1312,"National Capital Region"),0)</f>
        <v>0</v>
      </c>
      <c r="I14" s="49"/>
      <c r="J14" s="4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Cases'!C2:C1312,"National Capital Region"),0)</f>
        <v>193.662472540152</v>
      </c>
      <c r="C15" s="23" cm="1">
        <f t="array" ref="C15">_xlfn.IFERROR(_xlfn.SUMIFS('Total Cases'!F2:F1312,'Total Cases'!A2:A1312,C$3,'Total Cases'!B2:B1312,$A15,'Total Cases'!C2:C1312,"National Capital Region"),0)</f>
        <v>125.839633865474</v>
      </c>
      <c r="D15" s="23" cm="1">
        <f t="array" ref="D15">_xlfn.IFERROR(_xlfn.SUMIFS('Total Cases'!F2:F1312,'Total Cases'!A2:A1312,D$3,'Total Cases'!B2:B1312,$A15,'Total Cases'!C2:C1312,"National Capital Region"),0)</f>
        <v>32.7304246340483</v>
      </c>
      <c r="E15" s="23" cm="1">
        <f t="array" ref="E15">_xlfn.IFERROR(_xlfn.SUMIFS('Total Cases'!F2:F1312,'Total Cases'!A2:A1312,E$3,'Total Cases'!B2:B1312,$A15,'Total Cases'!C2:C1312,"National Capital Region"),0)</f>
        <v>55.4757628554372</v>
      </c>
      <c r="F15" s="23" cm="1">
        <f t="array" ref="F15">_xlfn.IFERROR(_xlfn.SUMIFS('Total Cases'!F2:F1312,'Total Cases'!A2:A1312,F$3,'Total Cases'!B2:B1312,$A15,'Total Cases'!C2:C1312,"National Capital Region"),0)</f>
        <v>305.233762235260</v>
      </c>
      <c r="G15" s="23" cm="1">
        <f t="array" ref="G15">_xlfn.IFERROR(_xlfn.SUMIFS('Total Cases'!F2:F1312,'Total Cases'!A2:A1312,G$3,'Total Cases'!B2:B1312,$A15,'Total Cases'!C2:C1312,"National Capital Region"),0)</f>
        <v>0</v>
      </c>
      <c r="H15" s="23" cm="1">
        <f t="array" ref="H15">_xlfn.IFERROR(_xlfn.SUMIFS('Total Cases'!F2:F1312,'Total Cases'!A2:A1312,H$3,'Total Cases'!B2:B1312,$A15,'Total Cases'!C2:C1312,"National Capital Region"),0)</f>
        <v>0</v>
      </c>
      <c r="I15" s="49"/>
      <c r="J15" s="4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4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4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4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4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4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4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4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4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4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4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4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4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4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4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4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4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4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4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4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4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4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4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4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4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4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4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4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4"/>
      <c r="J43" s="4"/>
    </row>
  </sheetData>
  <mergeCells count="1">
    <mergeCell ref="A1:H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51" customWidth="1"/>
    <col min="2" max="9" width="16" style="51" customWidth="1"/>
    <col min="10" max="10" width="8.67188" style="51" customWidth="1"/>
    <col min="11" max="16384" width="8.67188" style="51" customWidth="1"/>
  </cols>
  <sheetData>
    <row r="1" ht="18.5" customHeight="1">
      <c r="A1" t="s" s="39">
        <v>75</v>
      </c>
      <c r="B1" s="40"/>
      <c r="C1" s="40"/>
      <c r="D1" s="40"/>
      <c r="E1" s="40"/>
      <c r="F1" s="40"/>
      <c r="G1" s="40"/>
      <c r="H1" s="40"/>
      <c r="I1" s="40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53">
        <v>45</v>
      </c>
      <c r="G3" t="s" s="45">
        <v>35</v>
      </c>
      <c r="H3" t="s" s="46">
        <v>30</v>
      </c>
      <c r="I3" t="s" s="48">
        <v>41</v>
      </c>
      <c r="J3" s="49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Cases'!C2:C1312,"Cordillera Administrative Region"),0)</f>
        <v>430.831876330177</v>
      </c>
      <c r="C4" s="23" cm="1">
        <f t="array" ref="C4">_xlfn.IFERROR(_xlfn.SUMIFS('Total Cases'!F2:F1312,'Total Cases'!A2:A1312,C$3,'Total Cases'!B2:B1312,$A4,'Total Cases'!C2:C1312,"Cordillera Administrative Region"),0)</f>
        <v>81.2044725417373</v>
      </c>
      <c r="D4" s="23" cm="1">
        <f t="array" ref="D4">_xlfn.IFERROR(_xlfn.SUMIFS('Total Cases'!F2:F1312,'Total Cases'!A2:A1312,D$3,'Total Cases'!B2:B1312,$A4,'Total Cases'!C2:C1312,"Cordillera Administrative Region"),0)</f>
        <v>199.063000691999</v>
      </c>
      <c r="E4" s="23" cm="1">
        <f t="array" ref="E4">_xlfn.IFERROR(_xlfn.SUMIFS('Total Cases'!F2:F1312,'Total Cases'!A2:A1312,E$3,'Total Cases'!B2:B1312,$A4,'Total Cases'!C2:C1312,"Cordillera Administrative Region"),0)</f>
        <v>99.5048234496322</v>
      </c>
      <c r="F4" s="23" cm="1">
        <f t="array" ref="F4">_xlfn.IFERROR(_xlfn.SUMIFS('Total Cases'!F2:F1312,'Total Cases'!A2:A1312,F$3,'Total Cases'!B2:B1312,$A4,'Total Cases'!C2:C1312,"Cordillera Administrative Region"),0)</f>
        <v>0</v>
      </c>
      <c r="G4" s="23" cm="1">
        <f t="array" ref="G4">_xlfn.IFERROR(_xlfn.SUMIFS('Total Cases'!F2:F1312,'Total Cases'!A2:A1312,G$3,'Total Cases'!B2:B1312,$A4,'Total Cases'!C2:C1312,"Cordillera Administrative Region"),0)</f>
        <v>101.158791024398</v>
      </c>
      <c r="H4" s="23" cm="1">
        <f t="array" ref="H4">_xlfn.IFERROR(_xlfn.SUMIFS('Total Cases'!F2:F1312,'Total Cases'!A2:A1312,H$3,'Total Cases'!B2:B1312,$A4,'Total Cases'!C2:C1312,"Cordillera Administrative Region"),0)</f>
        <v>1152.975460990110</v>
      </c>
      <c r="I4" s="23" cm="1">
        <f t="array" ref="I4">_xlfn.IFERROR(_xlfn.SUMIFS('Total Cases'!F2:F1312,'Total Cases'!A2:A1312,I$3,'Total Cases'!B2:B1312,$A4,'Total Cases'!C2:C1312,"Cordillera Administrative Region"),0)</f>
        <v>98.1709786312725</v>
      </c>
      <c r="J4" s="49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Cases'!C2:C1312,"Cordillera Administrative Region"),0)</f>
        <v>389.749455924699</v>
      </c>
      <c r="C5" s="23" cm="1">
        <f t="array" ref="C5">_xlfn.IFERROR(_xlfn.SUMIFS('Total Cases'!F2:F1312,'Total Cases'!A2:A1312,C$3,'Total Cases'!B2:B1312,$A5,'Total Cases'!C2:C1312,"Cordillera Administrative Region"),0)</f>
        <v>241.532619708571</v>
      </c>
      <c r="D5" s="23" cm="1">
        <f t="array" ref="D5">_xlfn.IFERROR(_xlfn.SUMIFS('Total Cases'!F2:F1312,'Total Cases'!A2:A1312,D$3,'Total Cases'!B2:B1312,$A5,'Total Cases'!C2:C1312,"Cordillera Administrative Region"),0)</f>
        <v>197.569094495436</v>
      </c>
      <c r="E5" s="23" cm="1">
        <f t="array" ref="E5">_xlfn.IFERROR(_xlfn.SUMIFS('Total Cases'!F2:F1312,'Total Cases'!A2:A1312,E$3,'Total Cases'!B2:B1312,$A5,'Total Cases'!C2:C1312,"Cordillera Administrative Region"),0)</f>
        <v>88.3005269754108</v>
      </c>
      <c r="F5" s="23" cm="1">
        <f t="array" ref="F5">_xlfn.IFERROR(_xlfn.SUMIFS('Total Cases'!F2:F1312,'Total Cases'!A2:A1312,F$3,'Total Cases'!B2:B1312,$A5,'Total Cases'!C2:C1312,"Cordillera Administrative Region"),0)</f>
        <v>55.3278830655595</v>
      </c>
      <c r="G5" s="23" cm="1">
        <f t="array" ref="G5">_xlfn.IFERROR(_xlfn.SUMIFS('Total Cases'!F2:F1312,'Total Cases'!A2:A1312,G$3,'Total Cases'!B2:B1312,$A5,'Total Cases'!C2:C1312,"Cordillera Administrative Region"),0)</f>
        <v>103.986542039321</v>
      </c>
      <c r="H5" s="23" cm="1">
        <f t="array" ref="H5">_xlfn.IFERROR(_xlfn.SUMIFS('Total Cases'!F2:F1312,'Total Cases'!A2:A1312,H$3,'Total Cases'!B2:B1312,$A5,'Total Cases'!C2:C1312,"Cordillera Administrative Region"),0)</f>
        <v>1044.773969324770</v>
      </c>
      <c r="I5" s="23" cm="1">
        <f t="array" ref="I5">_xlfn.IFERROR(_xlfn.SUMIFS('Total Cases'!F2:F1312,'Total Cases'!A2:A1312,I$3,'Total Cases'!B2:B1312,$A5,'Total Cases'!C2:C1312,"Cordillera Administrative Region"),0)</f>
        <v>0</v>
      </c>
      <c r="J5" s="49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Cases'!C2:C1312,"Cordillera Administrative Region"),0)</f>
        <v>316.761467464057</v>
      </c>
      <c r="C6" s="23" cm="1">
        <f t="array" ref="C6">_xlfn.IFERROR(_xlfn.SUMIFS('Total Cases'!F2:F1312,'Total Cases'!A2:A1312,C$3,'Total Cases'!B2:B1312,$A6,'Total Cases'!C2:C1312,"Cordillera Administrative Region"),0)</f>
        <v>200.663614474030</v>
      </c>
      <c r="D6" s="23" cm="1">
        <f t="array" ref="D6">_xlfn.IFERROR(_xlfn.SUMIFS('Total Cases'!F2:F1312,'Total Cases'!A2:A1312,D$3,'Total Cases'!B2:B1312,$A6,'Total Cases'!C2:C1312,"Cordillera Administrative Region"),0)</f>
        <v>165.076634720194</v>
      </c>
      <c r="E6" s="23" cm="1">
        <f t="array" ref="E6">_xlfn.IFERROR(_xlfn.SUMIFS('Total Cases'!F2:F1312,'Total Cases'!A2:A1312,E$3,'Total Cases'!B2:B1312,$A6,'Total Cases'!C2:C1312,"Cordillera Administrative Region"),0)</f>
        <v>0</v>
      </c>
      <c r="F6" s="23" cm="1">
        <f t="array" ref="F6">_xlfn.IFERROR(_xlfn.SUMIFS('Total Cases'!F2:F1312,'Total Cases'!A2:A1312,F$3,'Total Cases'!B2:B1312,$A6,'Total Cases'!C2:C1312,"Cordillera Administrative Region"),0)</f>
        <v>0</v>
      </c>
      <c r="G6" s="23" cm="1">
        <f t="array" ref="G6">_xlfn.IFERROR(_xlfn.SUMIFS('Total Cases'!F2:F1312,'Total Cases'!A2:A1312,G$3,'Total Cases'!B2:B1312,$A6,'Total Cases'!C2:C1312,"Cordillera Administrative Region"),0)</f>
        <v>78.7501980759555</v>
      </c>
      <c r="H6" s="23" cm="1">
        <f t="array" ref="H6">_xlfn.IFERROR(_xlfn.SUMIFS('Total Cases'!F2:F1312,'Total Cases'!A2:A1312,H$3,'Total Cases'!B2:B1312,$A6,'Total Cases'!C2:C1312,"Cordillera Administrative Region"),0)</f>
        <v>910.429119219583</v>
      </c>
      <c r="I6" s="23" cm="1">
        <f t="array" ref="I6">_xlfn.IFERROR(_xlfn.SUMIFS('Total Cases'!F2:F1312,'Total Cases'!A2:A1312,I$3,'Total Cases'!B2:B1312,$A6,'Total Cases'!C2:C1312,"Cordillera Administrative Region"),0)</f>
        <v>0</v>
      </c>
      <c r="J6" s="49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Cases'!C2:C1312,"Cordillera Administrative Region"),0)</f>
        <v>5465.295758746950</v>
      </c>
      <c r="C7" s="23" cm="1">
        <f t="array" ref="C7">_xlfn.IFERROR(_xlfn.SUMIFS('Total Cases'!F2:F1312,'Total Cases'!A2:A1312,C$3,'Total Cases'!B2:B1312,$A7,'Total Cases'!C2:C1312,"Cordillera Administrative Region"),0)</f>
        <v>2266.469115356770</v>
      </c>
      <c r="D7" s="23" cm="1">
        <f t="array" ref="D7">_xlfn.IFERROR(_xlfn.SUMIFS('Total Cases'!F2:F1312,'Total Cases'!A2:A1312,D$3,'Total Cases'!B2:B1312,$A7,'Total Cases'!C2:C1312,"Cordillera Administrative Region"),0)</f>
        <v>1130.833637005340</v>
      </c>
      <c r="E7" s="23" cm="1">
        <f t="array" ref="E7">_xlfn.IFERROR(_xlfn.SUMIFS('Total Cases'!F2:F1312,'Total Cases'!A2:A1312,E$3,'Total Cases'!B2:B1312,$A7,'Total Cases'!C2:C1312,"Cordillera Administrative Region"),0)</f>
        <v>0</v>
      </c>
      <c r="F7" s="23" cm="1">
        <f t="array" ref="F7">_xlfn.IFERROR(_xlfn.SUMIFS('Total Cases'!F2:F1312,'Total Cases'!A2:A1312,F$3,'Total Cases'!B2:B1312,$A7,'Total Cases'!C2:C1312,"Cordillera Administrative Region"),0)</f>
        <v>0</v>
      </c>
      <c r="G7" s="23" cm="1">
        <f t="array" ref="G7">_xlfn.IFERROR(_xlfn.SUMIFS('Total Cases'!F2:F1312,'Total Cases'!A2:A1312,G$3,'Total Cases'!B2:B1312,$A7,'Total Cases'!C2:C1312,"Cordillera Administrative Region"),0)</f>
        <v>2692.232381377180</v>
      </c>
      <c r="H7" s="23" cm="1">
        <f t="array" ref="H7">_xlfn.IFERROR(_xlfn.SUMIFS('Total Cases'!F2:F1312,'Total Cases'!A2:A1312,H$3,'Total Cases'!B2:B1312,$A7,'Total Cases'!C2:C1312,"Cordillera Administrative Region"),0)</f>
        <v>14413.5271071947</v>
      </c>
      <c r="I7" s="23" cm="1">
        <f t="array" ref="I7">_xlfn.IFERROR(_xlfn.SUMIFS('Total Cases'!F2:F1312,'Total Cases'!A2:A1312,I$3,'Total Cases'!B2:B1312,$A7,'Total Cases'!C2:C1312,"Cordillera Administrative Region"),0)</f>
        <v>918.7523108861481</v>
      </c>
      <c r="J7" s="49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Cases'!C2:C1312,"Cordillera Administrative Region"),0)</f>
        <v>436.807501116428</v>
      </c>
      <c r="C8" s="23" cm="1">
        <f t="array" ref="C8">_xlfn.IFERROR(_xlfn.SUMIFS('Total Cases'!F2:F1312,'Total Cases'!A2:A1312,C$3,'Total Cases'!B2:B1312,$A8,'Total Cases'!C2:C1312,"Cordillera Administrative Region"),0)</f>
        <v>162.569006461678</v>
      </c>
      <c r="D8" s="23" cm="1">
        <f t="array" ref="D8">_xlfn.IFERROR(_xlfn.SUMIFS('Total Cases'!F2:F1312,'Total Cases'!A2:A1312,D$3,'Total Cases'!B2:B1312,$A8,'Total Cases'!C2:C1312,"Cordillera Administrative Region"),0)</f>
        <v>62.5839988774362</v>
      </c>
      <c r="E8" s="23" cm="1">
        <f t="array" ref="E8">_xlfn.IFERROR(_xlfn.SUMIFS('Total Cases'!F2:F1312,'Total Cases'!A2:A1312,E$3,'Total Cases'!B2:B1312,$A8,'Total Cases'!C2:C1312,"Cordillera Administrative Region"),0)</f>
        <v>0</v>
      </c>
      <c r="F8" s="23" cm="1">
        <f t="array" ref="F8">_xlfn.IFERROR(_xlfn.SUMIFS('Total Cases'!F2:F1312,'Total Cases'!A2:A1312,F$3,'Total Cases'!B2:B1312,$A8,'Total Cases'!C2:C1312,"Cordillera Administrative Region"),0)</f>
        <v>65.2516885141556</v>
      </c>
      <c r="G8" s="23" cm="1">
        <f t="array" ref="G8">_xlfn.IFERROR(_xlfn.SUMIFS('Total Cases'!F2:F1312,'Total Cases'!A2:A1312,G$3,'Total Cases'!B2:B1312,$A8,'Total Cases'!C2:C1312,"Cordillera Administrative Region"),0)</f>
        <v>139.573521793157</v>
      </c>
      <c r="H8" s="23" cm="1">
        <f t="array" ref="H8">_xlfn.IFERROR(_xlfn.SUMIFS('Total Cases'!F2:F1312,'Total Cases'!A2:A1312,H$3,'Total Cases'!B2:B1312,$A8,'Total Cases'!C2:C1312,"Cordillera Administrative Region"),0)</f>
        <v>919.392556398960</v>
      </c>
      <c r="I8" s="23" cm="1">
        <f t="array" ref="I8">_xlfn.IFERROR(_xlfn.SUMIFS('Total Cases'!F2:F1312,'Total Cases'!A2:A1312,I$3,'Total Cases'!B2:B1312,$A8,'Total Cases'!C2:C1312,"Cordillera Administrative Region"),0)</f>
        <v>0</v>
      </c>
      <c r="J8" s="49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Cases'!C2:C1312,"Cordillera Administrative Region"),0)</f>
        <v>348.080143799142</v>
      </c>
      <c r="C9" s="23" cm="1">
        <f t="array" ref="C9">_xlfn.IFERROR(_xlfn.SUMIFS('Total Cases'!F2:F1312,'Total Cases'!A2:A1312,C$3,'Total Cases'!B2:B1312,$A9,'Total Cases'!C2:C1312,"Cordillera Administrative Region"),0)</f>
        <v>102.652697220961</v>
      </c>
      <c r="D9" s="23" cm="1">
        <f t="array" ref="D9">_xlfn.IFERROR(_xlfn.SUMIFS('Total Cases'!F2:F1312,'Total Cases'!A2:A1312,D$3,'Total Cases'!B2:B1312,$A9,'Total Cases'!C2:C1312,"Cordillera Administrative Region"),0)</f>
        <v>158.140641664724</v>
      </c>
      <c r="E9" s="23" cm="1">
        <f t="array" ref="E9">_xlfn.IFERROR(_xlfn.SUMIFS('Total Cases'!F2:F1312,'Total Cases'!A2:A1312,E$3,'Total Cases'!B2:B1312,$A9,'Total Cases'!C2:C1312,"Cordillera Administrative Region"),0)</f>
        <v>0</v>
      </c>
      <c r="F9" s="23" cm="1">
        <f t="array" ref="F9">_xlfn.IFERROR(_xlfn.SUMIFS('Total Cases'!F2:F1312,'Total Cases'!A2:A1312,F$3,'Total Cases'!B2:B1312,$A9,'Total Cases'!C2:C1312,"Cordillera Administrative Region"),0)</f>
        <v>78.0032449776741</v>
      </c>
      <c r="G9" s="23" cm="1">
        <f t="array" ref="G9">_xlfn.IFERROR(_xlfn.SUMIFS('Total Cases'!F2:F1312,'Total Cases'!A2:A1312,G$3,'Total Cases'!B2:B1312,$A9,'Total Cases'!C2:C1312,"Cordillera Administrative Region"),0)</f>
        <v>227.553926012161</v>
      </c>
      <c r="H9" s="23" cm="1">
        <f t="array" ref="H9">_xlfn.IFERROR(_xlfn.SUMIFS('Total Cases'!F2:F1312,'Total Cases'!A2:A1312,H$3,'Total Cases'!B2:B1312,$A9,'Total Cases'!C2:C1312,"Cordillera Administrative Region"),0)</f>
        <v>951.778308588733</v>
      </c>
      <c r="I9" s="23" cm="1">
        <f t="array" ref="I9">_xlfn.IFERROR(_xlfn.SUMIFS('Total Cases'!F2:F1312,'Total Cases'!A2:A1312,I$3,'Total Cases'!B2:B1312,$A9,'Total Cases'!C2:C1312,"Cordillera Administrative Region"),0)</f>
        <v>0</v>
      </c>
      <c r="J9" s="49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Cases'!C2:C1312,"Cordillera Administrative Region"),0)</f>
        <v>391.883607634074</v>
      </c>
      <c r="C10" s="23" cm="1">
        <f t="array" ref="C10">_xlfn.IFERROR(_xlfn.SUMIFS('Total Cases'!F2:F1312,'Total Cases'!A2:A1312,C$3,'Total Cases'!B2:B1312,$A10,'Total Cases'!C2:C1312,"Cordillera Administrative Region"),0)</f>
        <v>180.389173234963</v>
      </c>
      <c r="D10" s="23" cm="1">
        <f t="array" ref="D10">_xlfn.IFERROR(_xlfn.SUMIFS('Total Cases'!F2:F1312,'Total Cases'!A2:A1312,D$3,'Total Cases'!B2:B1312,$A10,'Total Cases'!C2:C1312,"Cordillera Administrative Region"),0)</f>
        <v>145.282377615736</v>
      </c>
      <c r="E10" s="23" cm="1">
        <f t="array" ref="E10">_xlfn.IFERROR(_xlfn.SUMIFS('Total Cases'!F2:F1312,'Total Cases'!A2:A1312,E$3,'Total Cases'!B2:B1312,$A10,'Total Cases'!C2:C1312,"Cordillera Administrative Region"),0)</f>
        <v>0</v>
      </c>
      <c r="F10" s="23" cm="1">
        <f t="array" ref="F10">_xlfn.IFERROR(_xlfn.SUMIFS('Total Cases'!F2:F1312,'Total Cases'!A2:A1312,F$3,'Total Cases'!B2:B1312,$A10,'Total Cases'!C2:C1312,"Cordillera Administrative Region"),0)</f>
        <v>0</v>
      </c>
      <c r="G10" s="23" cm="1">
        <f t="array" ref="G10">_xlfn.IFERROR(_xlfn.SUMIFS('Total Cases'!F2:F1312,'Total Cases'!A2:A1312,G$3,'Total Cases'!B2:B1312,$A10,'Total Cases'!C2:C1312,"Cordillera Administrative Region"),0)</f>
        <v>206.959362016688</v>
      </c>
      <c r="H10" s="23" cm="1">
        <f t="array" ref="H10">_xlfn.IFERROR(_xlfn.SUMIFS('Total Cases'!F2:F1312,'Total Cases'!A2:A1312,H$3,'Total Cases'!B2:B1312,$A10,'Total Cases'!C2:C1312,"Cordillera Administrative Region"),0)</f>
        <v>735.855509392668</v>
      </c>
      <c r="I10" s="23" cm="1">
        <f t="array" ref="I10">_xlfn.IFERROR(_xlfn.SUMIFS('Total Cases'!F2:F1312,'Total Cases'!A2:A1312,I$3,'Total Cases'!B2:B1312,$A10,'Total Cases'!C2:C1312,"Cordillera Administrative Region"),0)</f>
        <v>95.39658140908431</v>
      </c>
      <c r="J10" s="49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Cases'!C2:C1312,"Cordillera Administrative Region"),0)</f>
        <v>537.219339042545</v>
      </c>
      <c r="C11" s="23" cm="1">
        <f t="array" ref="C11">_xlfn.IFERROR(_xlfn.SUMIFS('Total Cases'!F2:F1312,'Total Cases'!A2:A1312,C$3,'Total Cases'!B2:B1312,$A11,'Total Cases'!C2:C1312,"Cordillera Administrative Region"),0)</f>
        <v>288.5906649003</v>
      </c>
      <c r="D11" s="23" cm="1">
        <f t="array" ref="D11">_xlfn.IFERROR(_xlfn.SUMIFS('Total Cases'!F2:F1312,'Total Cases'!A2:A1312,D$3,'Total Cases'!B2:B1312,$A11,'Total Cases'!C2:C1312,"Cordillera Administrative Region"),0)</f>
        <v>88.72735731728589</v>
      </c>
      <c r="E11" s="23" cm="1">
        <f t="array" ref="E11">_xlfn.IFERROR(_xlfn.SUMIFS('Total Cases'!F2:F1312,'Total Cases'!A2:A1312,E$3,'Total Cases'!B2:B1312,$A11,'Total Cases'!C2:C1312,"Cordillera Administrative Region"),0)</f>
        <v>0</v>
      </c>
      <c r="F11" s="23" cm="1">
        <f t="array" ref="F11">_xlfn.IFERROR(_xlfn.SUMIFS('Total Cases'!F2:F1312,'Total Cases'!A2:A1312,F$3,'Total Cases'!B2:B1312,$A11,'Total Cases'!C2:C1312,"Cordillera Administrative Region"),0)</f>
        <v>0</v>
      </c>
      <c r="G11" s="23" cm="1">
        <f t="array" ref="G11">_xlfn.IFERROR(_xlfn.SUMIFS('Total Cases'!F2:F1312,'Total Cases'!A2:A1312,G$3,'Total Cases'!B2:B1312,$A11,'Total Cases'!C2:C1312,"Cordillera Administrative Region"),0)</f>
        <v>220.457871578488</v>
      </c>
      <c r="H11" s="23" cm="1">
        <f t="array" ref="H11">_xlfn.IFERROR(_xlfn.SUMIFS('Total Cases'!F2:F1312,'Total Cases'!A2:A1312,H$3,'Total Cases'!B2:B1312,$A11,'Total Cases'!C2:C1312,"Cordillera Administrative Region"),0)</f>
        <v>695.520042085472</v>
      </c>
      <c r="I11" s="23" cm="1">
        <f t="array" ref="I11">_xlfn.IFERROR(_xlfn.SUMIFS('Total Cases'!F2:F1312,'Total Cases'!A2:A1312,I$3,'Total Cases'!B2:B1312,$A11,'Total Cases'!C2:C1312,"Cordillera Administrative Region"),0)</f>
        <v>180.976064955041</v>
      </c>
      <c r="J11" s="49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Cases'!C2:C1312,"Cordillera Administrative Region"),0)</f>
        <v>288.217188351160</v>
      </c>
      <c r="C12" s="23" cm="1">
        <f t="array" ref="C12">_xlfn.IFERROR(_xlfn.SUMIFS('Total Cases'!F2:F1312,'Total Cases'!A2:A1312,C$3,'Total Cases'!B2:B1312,$A12,'Total Cases'!C2:C1312,"Cordillera Administrative Region"),0)</f>
        <v>85.5261297532227</v>
      </c>
      <c r="D12" s="23" cm="1">
        <f t="array" ref="D12">_xlfn.IFERROR(_xlfn.SUMIFS('Total Cases'!F2:F1312,'Total Cases'!A2:A1312,D$3,'Total Cases'!B2:B1312,$A12,'Total Cases'!C2:C1312,"Cordillera Administrative Region"),0)</f>
        <v>129.649716344561</v>
      </c>
      <c r="E12" s="23" cm="1">
        <f t="array" ref="E12">_xlfn.IFERROR(_xlfn.SUMIFS('Total Cases'!F2:F1312,'Total Cases'!A2:A1312,E$3,'Total Cases'!B2:B1312,$A12,'Total Cases'!C2:C1312,"Cordillera Administrative Region"),0)</f>
        <v>0</v>
      </c>
      <c r="F12" s="23" cm="1">
        <f t="array" ref="F12">_xlfn.IFERROR(_xlfn.SUMIFS('Total Cases'!F2:F1312,'Total Cases'!A2:A1312,F$3,'Total Cases'!B2:B1312,$A12,'Total Cases'!C2:C1312,"Cordillera Administrative Region"),0)</f>
        <v>0</v>
      </c>
      <c r="G12" s="23" cm="1">
        <f t="array" ref="G12">_xlfn.IFERROR(_xlfn.SUMIFS('Total Cases'!F2:F1312,'Total Cases'!A2:A1312,G$3,'Total Cases'!B2:B1312,$A12,'Total Cases'!C2:C1312,"Cordillera Administrative Region"),0)</f>
        <v>217.309997807159</v>
      </c>
      <c r="H12" s="23" cm="1">
        <f t="array" ref="H12">_xlfn.IFERROR(_xlfn.SUMIFS('Total Cases'!F2:F1312,'Total Cases'!A2:A1312,H$3,'Total Cases'!B2:B1312,$A12,'Total Cases'!C2:C1312,"Cordillera Administrative Region"),0)</f>
        <v>1348.890587910780</v>
      </c>
      <c r="I12" s="23" cm="1">
        <f t="array" ref="I12">_xlfn.IFERROR(_xlfn.SUMIFS('Total Cases'!F2:F1312,'Total Cases'!A2:A1312,I$3,'Total Cases'!B2:B1312,$A12,'Total Cases'!C2:C1312,"Cordillera Administrative Region"),0)</f>
        <v>339.063352827031</v>
      </c>
      <c r="J12" s="49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Cases'!C2:C1312,"Cordillera Administrative Region"),0)</f>
        <v>449.985887921822</v>
      </c>
      <c r="C13" s="23" cm="1">
        <f t="array" ref="C13">_xlfn.IFERROR(_xlfn.SUMIFS('Total Cases'!F2:F1312,'Total Cases'!A2:A1312,C$3,'Total Cases'!B2:B1312,$A13,'Total Cases'!C2:C1312,"Cordillera Administrative Region"),0)</f>
        <v>210.107235788017</v>
      </c>
      <c r="D13" s="23" cm="1">
        <f t="array" ref="D13">_xlfn.IFERROR(_xlfn.SUMIFS('Total Cases'!F2:F1312,'Total Cases'!A2:A1312,D$3,'Total Cases'!B2:B1312,$A13,'Total Cases'!C2:C1312,"Cordillera Administrative Region"),0)</f>
        <v>171.799212604727</v>
      </c>
      <c r="E13" s="23" cm="1">
        <f t="array" ref="E13">_xlfn.IFERROR(_xlfn.SUMIFS('Total Cases'!F2:F1312,'Total Cases'!A2:A1312,E$3,'Total Cases'!B2:B1312,$A13,'Total Cases'!C2:C1312,"Cordillera Administrative Region"),0)</f>
        <v>0</v>
      </c>
      <c r="F13" s="23" cm="1">
        <f t="array" ref="F13">_xlfn.IFERROR(_xlfn.SUMIFS('Total Cases'!F2:F1312,'Total Cases'!A2:A1312,F$3,'Total Cases'!B2:B1312,$A13,'Total Cases'!C2:C1312,"Cordillera Administrative Region"),0)</f>
        <v>0</v>
      </c>
      <c r="G13" s="23" cm="1">
        <f t="array" ref="G13">_xlfn.IFERROR(_xlfn.SUMIFS('Total Cases'!F2:F1312,'Total Cases'!A2:A1312,G$3,'Total Cases'!B2:B1312,$A13,'Total Cases'!C2:C1312,"Cordillera Administrative Region"),0)</f>
        <v>187.271812497699</v>
      </c>
      <c r="H13" s="23" cm="1">
        <f t="array" ref="H13">_xlfn.IFERROR(_xlfn.SUMIFS('Total Cases'!F2:F1312,'Total Cases'!A2:A1312,H$3,'Total Cases'!B2:B1312,$A13,'Total Cases'!C2:C1312,"Cordillera Administrative Region"),0)</f>
        <v>1215.612813660280</v>
      </c>
      <c r="I13" s="23" cm="1">
        <f t="array" ref="I13">_xlfn.IFERROR(_xlfn.SUMIFS('Total Cases'!F2:F1312,'Total Cases'!A2:A1312,I$3,'Total Cases'!B2:B1312,$A13,'Total Cases'!C2:C1312,"Cordillera Administrative Region"),0)</f>
        <v>88.0337580117389</v>
      </c>
      <c r="J13" s="49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Cases'!C2:C1312,"Cordillera Administrative Region"),0)</f>
        <v>348.773743104689</v>
      </c>
      <c r="C14" s="23" cm="1">
        <f t="array" ref="C14">_xlfn.IFERROR(_xlfn.SUMIFS('Total Cases'!F2:F1312,'Total Cases'!A2:A1312,C$3,'Total Cases'!B2:B1312,$A14,'Total Cases'!C2:C1312,"Cordillera Administrative Region"),0)</f>
        <v>158.407410628396</v>
      </c>
      <c r="D14" s="23" cm="1">
        <f t="array" ref="D14">_xlfn.IFERROR(_xlfn.SUMIFS('Total Cases'!F2:F1312,'Total Cases'!A2:A1312,D$3,'Total Cases'!B2:B1312,$A14,'Total Cases'!C2:C1312,"Cordillera Administrative Region"),0)</f>
        <v>64.1312588667334</v>
      </c>
      <c r="E14" s="23" cm="1">
        <f t="array" ref="E14">_xlfn.IFERROR(_xlfn.SUMIFS('Total Cases'!F2:F1312,'Total Cases'!A2:A1312,E$3,'Total Cases'!B2:B1312,$A14,'Total Cases'!C2:C1312,"Cordillera Administrative Region"),0)</f>
        <v>0</v>
      </c>
      <c r="F14" s="23" cm="1">
        <f t="array" ref="F14">_xlfn.IFERROR(_xlfn.SUMIFS('Total Cases'!F2:F1312,'Total Cases'!A2:A1312,F$3,'Total Cases'!B2:B1312,$A14,'Total Cases'!C2:C1312,"Cordillera Administrative Region"),0)</f>
        <v>0</v>
      </c>
      <c r="G14" s="23" cm="1">
        <f t="array" ref="G14">_xlfn.IFERROR(_xlfn.SUMIFS('Total Cases'!F2:F1312,'Total Cases'!A2:A1312,G$3,'Total Cases'!B2:B1312,$A14,'Total Cases'!C2:C1312,"Cordillera Administrative Region"),0)</f>
        <v>64.344674037671</v>
      </c>
      <c r="H14" s="23" cm="1">
        <f t="array" ref="H14">_xlfn.IFERROR(_xlfn.SUMIFS('Total Cases'!F2:F1312,'Total Cases'!A2:A1312,H$3,'Total Cases'!B2:B1312,$A14,'Total Cases'!C2:C1312,"Cordillera Administrative Region"),0)</f>
        <v>1075.025569805170</v>
      </c>
      <c r="I14" s="23" cm="1">
        <f t="array" ref="I14">_xlfn.IFERROR(_xlfn.SUMIFS('Total Cases'!F2:F1312,'Total Cases'!A2:A1312,I$3,'Total Cases'!B2:B1312,$A14,'Total Cases'!C2:C1312,"Cordillera Administrative Region"),0)</f>
        <v>127.142088086045</v>
      </c>
      <c r="J14" s="49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Cases'!C2:C1312,"Cordillera Administrative Region"),0)</f>
        <v>348.240205177345</v>
      </c>
      <c r="C15" s="23" cm="1">
        <f t="array" ref="C15">_xlfn.IFERROR(_xlfn.SUMIFS('Total Cases'!F2:F1312,'Total Cases'!A2:A1312,C$3,'Total Cases'!B2:B1312,$A15,'Total Cases'!C2:C1312,"Cordillera Administrative Region"),0)</f>
        <v>136.158879058156</v>
      </c>
      <c r="D15" s="23" cm="1">
        <f t="array" ref="D15">_xlfn.IFERROR(_xlfn.SUMIFS('Total Cases'!F2:F1312,'Total Cases'!A2:A1312,D$3,'Total Cases'!B2:B1312,$A15,'Total Cases'!C2:C1312,"Cordillera Administrative Region"),0)</f>
        <v>81.844718054550</v>
      </c>
      <c r="E15" s="23" cm="1">
        <f t="array" ref="E15">_xlfn.IFERROR(_xlfn.SUMIFS('Total Cases'!F2:F1312,'Total Cases'!A2:A1312,E$3,'Total Cases'!B2:B1312,$A15,'Total Cases'!C2:C1312,"Cordillera Administrative Region"),0)</f>
        <v>0</v>
      </c>
      <c r="F15" s="23" cm="1">
        <f t="array" ref="F15">_xlfn.IFERROR(_xlfn.SUMIFS('Total Cases'!F2:F1312,'Total Cases'!A2:A1312,F$3,'Total Cases'!B2:B1312,$A15,'Total Cases'!C2:C1312,"Cordillera Administrative Region"),0)</f>
        <v>0</v>
      </c>
      <c r="G15" s="23" cm="1">
        <f t="array" ref="G15">_xlfn.IFERROR(_xlfn.SUMIFS('Total Cases'!F2:F1312,'Total Cases'!A2:A1312,G$3,'Total Cases'!B2:B1312,$A15,'Total Cases'!C2:C1312,"Cordillera Administrative Region"),0)</f>
        <v>137.279308705578</v>
      </c>
      <c r="H15" s="23" cm="1">
        <f t="array" ref="H15">_xlfn.IFERROR(_xlfn.SUMIFS('Total Cases'!F2:F1312,'Total Cases'!A2:A1312,H$3,'Total Cases'!B2:B1312,$A15,'Total Cases'!C2:C1312,"Cordillera Administrative Region"),0)</f>
        <v>867.639377446605</v>
      </c>
      <c r="I15" s="23" cm="1">
        <f t="array" ref="I15">_xlfn.IFERROR(_xlfn.SUMIFS('Total Cases'!F2:F1312,'Total Cases'!A2:A1312,I$3,'Total Cases'!B2:B1312,$A15,'Total Cases'!C2:C1312,"Cordillera Administrative Region"),0)</f>
        <v>119.619203310496</v>
      </c>
      <c r="J15" s="49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4"/>
    </row>
  </sheetData>
  <mergeCells count="1">
    <mergeCell ref="A1:I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54" customWidth="1"/>
    <col min="2" max="10" width="16" style="54" customWidth="1"/>
    <col min="11" max="16384" width="8.67188" style="54" customWidth="1"/>
  </cols>
  <sheetData>
    <row r="1" ht="18.5" customHeight="1">
      <c r="A1" t="s" s="39">
        <v>76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45">
        <v>35</v>
      </c>
      <c r="G3" t="s" s="55">
        <v>48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Cases'!C2:C1312,"Ilocos"),0)</f>
        <v>71.78370788318129</v>
      </c>
      <c r="C4" s="23" cm="1">
        <f t="array" ref="C4">_xlfn.IFERROR(_xlfn.SUMIFS('Total Cases'!F2:F1312,'Total Cases'!A2:A1312,C$3,'Total Cases'!B2:B1312,$A4,'Total Cases'!C2:C1312,"Ilocos"),0)</f>
        <v>35.5620666159405</v>
      </c>
      <c r="D4" s="23" cm="1">
        <f t="array" ref="D4">_xlfn.IFERROR(_xlfn.SUMIFS('Total Cases'!F2:F1312,'Total Cases'!A2:A1312,D$3,'Total Cases'!B2:B1312,$A4,'Total Cases'!C2:C1312,"Ilocos"),0)</f>
        <v>9.87529825141263</v>
      </c>
      <c r="E4" s="23" cm="1">
        <f t="array" ref="E4">_xlfn.IFERROR(_xlfn.SUMIFS('Total Cases'!F2:F1312,'Total Cases'!A2:A1312,E$3,'Total Cases'!B2:B1312,$A4,'Total Cases'!C2:C1312,"Ilocos"),0)</f>
        <v>31.9160845156972</v>
      </c>
      <c r="F4" s="23" cm="1">
        <f t="array" ref="F4">_xlfn.IFERROR(_xlfn.SUMIFS('Total Cases'!F2:F1312,'Total Cases'!A2:A1312,F$3,'Total Cases'!B2:B1312,$A4,'Total Cases'!C2:C1312,"Ilocos"),0)</f>
        <v>45.5106509397198</v>
      </c>
      <c r="G4" s="23" cm="1">
        <f t="array" ref="G4">_xlfn.IFERROR(_xlfn.SUMIFS('Total Cases'!F2:F1312,'Total Cases'!A2:A1312,G$3,'Total Cases'!B2:B1312,$A4,'Total Cases'!C2:C1312,"Ilocos"),0)</f>
        <v>0</v>
      </c>
      <c r="H4" s="23" cm="1">
        <f t="array" ref="H4">_xlfn.IFERROR(_xlfn.SUMIFS('Total Cases'!F2:F1312,'Total Cases'!A2:A1312,H$3,'Total Cases'!B2:B1312,$A4,'Total Cases'!C2:C1312,"Ilocos"),0)</f>
        <v>129.203345582490</v>
      </c>
      <c r="I4" s="23" cm="1">
        <f t="array" ref="I4">_xlfn.IFERROR(_xlfn.SUMIFS('Total Cases'!F2:F1312,'Total Cases'!A2:A1312,I$3,'Total Cases'!B2:B1312,$A4,'Total Cases'!C2:C1312,"Ilocos"),0)</f>
        <v>11.6891285424884</v>
      </c>
      <c r="J4" s="23" cm="1">
        <f t="array" ref="J4">_xlfn.IFERROR(_xlfn.SUMIFS('Total Cases'!F2:F1312,'Total Cases'!A2:A1312,J$3,'Total Cases'!B2:B1312,$A4,'Total Cases'!C2:C1312,"Ilocos"),0)</f>
        <v>0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Cases'!C2:C1312,"Ilocos"),0)</f>
        <v>115.773672821292</v>
      </c>
      <c r="C5" s="23" cm="1">
        <f t="array" ref="C5">_xlfn.IFERROR(_xlfn.SUMIFS('Total Cases'!F2:F1312,'Total Cases'!A2:A1312,C$3,'Total Cases'!B2:B1312,$A5,'Total Cases'!C2:C1312,"Ilocos"),0)</f>
        <v>83.16137061811121</v>
      </c>
      <c r="D5" s="23" cm="1">
        <f t="array" ref="D5">_xlfn.IFERROR(_xlfn.SUMIFS('Total Cases'!F2:F1312,'Total Cases'!A2:A1312,D$3,'Total Cases'!B2:B1312,$A5,'Total Cases'!C2:C1312,"Ilocos"),0)</f>
        <v>31.9344060337889</v>
      </c>
      <c r="E5" s="23" cm="1">
        <f t="array" ref="E5">_xlfn.IFERROR(_xlfn.SUMIFS('Total Cases'!F2:F1312,'Total Cases'!A2:A1312,E$3,'Total Cases'!B2:B1312,$A5,'Total Cases'!C2:C1312,"Ilocos"),0)</f>
        <v>31.2748313824886</v>
      </c>
      <c r="F5" s="23" cm="1">
        <f t="array" ref="F5">_xlfn.IFERROR(_xlfn.SUMIFS('Total Cases'!F2:F1312,'Total Cases'!A2:A1312,F$3,'Total Cases'!B2:B1312,$A5,'Total Cases'!C2:C1312,"Ilocos"),0)</f>
        <v>66.5437537089623</v>
      </c>
      <c r="G5" s="23" cm="1">
        <f t="array" ref="G5">_xlfn.IFERROR(_xlfn.SUMIFS('Total Cases'!F2:F1312,'Total Cases'!A2:A1312,G$3,'Total Cases'!B2:B1312,$A5,'Total Cases'!C2:C1312,"Ilocos"),0)</f>
        <v>0</v>
      </c>
      <c r="H5" s="23" cm="1">
        <f t="array" ref="H5">_xlfn.IFERROR(_xlfn.SUMIFS('Total Cases'!F2:F1312,'Total Cases'!A2:A1312,H$3,'Total Cases'!B2:B1312,$A5,'Total Cases'!C2:C1312,"Ilocos"),0)</f>
        <v>237.190373214820</v>
      </c>
      <c r="I5" s="23" cm="1">
        <f t="array" ref="I5">_xlfn.IFERROR(_xlfn.SUMIFS('Total Cases'!F2:F1312,'Total Cases'!A2:A1312,I$3,'Total Cases'!B2:B1312,$A5,'Total Cases'!C2:C1312,"Ilocos"),0)</f>
        <v>0</v>
      </c>
      <c r="J5" s="23" cm="1">
        <f t="array" ref="J5">_xlfn.IFERROR(_xlfn.SUMIFS('Total Cases'!F2:F1312,'Total Cases'!A2:A1312,J$3,'Total Cases'!B2:B1312,$A5,'Total Cases'!C2:C1312,"Ilocos"),0)</f>
        <v>24.6057987971191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Cases'!C2:C1312,"Ilocos"),0)</f>
        <v>108.774852910272</v>
      </c>
      <c r="C6" s="23" cm="1">
        <f t="array" ref="C6">_xlfn.IFERROR(_xlfn.SUMIFS('Total Cases'!F2:F1312,'Total Cases'!A2:A1312,C$3,'Total Cases'!B2:B1312,$A6,'Total Cases'!C2:C1312,"Ilocos"),0)</f>
        <v>50.3292101978303</v>
      </c>
      <c r="D6" s="23" cm="1">
        <f t="array" ref="D6">_xlfn.IFERROR(_xlfn.SUMIFS('Total Cases'!F2:F1312,'Total Cases'!A2:A1312,D$3,'Total Cases'!B2:B1312,$A6,'Total Cases'!C2:C1312,"Ilocos"),0)</f>
        <v>56.6867769756414</v>
      </c>
      <c r="E6" s="23" cm="1">
        <f t="array" ref="E6">_xlfn.IFERROR(_xlfn.SUMIFS('Total Cases'!F2:F1312,'Total Cases'!A2:A1312,E$3,'Total Cases'!B2:B1312,$A6,'Total Cases'!C2:C1312,"Ilocos"),0)</f>
        <v>0</v>
      </c>
      <c r="F6" s="23" cm="1">
        <f t="array" ref="F6">_xlfn.IFERROR(_xlfn.SUMIFS('Total Cases'!F2:F1312,'Total Cases'!A2:A1312,F$3,'Total Cases'!B2:B1312,$A6,'Total Cases'!C2:C1312,"Ilocos"),0)</f>
        <v>47.9474128459126</v>
      </c>
      <c r="G6" s="23" cm="1">
        <f t="array" ref="G6">_xlfn.IFERROR(_xlfn.SUMIFS('Total Cases'!F2:F1312,'Total Cases'!A2:A1312,G$3,'Total Cases'!B2:B1312,$A6,'Total Cases'!C2:C1312,"Ilocos"),0)</f>
        <v>0</v>
      </c>
      <c r="H6" s="23" cm="1">
        <f t="array" ref="H6">_xlfn.IFERROR(_xlfn.SUMIFS('Total Cases'!F2:F1312,'Total Cases'!A2:A1312,H$3,'Total Cases'!B2:B1312,$A6,'Total Cases'!C2:C1312,"Ilocos"),0)</f>
        <v>312.638384716336</v>
      </c>
      <c r="I6" s="23" cm="1">
        <f t="array" ref="I6">_xlfn.IFERROR(_xlfn.SUMIFS('Total Cases'!F2:F1312,'Total Cases'!A2:A1312,I$3,'Total Cases'!B2:B1312,$A6,'Total Cases'!C2:C1312,"Ilocos"),0)</f>
        <v>0</v>
      </c>
      <c r="J6" s="23" cm="1">
        <f t="array" ref="J6">_xlfn.IFERROR(_xlfn.SUMIFS('Total Cases'!F2:F1312,'Total Cases'!A2:A1312,J$3,'Total Cases'!B2:B1312,$A6,'Total Cases'!C2:C1312,"Ilocos"),0)</f>
        <v>0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Cases'!C2:C1312,"Ilocos"),0)</f>
        <v>0</v>
      </c>
      <c r="C7" s="23" cm="1">
        <f t="array" ref="C7">_xlfn.IFERROR(_xlfn.SUMIFS('Total Cases'!F2:F1312,'Total Cases'!A2:A1312,C$3,'Total Cases'!B2:B1312,$A7,'Total Cases'!C2:C1312,"Ilocos"),0)</f>
        <v>0</v>
      </c>
      <c r="D7" s="23" cm="1">
        <f t="array" ref="D7">_xlfn.IFERROR(_xlfn.SUMIFS('Total Cases'!F2:F1312,'Total Cases'!A2:A1312,D$3,'Total Cases'!B2:B1312,$A7,'Total Cases'!C2:C1312,"Ilocos"),0)</f>
        <v>0</v>
      </c>
      <c r="E7" s="23" cm="1">
        <f t="array" ref="E7">_xlfn.IFERROR(_xlfn.SUMIFS('Total Cases'!F2:F1312,'Total Cases'!A2:A1312,E$3,'Total Cases'!B2:B1312,$A7,'Total Cases'!C2:C1312,"Ilocos"),0)</f>
        <v>0</v>
      </c>
      <c r="F7" s="23" cm="1">
        <f t="array" ref="F7">_xlfn.IFERROR(_xlfn.SUMIFS('Total Cases'!F2:F1312,'Total Cases'!A2:A1312,F$3,'Total Cases'!B2:B1312,$A7,'Total Cases'!C2:C1312,"Ilocos"),0)</f>
        <v>0</v>
      </c>
      <c r="G7" s="23" cm="1">
        <f t="array" ref="G7">_xlfn.IFERROR(_xlfn.SUMIFS('Total Cases'!F2:F1312,'Total Cases'!A2:A1312,G$3,'Total Cases'!B2:B1312,$A7,'Total Cases'!C2:C1312,"Ilocos"),0)</f>
        <v>0</v>
      </c>
      <c r="H7" s="23" cm="1">
        <f t="array" ref="H7">_xlfn.IFERROR(_xlfn.SUMIFS('Total Cases'!F2:F1312,'Total Cases'!A2:A1312,H$3,'Total Cases'!B2:B1312,$A7,'Total Cases'!C2:C1312,"Ilocos"),0)</f>
        <v>0</v>
      </c>
      <c r="I7" s="23" cm="1">
        <f t="array" ref="I7">_xlfn.IFERROR(_xlfn.SUMIFS('Total Cases'!F2:F1312,'Total Cases'!A2:A1312,I$3,'Total Cases'!B2:B1312,$A7,'Total Cases'!C2:C1312,"Ilocos"),0)</f>
        <v>0</v>
      </c>
      <c r="J7" s="23" cm="1">
        <f t="array" ref="J7">_xlfn.IFERROR(_xlfn.SUMIFS('Total Cases'!F2:F1312,'Total Cases'!A2:A1312,J$3,'Total Cases'!B2:B1312,$A7,'Total Cases'!C2:C1312,"Ilocos"),0)</f>
        <v>0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Cases'!C2:C1312,"Ilocos"),0)</f>
        <v>123.138923094145</v>
      </c>
      <c r="C8" s="23" cm="1">
        <f t="array" ref="C8">_xlfn.IFERROR(_xlfn.SUMIFS('Total Cases'!F2:F1312,'Total Cases'!A2:A1312,C$3,'Total Cases'!B2:B1312,$A8,'Total Cases'!C2:C1312,"Ilocos"),0)</f>
        <v>100.713384949936</v>
      </c>
      <c r="D8" s="23" cm="1">
        <f t="array" ref="D8">_xlfn.IFERROR(_xlfn.SUMIFS('Total Cases'!F2:F1312,'Total Cases'!A2:A1312,D$3,'Total Cases'!B2:B1312,$A8,'Total Cases'!C2:C1312,"Ilocos"),0)</f>
        <v>31.0000086111135</v>
      </c>
      <c r="E8" s="23" cm="1">
        <f t="array" ref="E8">_xlfn.IFERROR(_xlfn.SUMIFS('Total Cases'!F2:F1312,'Total Cases'!A2:A1312,E$3,'Total Cases'!B2:B1312,$A8,'Total Cases'!C2:C1312,"Ilocos"),0)</f>
        <v>0</v>
      </c>
      <c r="F8" s="23" cm="1">
        <f t="array" ref="F8">_xlfn.IFERROR(_xlfn.SUMIFS('Total Cases'!F2:F1312,'Total Cases'!A2:A1312,F$3,'Total Cases'!B2:B1312,$A8,'Total Cases'!C2:C1312,"Ilocos"),0)</f>
        <v>107.180880836297</v>
      </c>
      <c r="G8" s="23" cm="1">
        <f t="array" ref="G8">_xlfn.IFERROR(_xlfn.SUMIFS('Total Cases'!F2:F1312,'Total Cases'!A2:A1312,G$3,'Total Cases'!B2:B1312,$A8,'Total Cases'!C2:C1312,"Ilocos"),0)</f>
        <v>0</v>
      </c>
      <c r="H8" s="23" cm="1">
        <f t="array" ref="H8">_xlfn.IFERROR(_xlfn.SUMIFS('Total Cases'!F2:F1312,'Total Cases'!A2:A1312,H$3,'Total Cases'!B2:B1312,$A8,'Total Cases'!C2:C1312,"Ilocos"),0)</f>
        <v>111.523080624024</v>
      </c>
      <c r="I8" s="23" cm="1">
        <f t="array" ref="I8">_xlfn.IFERROR(_xlfn.SUMIFS('Total Cases'!F2:F1312,'Total Cases'!A2:A1312,I$3,'Total Cases'!B2:B1312,$A8,'Total Cases'!C2:C1312,"Ilocos"),0)</f>
        <v>17.2588700423575</v>
      </c>
      <c r="J8" s="23" cm="1">
        <f t="array" ref="J8">_xlfn.IFERROR(_xlfn.SUMIFS('Total Cases'!F2:F1312,'Total Cases'!A2:A1312,J$3,'Total Cases'!B2:B1312,$A8,'Total Cases'!C2:C1312,"Ilocos"),0)</f>
        <v>19.7872395390086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Cases'!C2:C1312,"Ilocos"),0)</f>
        <v>130.797317656465</v>
      </c>
      <c r="C9" s="23" cm="1">
        <f t="array" ref="C9">_xlfn.IFERROR(_xlfn.SUMIFS('Total Cases'!F2:F1312,'Total Cases'!A2:A1312,C$3,'Total Cases'!B2:B1312,$A9,'Total Cases'!C2:C1312,"Ilocos"),0)</f>
        <v>110.497075610890</v>
      </c>
      <c r="D9" s="23" cm="1">
        <f t="array" ref="D9">_xlfn.IFERROR(_xlfn.SUMIFS('Total Cases'!F2:F1312,'Total Cases'!A2:A1312,D$3,'Total Cases'!B2:B1312,$A9,'Total Cases'!C2:C1312,"Ilocos"),0)</f>
        <v>33.1069831916561</v>
      </c>
      <c r="E9" s="23" cm="1">
        <f t="array" ref="E9">_xlfn.IFERROR(_xlfn.SUMIFS('Total Cases'!F2:F1312,'Total Cases'!A2:A1312,E$3,'Total Cases'!B2:B1312,$A9,'Total Cases'!C2:C1312,"Ilocos"),0)</f>
        <v>0</v>
      </c>
      <c r="F9" s="23" cm="1">
        <f t="array" ref="F9">_xlfn.IFERROR(_xlfn.SUMIFS('Total Cases'!F2:F1312,'Total Cases'!A2:A1312,F$3,'Total Cases'!B2:B1312,$A9,'Total Cases'!C2:C1312,"Ilocos"),0)</f>
        <v>149.851696471807</v>
      </c>
      <c r="G9" s="23" cm="1">
        <f t="array" ref="G9">_xlfn.IFERROR(_xlfn.SUMIFS('Total Cases'!F2:F1312,'Total Cases'!A2:A1312,G$3,'Total Cases'!B2:B1312,$A9,'Total Cases'!C2:C1312,"Ilocos"),0)</f>
        <v>0</v>
      </c>
      <c r="H9" s="23" cm="1">
        <f t="array" ref="H9">_xlfn.IFERROR(_xlfn.SUMIFS('Total Cases'!F2:F1312,'Total Cases'!A2:A1312,H$3,'Total Cases'!B2:B1312,$A9,'Total Cases'!C2:C1312,"Ilocos"),0)</f>
        <v>119.969300464286</v>
      </c>
      <c r="I9" s="23" cm="1">
        <f t="array" ref="I9">_xlfn.IFERROR(_xlfn.SUMIFS('Total Cases'!F2:F1312,'Total Cases'!A2:A1312,I$3,'Total Cases'!B2:B1312,$A9,'Total Cases'!C2:C1312,"Ilocos"),0)</f>
        <v>19.2559155143501</v>
      </c>
      <c r="J9" s="23" cm="1">
        <f t="array" ref="J9">_xlfn.IFERROR(_xlfn.SUMIFS('Total Cases'!F2:F1312,'Total Cases'!A2:A1312,J$3,'Total Cases'!B2:B1312,$A9,'Total Cases'!C2:C1312,"Ilocos"),0)</f>
        <v>20.5750648169506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Cases'!C2:C1312,"Ilocos"),0)</f>
        <v>69.1270877598884</v>
      </c>
      <c r="C10" s="23" cm="1">
        <f t="array" ref="C10">_xlfn.IFERROR(_xlfn.SUMIFS('Total Cases'!F2:F1312,'Total Cases'!A2:A1312,C$3,'Total Cases'!B2:B1312,$A10,'Total Cases'!C2:C1312,"Ilocos"),0)</f>
        <v>22.4988242165765</v>
      </c>
      <c r="D10" s="23" cm="1">
        <f t="array" ref="D10">_xlfn.IFERROR(_xlfn.SUMIFS('Total Cases'!F2:F1312,'Total Cases'!A2:A1312,D$3,'Total Cases'!B2:B1312,$A10,'Total Cases'!C2:C1312,"Ilocos"),0)</f>
        <v>26.0348772082697</v>
      </c>
      <c r="E10" s="23" cm="1">
        <f t="array" ref="E10">_xlfn.IFERROR(_xlfn.SUMIFS('Total Cases'!F2:F1312,'Total Cases'!A2:A1312,E$3,'Total Cases'!B2:B1312,$A10,'Total Cases'!C2:C1312,"Ilocos"),0)</f>
        <v>0</v>
      </c>
      <c r="F10" s="23" cm="1">
        <f t="array" ref="F10">_xlfn.IFERROR(_xlfn.SUMIFS('Total Cases'!F2:F1312,'Total Cases'!A2:A1312,F$3,'Total Cases'!B2:B1312,$A10,'Total Cases'!C2:C1312,"Ilocos"),0)</f>
        <v>99.46752171970169</v>
      </c>
      <c r="G10" s="23" cm="1">
        <f t="array" ref="G10">_xlfn.IFERROR(_xlfn.SUMIFS('Total Cases'!F2:F1312,'Total Cases'!A2:A1312,G$3,'Total Cases'!B2:B1312,$A10,'Total Cases'!C2:C1312,"Ilocos"),0)</f>
        <v>0</v>
      </c>
      <c r="H10" s="23" cm="1">
        <f t="array" ref="H10">_xlfn.IFERROR(_xlfn.SUMIFS('Total Cases'!F2:F1312,'Total Cases'!A2:A1312,H$3,'Total Cases'!B2:B1312,$A10,'Total Cases'!C2:C1312,"Ilocos"),0)</f>
        <v>141.955122174295</v>
      </c>
      <c r="I10" s="23" cm="1">
        <f t="array" ref="I10">_xlfn.IFERROR(_xlfn.SUMIFS('Total Cases'!F2:F1312,'Total Cases'!A2:A1312,I$3,'Total Cases'!B2:B1312,$A10,'Total Cases'!C2:C1312,"Ilocos"),0)</f>
        <v>32.7588743479143</v>
      </c>
      <c r="J10" s="23" cm="1">
        <f t="array" ref="J10">_xlfn.IFERROR(_xlfn.SUMIFS('Total Cases'!F2:F1312,'Total Cases'!A2:A1312,J$3,'Total Cases'!B2:B1312,$A10,'Total Cases'!C2:C1312,"Ilocos"),0)</f>
        <v>0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Cases'!C2:C1312,"Ilocos"),0)</f>
        <v>158.059736576877</v>
      </c>
      <c r="C11" s="23" cm="1">
        <f t="array" ref="C11">_xlfn.IFERROR(_xlfn.SUMIFS('Total Cases'!F2:F1312,'Total Cases'!A2:A1312,C$3,'Total Cases'!B2:B1312,$A11,'Total Cases'!C2:C1312,"Ilocos"),0)</f>
        <v>65.90250057575371</v>
      </c>
      <c r="D11" s="23" cm="1">
        <f t="array" ref="D11">_xlfn.IFERROR(_xlfn.SUMIFS('Total Cases'!F2:F1312,'Total Cases'!A2:A1312,D$3,'Total Cases'!B2:B1312,$A11,'Total Cases'!C2:C1312,"Ilocos"),0)</f>
        <v>0</v>
      </c>
      <c r="E11" s="23" cm="1">
        <f t="array" ref="E11">_xlfn.IFERROR(_xlfn.SUMIFS('Total Cases'!F2:F1312,'Total Cases'!A2:A1312,E$3,'Total Cases'!B2:B1312,$A11,'Total Cases'!C2:C1312,"Ilocos"),0)</f>
        <v>0</v>
      </c>
      <c r="F11" s="23" cm="1">
        <f t="array" ref="F11">_xlfn.IFERROR(_xlfn.SUMIFS('Total Cases'!F2:F1312,'Total Cases'!A2:A1312,F$3,'Total Cases'!B2:B1312,$A11,'Total Cases'!C2:C1312,"Ilocos"),0)</f>
        <v>188.876530007074</v>
      </c>
      <c r="G11" s="23" cm="1">
        <f t="array" ref="G11">_xlfn.IFERROR(_xlfn.SUMIFS('Total Cases'!F2:F1312,'Total Cases'!A2:A1312,G$3,'Total Cases'!B2:B1312,$A11,'Total Cases'!C2:C1312,"Ilocos"),0)</f>
        <v>0</v>
      </c>
      <c r="H11" s="23" cm="1">
        <f t="array" ref="H11">_xlfn.IFERROR(_xlfn.SUMIFS('Total Cases'!F2:F1312,'Total Cases'!A2:A1312,H$3,'Total Cases'!B2:B1312,$A11,'Total Cases'!C2:C1312,"Ilocos"),0)</f>
        <v>499.957585685618</v>
      </c>
      <c r="I11" s="23" cm="1">
        <f t="array" ref="I11">_xlfn.IFERROR(_xlfn.SUMIFS('Total Cases'!F2:F1312,'Total Cases'!A2:A1312,I$3,'Total Cases'!B2:B1312,$A11,'Total Cases'!C2:C1312,"Ilocos"),0)</f>
        <v>58.5555718209922</v>
      </c>
      <c r="J11" s="23" cm="1">
        <f t="array" ref="J11">_xlfn.IFERROR(_xlfn.SUMIFS('Total Cases'!F2:F1312,'Total Cases'!A2:A1312,J$3,'Total Cases'!B2:B1312,$A11,'Total Cases'!C2:C1312,"Ilocos"),0)</f>
        <v>189.041423669899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Cases'!C2:C1312,"Ilocos"),0)</f>
        <v>150.712807822116</v>
      </c>
      <c r="C12" s="23" cm="1">
        <f t="array" ref="C12">_xlfn.IFERROR(_xlfn.SUMIFS('Total Cases'!F2:F1312,'Total Cases'!A2:A1312,C$3,'Total Cases'!B2:B1312,$A12,'Total Cases'!C2:C1312,"Ilocos"),0)</f>
        <v>65.9757866481204</v>
      </c>
      <c r="D12" s="23" cm="1">
        <f t="array" ref="D12">_xlfn.IFERROR(_xlfn.SUMIFS('Total Cases'!F2:F1312,'Total Cases'!A2:A1312,D$3,'Total Cases'!B2:B1312,$A12,'Total Cases'!C2:C1312,"Ilocos"),0)</f>
        <v>0</v>
      </c>
      <c r="E12" s="23" cm="1">
        <f t="array" ref="E12">_xlfn.IFERROR(_xlfn.SUMIFS('Total Cases'!F2:F1312,'Total Cases'!A2:A1312,E$3,'Total Cases'!B2:B1312,$A12,'Total Cases'!C2:C1312,"Ilocos"),0)</f>
        <v>0</v>
      </c>
      <c r="F12" s="23" cm="1">
        <f t="array" ref="F12">_xlfn.IFERROR(_xlfn.SUMIFS('Total Cases'!F2:F1312,'Total Cases'!A2:A1312,F$3,'Total Cases'!B2:B1312,$A12,'Total Cases'!C2:C1312,"Ilocos"),0)</f>
        <v>167.293781695081</v>
      </c>
      <c r="G12" s="23" cm="1">
        <f t="array" ref="G12">_xlfn.IFERROR(_xlfn.SUMIFS('Total Cases'!F2:F1312,'Total Cases'!A2:A1312,G$3,'Total Cases'!B2:B1312,$A12,'Total Cases'!C2:C1312,"Ilocos"),0)</f>
        <v>0</v>
      </c>
      <c r="H12" s="23" cm="1">
        <f t="array" ref="H12">_xlfn.IFERROR(_xlfn.SUMIFS('Total Cases'!F2:F1312,'Total Cases'!A2:A1312,H$3,'Total Cases'!B2:B1312,$A12,'Total Cases'!C2:C1312,"Ilocos"),0)</f>
        <v>896.984882732207</v>
      </c>
      <c r="I12" s="23" cm="1">
        <f t="array" ref="I12">_xlfn.IFERROR(_xlfn.SUMIFS('Total Cases'!F2:F1312,'Total Cases'!A2:A1312,I$3,'Total Cases'!B2:B1312,$A12,'Total Cases'!C2:C1312,"Ilocos"),0)</f>
        <v>0</v>
      </c>
      <c r="J12" s="23" cm="1">
        <f t="array" ref="J12">_xlfn.IFERROR(_xlfn.SUMIFS('Total Cases'!F2:F1312,'Total Cases'!A2:A1312,J$3,'Total Cases'!B2:B1312,$A12,'Total Cases'!C2:C1312,"Ilocos"),0)</f>
        <v>192.724048806326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Cases'!C2:C1312,"Ilocos"),0)</f>
        <v>136.898383180993</v>
      </c>
      <c r="C13" s="23" cm="1">
        <f t="array" ref="C13">_xlfn.IFERROR(_xlfn.SUMIFS('Total Cases'!F2:F1312,'Total Cases'!A2:A1312,C$3,'Total Cases'!B2:B1312,$A13,'Total Cases'!C2:C1312,"Ilocos"),0)</f>
        <v>142.266587981854</v>
      </c>
      <c r="D13" s="23" cm="1">
        <f t="array" ref="D13">_xlfn.IFERROR(_xlfn.SUMIFS('Total Cases'!F2:F1312,'Total Cases'!A2:A1312,D$3,'Total Cases'!B2:B1312,$A13,'Total Cases'!C2:C1312,"Ilocos"),0)</f>
        <v>0</v>
      </c>
      <c r="E13" s="23" cm="1">
        <f t="array" ref="E13">_xlfn.IFERROR(_xlfn.SUMIFS('Total Cases'!F2:F1312,'Total Cases'!A2:A1312,E$3,'Total Cases'!B2:B1312,$A13,'Total Cases'!C2:C1312,"Ilocos"),0)</f>
        <v>0</v>
      </c>
      <c r="F13" s="23" cm="1">
        <f t="array" ref="F13">_xlfn.IFERROR(_xlfn.SUMIFS('Total Cases'!F2:F1312,'Total Cases'!A2:A1312,F$3,'Total Cases'!B2:B1312,$A13,'Total Cases'!C2:C1312,"Ilocos"),0)</f>
        <v>121.233485212611</v>
      </c>
      <c r="G13" s="23" cm="1">
        <f t="array" ref="G13">_xlfn.IFERROR(_xlfn.SUMIFS('Total Cases'!F2:F1312,'Total Cases'!A2:A1312,G$3,'Total Cases'!B2:B1312,$A13,'Total Cases'!C2:C1312,"Ilocos"),0)</f>
        <v>0</v>
      </c>
      <c r="H13" s="23" cm="1">
        <f t="array" ref="H13">_xlfn.IFERROR(_xlfn.SUMIFS('Total Cases'!F2:F1312,'Total Cases'!A2:A1312,H$3,'Total Cases'!B2:B1312,$A13,'Total Cases'!C2:C1312,"Ilocos"),0)</f>
        <v>871.921045982796</v>
      </c>
      <c r="I13" s="23" cm="1">
        <f t="array" ref="I13">_xlfn.IFERROR(_xlfn.SUMIFS('Total Cases'!F2:F1312,'Total Cases'!A2:A1312,I$3,'Total Cases'!B2:B1312,$A13,'Total Cases'!C2:C1312,"Ilocos"),0)</f>
        <v>0</v>
      </c>
      <c r="J13" s="23" cm="1">
        <f t="array" ref="J13">_xlfn.IFERROR(_xlfn.SUMIFS('Total Cases'!F2:F1312,'Total Cases'!A2:A1312,J$3,'Total Cases'!B2:B1312,$A13,'Total Cases'!C2:C1312,"Ilocos"),0)</f>
        <v>254.101134413436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Cases'!C2:C1312,"Ilocos"),0)</f>
        <v>202.709276166288</v>
      </c>
      <c r="C14" s="23" cm="1">
        <f t="array" ref="C14">_xlfn.IFERROR(_xlfn.SUMIFS('Total Cases'!F2:F1312,'Total Cases'!A2:A1312,C$3,'Total Cases'!B2:B1312,$A14,'Total Cases'!C2:C1312,"Ilocos"),0)</f>
        <v>59.5632553160343</v>
      </c>
      <c r="D14" s="23" cm="1">
        <f t="array" ref="D14">_xlfn.IFERROR(_xlfn.SUMIFS('Total Cases'!F2:F1312,'Total Cases'!A2:A1312,D$3,'Total Cases'!B2:B1312,$A14,'Total Cases'!C2:C1312,"Ilocos"),0)</f>
        <v>39.702729704659</v>
      </c>
      <c r="E14" s="23" cm="1">
        <f t="array" ref="E14">_xlfn.IFERROR(_xlfn.SUMIFS('Total Cases'!F2:F1312,'Total Cases'!A2:A1312,E$3,'Total Cases'!B2:B1312,$A14,'Total Cases'!C2:C1312,"Ilocos"),0)</f>
        <v>0</v>
      </c>
      <c r="F14" s="23" cm="1">
        <f t="array" ref="F14">_xlfn.IFERROR(_xlfn.SUMIFS('Total Cases'!F2:F1312,'Total Cases'!A2:A1312,F$3,'Total Cases'!B2:B1312,$A14,'Total Cases'!C2:C1312,"Ilocos"),0)</f>
        <v>149.027228157682</v>
      </c>
      <c r="G14" s="23" cm="1">
        <f t="array" ref="G14">_xlfn.IFERROR(_xlfn.SUMIFS('Total Cases'!F2:F1312,'Total Cases'!A2:A1312,G$3,'Total Cases'!B2:B1312,$A14,'Total Cases'!C2:C1312,"Ilocos"),0)</f>
        <v>0</v>
      </c>
      <c r="H14" s="23" cm="1">
        <f t="array" ref="H14">_xlfn.IFERROR(_xlfn.SUMIFS('Total Cases'!F2:F1312,'Total Cases'!A2:A1312,H$3,'Total Cases'!B2:B1312,$A14,'Total Cases'!C2:C1312,"Ilocos"),0)</f>
        <v>377.056842326664</v>
      </c>
      <c r="I14" s="23" cm="1">
        <f t="array" ref="I14">_xlfn.IFERROR(_xlfn.SUMIFS('Total Cases'!F2:F1312,'Total Cases'!A2:A1312,I$3,'Total Cases'!B2:B1312,$A14,'Total Cases'!C2:C1312,"Ilocos"),0)</f>
        <v>34.7009552656318</v>
      </c>
      <c r="J14" s="23" cm="1">
        <f t="array" ref="J14">_xlfn.IFERROR(_xlfn.SUMIFS('Total Cases'!F2:F1312,'Total Cases'!A2:A1312,J$3,'Total Cases'!B2:B1312,$A14,'Total Cases'!C2:C1312,"Ilocos"),0)</f>
        <v>36.5147855567076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Cases'!C2:C1312,"Ilocos"),0)</f>
        <v>93.8977802198326</v>
      </c>
      <c r="C15" s="23" cm="1">
        <f t="array" ref="C15">_xlfn.IFERROR(_xlfn.SUMIFS('Total Cases'!F2:F1312,'Total Cases'!A2:A1312,C$3,'Total Cases'!B2:B1312,$A15,'Total Cases'!C2:C1312,"Ilocos"),0)</f>
        <v>175.776644571527</v>
      </c>
      <c r="D15" s="23" cm="1">
        <f t="array" ref="D15">_xlfn.IFERROR(_xlfn.SUMIFS('Total Cases'!F2:F1312,'Total Cases'!A2:A1312,D$3,'Total Cases'!B2:B1312,$A15,'Total Cases'!C2:C1312,"Ilocos"),0)</f>
        <v>0</v>
      </c>
      <c r="E15" s="23" cm="1">
        <f t="array" ref="E15">_xlfn.IFERROR(_xlfn.SUMIFS('Total Cases'!F2:F1312,'Total Cases'!A2:A1312,E$3,'Total Cases'!B2:B1312,$A15,'Total Cases'!C2:C1312,"Ilocos"),0)</f>
        <v>0</v>
      </c>
      <c r="F15" s="23" cm="1">
        <f t="array" ref="F15">_xlfn.IFERROR(_xlfn.SUMIFS('Total Cases'!F2:F1312,'Total Cases'!A2:A1312,F$3,'Total Cases'!B2:B1312,$A15,'Total Cases'!C2:C1312,"Ilocos"),0)</f>
        <v>123.010672467504</v>
      </c>
      <c r="G15" s="23" cm="1">
        <f t="array" ref="G15">_xlfn.IFERROR(_xlfn.SUMIFS('Total Cases'!F2:F1312,'Total Cases'!A2:A1312,G$3,'Total Cases'!B2:B1312,$A15,'Total Cases'!C2:C1312,"Ilocos"),0)</f>
        <v>0</v>
      </c>
      <c r="H15" s="23" cm="1">
        <f t="array" ref="H15">_xlfn.IFERROR(_xlfn.SUMIFS('Total Cases'!F2:F1312,'Total Cases'!A2:A1312,H$3,'Total Cases'!B2:B1312,$A15,'Total Cases'!C2:C1312,"Ilocos"),0)</f>
        <v>561.829352281203</v>
      </c>
      <c r="I15" s="23" cm="1">
        <f t="array" ref="I15">_xlfn.IFERROR(_xlfn.SUMIFS('Total Cases'!F2:F1312,'Total Cases'!A2:A1312,I$3,'Total Cases'!B2:B1312,$A15,'Total Cases'!C2:C1312,"Ilocos"),0)</f>
        <v>0</v>
      </c>
      <c r="J15" s="23" cm="1">
        <f t="array" ref="J15">_xlfn.IFERROR(_xlfn.SUMIFS('Total Cases'!F2:F1312,'Total Cases'!A2:A1312,J$3,'Total Cases'!B2:B1312,$A15,'Total Cases'!C2:C1312,"Ilocos"),0)</f>
        <v>178.616479875736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56" customWidth="1"/>
    <col min="2" max="10" width="16" style="56" customWidth="1"/>
    <col min="11" max="16384" width="8.67188" style="56" customWidth="1"/>
  </cols>
  <sheetData>
    <row r="1" ht="18.5" customHeight="1">
      <c r="A1" t="s" s="39">
        <v>77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53">
        <v>45</v>
      </c>
      <c r="G3" t="s" s="45">
        <v>35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Cases'!C2:C1312,"Cagayan Valley"),0)</f>
        <v>274.026864063813</v>
      </c>
      <c r="C4" s="23" cm="1">
        <f t="array" ref="C4">_xlfn.IFERROR(_xlfn.SUMIFS('Total Cases'!F2:F1312,'Total Cases'!A2:A1312,C$3,'Total Cases'!B2:B1312,$A4,'Total Cases'!C2:C1312,"Cagayan Valley"),0)</f>
        <v>46.710315356193</v>
      </c>
      <c r="D4" s="23" cm="1">
        <f t="array" ref="D4">_xlfn.IFERROR(_xlfn.SUMIFS('Total Cases'!F2:F1312,'Total Cases'!A2:A1312,D$3,'Total Cases'!B2:B1312,$A4,'Total Cases'!C2:C1312,"Cagayan Valley"),0)</f>
        <v>79.4311139427803</v>
      </c>
      <c r="E4" s="23" cm="1">
        <f t="array" ref="E4">_xlfn.IFERROR(_xlfn.SUMIFS('Total Cases'!F2:F1312,'Total Cases'!A2:A1312,E$3,'Total Cases'!B2:B1312,$A4,'Total Cases'!C2:C1312,"Cagayan Valley"),0)</f>
        <v>0</v>
      </c>
      <c r="F4" s="23" cm="1">
        <f t="array" ref="F4">_xlfn.IFERROR(_xlfn.SUMIFS('Total Cases'!F2:F1312,'Total Cases'!A2:A1312,F$3,'Total Cases'!B2:B1312,$A4,'Total Cases'!C2:C1312,"Cagayan Valley"),0)</f>
        <v>0</v>
      </c>
      <c r="G4" s="23" cm="1">
        <f t="array" ref="G4">_xlfn.IFERROR(_xlfn.SUMIFS('Total Cases'!F2:F1312,'Total Cases'!A2:A1312,G$3,'Total Cases'!B2:B1312,$A4,'Total Cases'!C2:C1312,"Cagayan Valley"),0)</f>
        <v>0</v>
      </c>
      <c r="H4" s="23" cm="1">
        <f t="array" ref="H4">_xlfn.IFERROR(_xlfn.SUMIFS('Total Cases'!F2:F1312,'Total Cases'!A2:A1312,H$3,'Total Cases'!B2:B1312,$A4,'Total Cases'!C2:C1312,"Cagayan Valley"),0)</f>
        <v>729.000530239362</v>
      </c>
      <c r="I4" s="23" cm="1">
        <f t="array" ref="I4">_xlfn.IFERROR(_xlfn.SUMIFS('Total Cases'!F2:F1312,'Total Cases'!A2:A1312,I$3,'Total Cases'!B2:B1312,$A4,'Total Cases'!C2:C1312,"Cagayan Valley"),0)</f>
        <v>47.0770817134486</v>
      </c>
      <c r="J4" s="23" cm="1">
        <f t="array" ref="J4">_xlfn.IFERROR(_xlfn.SUMIFS('Total Cases'!F2:F1312,'Total Cases'!A2:A1312,J$3,'Total Cases'!B2:B1312,$A4,'Total Cases'!C2:C1312,"Cagayan Valley"),0)</f>
        <v>0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Cases'!C2:C1312,"Cagayan Valley"),0)</f>
        <v>290.295571767793</v>
      </c>
      <c r="C5" s="23" cm="1">
        <f t="array" ref="C5">_xlfn.IFERROR(_xlfn.SUMIFS('Total Cases'!F2:F1312,'Total Cases'!A2:A1312,C$3,'Total Cases'!B2:B1312,$A5,'Total Cases'!C2:C1312,"Cagayan Valley"),0)</f>
        <v>38.0127131698464</v>
      </c>
      <c r="D5" s="23" cm="1">
        <f t="array" ref="D5">_xlfn.IFERROR(_xlfn.SUMIFS('Total Cases'!F2:F1312,'Total Cases'!A2:A1312,D$3,'Total Cases'!B2:B1312,$A5,'Total Cases'!C2:C1312,"Cagayan Valley"),0)</f>
        <v>27.5860695850091</v>
      </c>
      <c r="E5" s="23" cm="1">
        <f t="array" ref="E5">_xlfn.IFERROR(_xlfn.SUMIFS('Total Cases'!F2:F1312,'Total Cases'!A2:A1312,E$3,'Total Cases'!B2:B1312,$A5,'Total Cases'!C2:C1312,"Cagayan Valley"),0)</f>
        <v>41.104029609572</v>
      </c>
      <c r="F5" s="23" cm="1">
        <f t="array" ref="F5">_xlfn.IFERROR(_xlfn.SUMIFS('Total Cases'!F2:F1312,'Total Cases'!A2:A1312,F$3,'Total Cases'!B2:B1312,$A5,'Total Cases'!C2:C1312,"Cagayan Valley"),0)</f>
        <v>48.7013327241519</v>
      </c>
      <c r="G5" s="23" cm="1">
        <f t="array" ref="G5">_xlfn.IFERROR(_xlfn.SUMIFS('Total Cases'!F2:F1312,'Total Cases'!A2:A1312,G$3,'Total Cases'!B2:B1312,$A5,'Total Cases'!C2:C1312,"Cagayan Valley"),0)</f>
        <v>0</v>
      </c>
      <c r="H5" s="23" cm="1">
        <f t="array" ref="H5">_xlfn.IFERROR(_xlfn.SUMIFS('Total Cases'!F2:F1312,'Total Cases'!A2:A1312,H$3,'Total Cases'!B2:B1312,$A5,'Total Cases'!C2:C1312,"Cagayan Valley"),0)</f>
        <v>437.499869012015</v>
      </c>
      <c r="I5" s="23" cm="1">
        <f t="array" ref="I5">_xlfn.IFERROR(_xlfn.SUMIFS('Total Cases'!F2:F1312,'Total Cases'!A2:A1312,I$3,'Total Cases'!B2:B1312,$A5,'Total Cases'!C2:C1312,"Cagayan Valley"),0)</f>
        <v>0</v>
      </c>
      <c r="J5" s="23" cm="1">
        <f t="array" ref="J5">_xlfn.IFERROR(_xlfn.SUMIFS('Total Cases'!F2:F1312,'Total Cases'!A2:A1312,J$3,'Total Cases'!B2:B1312,$A5,'Total Cases'!C2:C1312,"Cagayan Valley"),0)</f>
        <v>0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Cases'!C2:C1312,"Cagayan Valley"),0)</f>
        <v>171.437074420038</v>
      </c>
      <c r="C6" s="23" cm="1">
        <f t="array" ref="C6">_xlfn.IFERROR(_xlfn.SUMIFS('Total Cases'!F2:F1312,'Total Cases'!A2:A1312,C$3,'Total Cases'!B2:B1312,$A6,'Total Cases'!C2:C1312,"Cagayan Valley"),0)</f>
        <v>81.10776014737721</v>
      </c>
      <c r="D6" s="23" cm="1">
        <f t="array" ref="D6">_xlfn.IFERROR(_xlfn.SUMIFS('Total Cases'!F2:F1312,'Total Cases'!A2:A1312,D$3,'Total Cases'!B2:B1312,$A6,'Total Cases'!C2:C1312,"Cagayan Valley"),0)</f>
        <v>38.9558266599321</v>
      </c>
      <c r="E6" s="23" cm="1">
        <f t="array" ref="E6">_xlfn.IFERROR(_xlfn.SUMIFS('Total Cases'!F2:F1312,'Total Cases'!A2:A1312,E$3,'Total Cases'!B2:B1312,$A6,'Total Cases'!C2:C1312,"Cagayan Valley"),0)</f>
        <v>23.8922084155065</v>
      </c>
      <c r="F6" s="23" cm="1">
        <f t="array" ref="F6">_xlfn.IFERROR(_xlfn.SUMIFS('Total Cases'!F2:F1312,'Total Cases'!A2:A1312,F$3,'Total Cases'!B2:B1312,$A6,'Total Cases'!C2:C1312,"Cagayan Valley"),0)</f>
        <v>0</v>
      </c>
      <c r="G6" s="23" cm="1">
        <f t="array" ref="G6">_xlfn.IFERROR(_xlfn.SUMIFS('Total Cases'!F2:F1312,'Total Cases'!A2:A1312,G$3,'Total Cases'!B2:B1312,$A6,'Total Cases'!C2:C1312,"Cagayan Valley"),0)</f>
        <v>82.4438375916654</v>
      </c>
      <c r="H6" s="23" cm="1">
        <f t="array" ref="H6">_xlfn.IFERROR(_xlfn.SUMIFS('Total Cases'!F2:F1312,'Total Cases'!A2:A1312,H$3,'Total Cases'!B2:B1312,$A6,'Total Cases'!C2:C1312,"Cagayan Valley"),0)</f>
        <v>239.812802451257</v>
      </c>
      <c r="I6" s="23" cm="1">
        <f t="array" ref="I6">_xlfn.IFERROR(_xlfn.SUMIFS('Total Cases'!F2:F1312,'Total Cases'!A2:A1312,I$3,'Total Cases'!B2:B1312,$A6,'Total Cases'!C2:C1312,"Cagayan Valley"),0)</f>
        <v>0</v>
      </c>
      <c r="J6" s="23" cm="1">
        <f t="array" ref="J6">_xlfn.IFERROR(_xlfn.SUMIFS('Total Cases'!F2:F1312,'Total Cases'!A2:A1312,J$3,'Total Cases'!B2:B1312,$A6,'Total Cases'!C2:C1312,"Cagayan Valley"),0)</f>
        <v>22.9228973284739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Cases'!C2:C1312,"Cagayan Valley"),0)</f>
        <v>1316.036282623870</v>
      </c>
      <c r="C7" s="23" cm="1">
        <f t="array" ref="C7">_xlfn.IFERROR(_xlfn.SUMIFS('Total Cases'!F2:F1312,'Total Cases'!A2:A1312,C$3,'Total Cases'!B2:B1312,$A7,'Total Cases'!C2:C1312,"Cagayan Valley"),0)</f>
        <v>313.978199407725</v>
      </c>
      <c r="D7" s="23" cm="1">
        <f t="array" ref="D7">_xlfn.IFERROR(_xlfn.SUMIFS('Total Cases'!F2:F1312,'Total Cases'!A2:A1312,D$3,'Total Cases'!B2:B1312,$A7,'Total Cases'!C2:C1312,"Cagayan Valley"),0)</f>
        <v>340.306784339286</v>
      </c>
      <c r="E7" s="23" cm="1">
        <f t="array" ref="E7">_xlfn.IFERROR(_xlfn.SUMIFS('Total Cases'!F2:F1312,'Total Cases'!A2:A1312,E$3,'Total Cases'!B2:B1312,$A7,'Total Cases'!C2:C1312,"Cagayan Valley"),0)</f>
        <v>0</v>
      </c>
      <c r="F7" s="23" cm="1">
        <f t="array" ref="F7">_xlfn.IFERROR(_xlfn.SUMIFS('Total Cases'!F2:F1312,'Total Cases'!A2:A1312,F$3,'Total Cases'!B2:B1312,$A7,'Total Cases'!C2:C1312,"Cagayan Valley"),0)</f>
        <v>0</v>
      </c>
      <c r="G7" s="23" cm="1">
        <f t="array" ref="G7">_xlfn.IFERROR(_xlfn.SUMIFS('Total Cases'!F2:F1312,'Total Cases'!A2:A1312,G$3,'Total Cases'!B2:B1312,$A7,'Total Cases'!C2:C1312,"Cagayan Valley"),0)</f>
        <v>357.204234369990</v>
      </c>
      <c r="H7" s="23" cm="1">
        <f t="array" ref="H7">_xlfn.IFERROR(_xlfn.SUMIFS('Total Cases'!F2:F1312,'Total Cases'!A2:A1312,H$3,'Total Cases'!B2:B1312,$A7,'Total Cases'!C2:C1312,"Cagayan Valley"),0)</f>
        <v>4897.902725178820</v>
      </c>
      <c r="I7" s="23" cm="1">
        <f t="array" ref="I7">_xlfn.IFERROR(_xlfn.SUMIFS('Total Cases'!F2:F1312,'Total Cases'!A2:A1312,I$3,'Total Cases'!B2:B1312,$A7,'Total Cases'!C2:C1312,"Cagayan Valley"),0)</f>
        <v>354.846450644775</v>
      </c>
      <c r="J7" s="23" cm="1">
        <f t="array" ref="J7">_xlfn.IFERROR(_xlfn.SUMIFS('Total Cases'!F2:F1312,'Total Cases'!A2:A1312,J$3,'Total Cases'!B2:B1312,$A7,'Total Cases'!C2:C1312,"Cagayan Valley"),0)</f>
        <v>0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Cases'!C2:C1312,"Cagayan Valley"),0)</f>
        <v>73.7200378083719</v>
      </c>
      <c r="C8" s="23" cm="1">
        <f t="array" ref="C8">_xlfn.IFERROR(_xlfn.SUMIFS('Total Cases'!F2:F1312,'Total Cases'!A2:A1312,C$3,'Total Cases'!B2:B1312,$A8,'Total Cases'!C2:C1312,"Cagayan Valley"),0)</f>
        <v>18.9146649956093</v>
      </c>
      <c r="D8" s="23" cm="1">
        <f t="array" ref="D8">_xlfn.IFERROR(_xlfn.SUMIFS('Total Cases'!F2:F1312,'Total Cases'!A2:A1312,D$3,'Total Cases'!B2:B1312,$A8,'Total Cases'!C2:C1312,"Cagayan Valley"),0)</f>
        <v>23.053885313208</v>
      </c>
      <c r="E8" s="23" cm="1">
        <f t="array" ref="E8">_xlfn.IFERROR(_xlfn.SUMIFS('Total Cases'!F2:F1312,'Total Cases'!A2:A1312,E$3,'Total Cases'!B2:B1312,$A8,'Total Cases'!C2:C1312,"Cagayan Valley"),0)</f>
        <v>0</v>
      </c>
      <c r="F8" s="23" cm="1">
        <f t="array" ref="F8">_xlfn.IFERROR(_xlfn.SUMIFS('Total Cases'!F2:F1312,'Total Cases'!A2:A1312,F$3,'Total Cases'!B2:B1312,$A8,'Total Cases'!C2:C1312,"Cagayan Valley"),0)</f>
        <v>0</v>
      </c>
      <c r="G8" s="23" cm="1">
        <f t="array" ref="G8">_xlfn.IFERROR(_xlfn.SUMIFS('Total Cases'!F2:F1312,'Total Cases'!A2:A1312,G$3,'Total Cases'!B2:B1312,$A8,'Total Cases'!C2:C1312,"Cagayan Valley"),0)</f>
        <v>48.3607639638431</v>
      </c>
      <c r="H8" s="23" cm="1">
        <f t="array" ref="H8">_xlfn.IFERROR(_xlfn.SUMIFS('Total Cases'!F2:F1312,'Total Cases'!A2:A1312,H$3,'Total Cases'!B2:B1312,$A8,'Total Cases'!C2:C1312,"Cagayan Valley"),0)</f>
        <v>226.897387156471</v>
      </c>
      <c r="I8" s="23" cm="1">
        <f t="array" ref="I8">_xlfn.IFERROR(_xlfn.SUMIFS('Total Cases'!F2:F1312,'Total Cases'!A2:A1312,I$3,'Total Cases'!B2:B1312,$A8,'Total Cases'!C2:C1312,"Cagayan Valley"),0)</f>
        <v>18.6264914291942</v>
      </c>
      <c r="J8" s="23" cm="1">
        <f t="array" ref="J8">_xlfn.IFERROR(_xlfn.SUMIFS('Total Cases'!F2:F1312,'Total Cases'!A2:A1312,J$3,'Total Cases'!B2:B1312,$A8,'Total Cases'!C2:C1312,"Cagayan Valley"),0)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Cases'!C2:C1312,"Cagayan Valley"),0)</f>
        <v>93.6826066818543</v>
      </c>
      <c r="C9" s="23" cm="1">
        <f t="array" ref="C9">_xlfn.IFERROR(_xlfn.SUMIFS('Total Cases'!F2:F1312,'Total Cases'!A2:A1312,C$3,'Total Cases'!B2:B1312,$A9,'Total Cases'!C2:C1312,"Cagayan Valley"),0)</f>
        <v>27.6908599727964</v>
      </c>
      <c r="D9" s="23" cm="1">
        <f t="array" ref="D9">_xlfn.IFERROR(_xlfn.SUMIFS('Total Cases'!F2:F1312,'Total Cases'!A2:A1312,D$3,'Total Cases'!B2:B1312,$A9,'Total Cases'!C2:C1312,"Cagayan Valley"),0)</f>
        <v>43.6451965134142</v>
      </c>
      <c r="E9" s="23" cm="1">
        <f t="array" ref="E9">_xlfn.IFERROR(_xlfn.SUMIFS('Total Cases'!F2:F1312,'Total Cases'!A2:A1312,E$3,'Total Cases'!B2:B1312,$A9,'Total Cases'!C2:C1312,"Cagayan Valley"),0)</f>
        <v>0</v>
      </c>
      <c r="F9" s="23" cm="1">
        <f t="array" ref="F9">_xlfn.IFERROR(_xlfn.SUMIFS('Total Cases'!F2:F1312,'Total Cases'!A2:A1312,F$3,'Total Cases'!B2:B1312,$A9,'Total Cases'!C2:C1312,"Cagayan Valley"),0)</f>
        <v>34.6594207606525</v>
      </c>
      <c r="G9" s="23" cm="1">
        <f t="array" ref="G9">_xlfn.IFERROR(_xlfn.SUMIFS('Total Cases'!F2:F1312,'Total Cases'!A2:A1312,G$3,'Total Cases'!B2:B1312,$A9,'Total Cases'!C2:C1312,"Cagayan Valley"),0)</f>
        <v>107.200566706417</v>
      </c>
      <c r="H9" s="23" cm="1">
        <f t="array" ref="H9">_xlfn.IFERROR(_xlfn.SUMIFS('Total Cases'!F2:F1312,'Total Cases'!A2:A1312,H$3,'Total Cases'!B2:B1312,$A9,'Total Cases'!C2:C1312,"Cagayan Valley"),0)</f>
        <v>266.167584979765</v>
      </c>
      <c r="I9" s="23" cm="1">
        <f t="array" ref="I9">_xlfn.IFERROR(_xlfn.SUMIFS('Total Cases'!F2:F1312,'Total Cases'!A2:A1312,I$3,'Total Cases'!B2:B1312,$A9,'Total Cases'!C2:C1312,"Cagayan Valley"),0)</f>
        <v>73.6676426144783</v>
      </c>
      <c r="J9" s="23" cm="1">
        <f t="array" ref="J9">_xlfn.IFERROR(_xlfn.SUMIFS('Total Cases'!F2:F1312,'Total Cases'!A2:A1312,J$3,'Total Cases'!B2:B1312,$A9,'Total Cases'!C2:C1312,"Cagayan Valley"),0)</f>
        <v>0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Cases'!C2:C1312,"Cagayan Valley"),0)</f>
        <v>68.29713524037869</v>
      </c>
      <c r="C10" s="23" cm="1">
        <f t="array" ref="C10">_xlfn.IFERROR(_xlfn.SUMIFS('Total Cases'!F2:F1312,'Total Cases'!A2:A1312,C$3,'Total Cases'!B2:B1312,$A10,'Total Cases'!C2:C1312,"Cagayan Valley"),0)</f>
        <v>23.1324781040485</v>
      </c>
      <c r="D10" s="23" cm="1">
        <f t="array" ref="D10">_xlfn.IFERROR(_xlfn.SUMIFS('Total Cases'!F2:F1312,'Total Cases'!A2:A1312,D$3,'Total Cases'!B2:B1312,$A10,'Total Cases'!C2:C1312,"Cagayan Valley"),0)</f>
        <v>34.8951991331739</v>
      </c>
      <c r="E10" s="23" cm="1">
        <f t="array" ref="E10">_xlfn.IFERROR(_xlfn.SUMIFS('Total Cases'!F2:F1312,'Total Cases'!A2:A1312,E$3,'Total Cases'!B2:B1312,$A10,'Total Cases'!C2:C1312,"Cagayan Valley"),0)</f>
        <v>0</v>
      </c>
      <c r="F10" s="23" cm="1">
        <f t="array" ref="F10">_xlfn.IFERROR(_xlfn.SUMIFS('Total Cases'!F2:F1312,'Total Cases'!A2:A1312,F$3,'Total Cases'!B2:B1312,$A10,'Total Cases'!C2:C1312,"Cagayan Valley"),0)</f>
        <v>22.8181069406865</v>
      </c>
      <c r="G10" s="23" cm="1">
        <f t="array" ref="G10">_xlfn.IFERROR(_xlfn.SUMIFS('Total Cases'!F2:F1312,'Total Cases'!A2:A1312,G$3,'Total Cases'!B2:B1312,$A10,'Total Cases'!C2:C1312,"Cagayan Valley"),0)</f>
        <v>23.6826276399318</v>
      </c>
      <c r="H10" s="23" cm="1">
        <f t="array" ref="H10">_xlfn.IFERROR(_xlfn.SUMIFS('Total Cases'!F2:F1312,'Total Cases'!A2:A1312,H$3,'Total Cases'!B2:B1312,$A10,'Total Cases'!C2:C1312,"Cagayan Valley"),0)</f>
        <v>243.113699666557</v>
      </c>
      <c r="I10" s="23" cm="1">
        <f t="array" ref="I10">_xlfn.IFERROR(_xlfn.SUMIFS('Total Cases'!F2:F1312,'Total Cases'!A2:A1312,I$3,'Total Cases'!B2:B1312,$A10,'Total Cases'!C2:C1312,"Cagayan Valley"),0)</f>
        <v>30.336817264426</v>
      </c>
      <c r="J10" s="23" cm="1">
        <f t="array" ref="J10">_xlfn.IFERROR(_xlfn.SUMIFS('Total Cases'!F2:F1312,'Total Cases'!A2:A1312,J$3,'Total Cases'!B2:B1312,$A10,'Total Cases'!C2:C1312,"Cagayan Valley"),0)</f>
        <v>0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Cases'!C2:C1312,"Cagayan Valley"),0)</f>
        <v>78.7761740191096</v>
      </c>
      <c r="C11" s="23" cm="1">
        <f t="array" ref="C11">_xlfn.IFERROR(_xlfn.SUMIFS('Total Cases'!F2:F1312,'Total Cases'!A2:A1312,C$3,'Total Cases'!B2:B1312,$A11,'Total Cases'!C2:C1312,"Cagayan Valley"),0)</f>
        <v>25.4378666353693</v>
      </c>
      <c r="D11" s="23" cm="1">
        <f t="array" ref="D11">_xlfn.IFERROR(_xlfn.SUMIFS('Total Cases'!F2:F1312,'Total Cases'!A2:A1312,D$3,'Total Cases'!B2:B1312,$A11,'Total Cases'!C2:C1312,"Cagayan Valley"),0)</f>
        <v>30.022446101064</v>
      </c>
      <c r="E11" s="23" cm="1">
        <f t="array" ref="E11">_xlfn.IFERROR(_xlfn.SUMIFS('Total Cases'!F2:F1312,'Total Cases'!A2:A1312,E$3,'Total Cases'!B2:B1312,$A11,'Total Cases'!C2:C1312,"Cagayan Valley"),0)</f>
        <v>0</v>
      </c>
      <c r="F11" s="23" cm="1">
        <f t="array" ref="F11">_xlfn.IFERROR(_xlfn.SUMIFS('Total Cases'!F2:F1312,'Total Cases'!A2:A1312,F$3,'Total Cases'!B2:B1312,$A11,'Total Cases'!C2:C1312,"Cagayan Valley"),0)</f>
        <v>31.8824754842888</v>
      </c>
      <c r="G11" s="23" cm="1">
        <f t="array" ref="G11">_xlfn.IFERROR(_xlfn.SUMIFS('Total Cases'!F2:F1312,'Total Cases'!A2:A1312,G$3,'Total Cases'!B2:B1312,$A11,'Total Cases'!C2:C1312,"Cagayan Valley"),0)</f>
        <v>28.6339734628822</v>
      </c>
      <c r="H11" s="23" cm="1">
        <f t="array" ref="H11">_xlfn.IFERROR(_xlfn.SUMIFS('Total Cases'!F2:F1312,'Total Cases'!A2:A1312,H$3,'Total Cases'!B2:B1312,$A11,'Total Cases'!C2:C1312,"Cagayan Valley"),0)</f>
        <v>267.163093663744</v>
      </c>
      <c r="I11" s="23" cm="1">
        <f t="array" ref="I11">_xlfn.IFERROR(_xlfn.SUMIFS('Total Cases'!F2:F1312,'Total Cases'!A2:A1312,I$3,'Total Cases'!B2:B1312,$A11,'Total Cases'!C2:C1312,"Cagayan Valley"),0)</f>
        <v>28.0838239269988</v>
      </c>
      <c r="J11" s="23" cm="1">
        <f t="array" ref="J11">_xlfn.IFERROR(_xlfn.SUMIFS('Total Cases'!F2:F1312,'Total Cases'!A2:A1312,J$3,'Total Cases'!B2:B1312,$A11,'Total Cases'!C2:C1312,"Cagayan Valley"),0)</f>
        <v>0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Cases'!C2:C1312,"Cagayan Valley"),0)</f>
        <v>148.121213137361</v>
      </c>
      <c r="C12" s="23" cm="1">
        <f t="array" ref="C12">_xlfn.IFERROR(_xlfn.SUMIFS('Total Cases'!F2:F1312,'Total Cases'!A2:A1312,C$3,'Total Cases'!B2:B1312,$A12,'Total Cases'!C2:C1312,"Cagayan Valley"),0)</f>
        <v>41.6279815485085</v>
      </c>
      <c r="D12" s="23" cm="1">
        <f t="array" ref="D12">_xlfn.IFERROR(_xlfn.SUMIFS('Total Cases'!F2:F1312,'Total Cases'!A2:A1312,D$3,'Total Cases'!B2:B1312,$A12,'Total Cases'!C2:C1312,"Cagayan Valley"),0)</f>
        <v>32.5112178110126</v>
      </c>
      <c r="E12" s="23" cm="1">
        <f t="array" ref="E12">_xlfn.IFERROR(_xlfn.SUMIFS('Total Cases'!F2:F1312,'Total Cases'!A2:A1312,E$3,'Total Cases'!B2:B1312,$A12,'Total Cases'!C2:C1312,"Cagayan Valley"),0)</f>
        <v>0</v>
      </c>
      <c r="F12" s="23" cm="1">
        <f t="array" ref="F12">_xlfn.IFERROR(_xlfn.SUMIFS('Total Cases'!F2:F1312,'Total Cases'!A2:A1312,F$3,'Total Cases'!B2:B1312,$A12,'Total Cases'!C2:C1312,"Cagayan Valley"),0)</f>
        <v>83.2035679031234</v>
      </c>
      <c r="G12" s="23" cm="1">
        <f t="array" ref="G12">_xlfn.IFERROR(_xlfn.SUMIFS('Total Cases'!F2:F1312,'Total Cases'!A2:A1312,G$3,'Total Cases'!B2:B1312,$A12,'Total Cases'!C2:C1312,"Cagayan Valley"),0)</f>
        <v>29.6294821468616</v>
      </c>
      <c r="H12" s="23" cm="1">
        <f t="array" ref="H12">_xlfn.IFERROR(_xlfn.SUMIFS('Total Cases'!F2:F1312,'Total Cases'!A2:A1312,H$3,'Total Cases'!B2:B1312,$A12,'Total Cases'!C2:C1312,"Cagayan Valley"),0)</f>
        <v>471.687733027625</v>
      </c>
      <c r="I12" s="23" cm="1">
        <f t="array" ref="I12">_xlfn.IFERROR(_xlfn.SUMIFS('Total Cases'!F2:F1312,'Total Cases'!A2:A1312,I$3,'Total Cases'!B2:B1312,$A12,'Total Cases'!C2:C1312,"Cagayan Valley"),0)</f>
        <v>42.5972926355411</v>
      </c>
      <c r="J12" s="23" cm="1">
        <f t="array" ref="J12">_xlfn.IFERROR(_xlfn.SUMIFS('Total Cases'!F2:F1312,'Total Cases'!A2:A1312,J$3,'Total Cases'!B2:B1312,$A12,'Total Cases'!C2:C1312,"Cagayan Valley"),0)</f>
        <v>0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Cases'!C2:C1312,"Cagayan Valley"),0)</f>
        <v>101.410897781168</v>
      </c>
      <c r="C13" s="23" cm="1">
        <f t="array" ref="C13">_xlfn.IFERROR(_xlfn.SUMIFS('Total Cases'!F2:F1312,'Total Cases'!A2:A1312,C$3,'Total Cases'!B2:B1312,$A13,'Total Cases'!C2:C1312,"Cagayan Valley"),0)</f>
        <v>35.7335222354724</v>
      </c>
      <c r="D13" s="23" cm="1">
        <f t="array" ref="D13">_xlfn.IFERROR(_xlfn.SUMIFS('Total Cases'!F2:F1312,'Total Cases'!A2:A1312,D$3,'Total Cases'!B2:B1312,$A13,'Total Cases'!C2:C1312,"Cagayan Valley"),0)</f>
        <v>35.4977438629509</v>
      </c>
      <c r="E13" s="23" cm="1">
        <f t="array" ref="E13">_xlfn.IFERROR(_xlfn.SUMIFS('Total Cases'!F2:F1312,'Total Cases'!A2:A1312,E$3,'Total Cases'!B2:B1312,$A13,'Total Cases'!C2:C1312,"Cagayan Valley"),0)</f>
        <v>0</v>
      </c>
      <c r="F13" s="23" cm="1">
        <f t="array" ref="F13">_xlfn.IFERROR(_xlfn.SUMIFS('Total Cases'!F2:F1312,'Total Cases'!A2:A1312,F$3,'Total Cases'!B2:B1312,$A13,'Total Cases'!C2:C1312,"Cagayan Valley"),0)</f>
        <v>50.0112125714932</v>
      </c>
      <c r="G13" s="23" cm="1">
        <f t="array" ref="G13">_xlfn.IFERROR(_xlfn.SUMIFS('Total Cases'!F2:F1312,'Total Cases'!A2:A1312,G$3,'Total Cases'!B2:B1312,$A13,'Total Cases'!C2:C1312,"Cagayan Valley"),0)</f>
        <v>24.4947531452835</v>
      </c>
      <c r="H13" s="23" cm="1">
        <f t="array" ref="H13">_xlfn.IFERROR(_xlfn.SUMIFS('Total Cases'!F2:F1312,'Total Cases'!A2:A1312,H$3,'Total Cases'!B2:B1312,$A13,'Total Cases'!C2:C1312,"Cagayan Valley"),0)</f>
        <v>453.375612761793</v>
      </c>
      <c r="I13" s="23" cm="1">
        <f t="array" ref="I13">_xlfn.IFERROR(_xlfn.SUMIFS('Total Cases'!F2:F1312,'Total Cases'!A2:A1312,I$3,'Total Cases'!B2:B1312,$A13,'Total Cases'!C2:C1312,"Cagayan Valley"),0)</f>
        <v>27.7956503605837</v>
      </c>
      <c r="J13" s="23" cm="1">
        <f t="array" ref="J13">_xlfn.IFERROR(_xlfn.SUMIFS('Total Cases'!F2:F1312,'Total Cases'!A2:A1312,J$3,'Total Cases'!B2:B1312,$A13,'Total Cases'!C2:C1312,"Cagayan Valley"),0)</f>
        <v>0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Cases'!C2:C1312,"Cagayan Valley"),0)</f>
        <v>78.46180285574761</v>
      </c>
      <c r="C14" s="23" cm="1">
        <f t="array" ref="C14">_xlfn.IFERROR(_xlfn.SUMIFS('Total Cases'!F2:F1312,'Total Cases'!A2:A1312,C$3,'Total Cases'!B2:B1312,$A14,'Total Cases'!C2:C1312,"Cagayan Valley"),0)</f>
        <v>32.5112178110126</v>
      </c>
      <c r="D14" s="23" cm="1">
        <f t="array" ref="D14">_xlfn.IFERROR(_xlfn.SUMIFS('Total Cases'!F2:F1312,'Total Cases'!A2:A1312,D$3,'Total Cases'!B2:B1312,$A14,'Total Cases'!C2:C1312,"Cagayan Valley"),0)</f>
        <v>13.806133590978</v>
      </c>
      <c r="E14" s="23" cm="1">
        <f t="array" ref="E14">_xlfn.IFERROR(_xlfn.SUMIFS('Total Cases'!F2:F1312,'Total Cases'!A2:A1312,E$3,'Total Cases'!B2:B1312,$A14,'Total Cases'!C2:C1312,"Cagayan Valley"),0)</f>
        <v>0</v>
      </c>
      <c r="F14" s="23" cm="1">
        <f t="array" ref="F14">_xlfn.IFERROR(_xlfn.SUMIFS('Total Cases'!F2:F1312,'Total Cases'!A2:A1312,F$3,'Total Cases'!B2:B1312,$A14,'Total Cases'!C2:C1312,"Cagayan Valley"),0)</f>
        <v>0</v>
      </c>
      <c r="G14" s="23" cm="1">
        <f t="array" ref="G14">_xlfn.IFERROR(_xlfn.SUMIFS('Total Cases'!F2:F1312,'Total Cases'!A2:A1312,G$3,'Total Cases'!B2:B1312,$A14,'Total Cases'!C2:C1312,"Cagayan Valley"),0)</f>
        <v>15.5875701833622</v>
      </c>
      <c r="H14" s="23" cm="1">
        <f t="array" ref="H14">_xlfn.IFERROR(_xlfn.SUMIFS('Total Cases'!F2:F1312,'Total Cases'!A2:A1312,H$3,'Total Cases'!B2:B1312,$A14,'Total Cases'!C2:C1312,"Cagayan Valley"),0)</f>
        <v>231.010409877123</v>
      </c>
      <c r="I14" s="23" cm="1">
        <f t="array" ref="I14">_xlfn.IFERROR(_xlfn.SUMIFS('Total Cases'!F2:F1312,'Total Cases'!A2:A1312,I$3,'Total Cases'!B2:B1312,$A14,'Total Cases'!C2:C1312,"Cagayan Valley"),0)</f>
        <v>17.2118211940655</v>
      </c>
      <c r="J14" s="23" cm="1">
        <f t="array" ref="J14">_xlfn.IFERROR(_xlfn.SUMIFS('Total Cases'!F2:F1312,'Total Cases'!A2:A1312,J$3,'Total Cases'!B2:B1312,$A14,'Total Cases'!C2:C1312,"Cagayan Valley"),0)</f>
        <v>0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Cases'!C2:C1312,"Cagayan Valley"),0)</f>
        <v>155.692318654994</v>
      </c>
      <c r="C15" s="23" cm="1">
        <f t="array" ref="C15">_xlfn.IFERROR(_xlfn.SUMIFS('Total Cases'!F2:F1312,'Total Cases'!A2:A1312,C$3,'Total Cases'!B2:B1312,$A15,'Total Cases'!C2:C1312,"Cagayan Valley"),0)</f>
        <v>77.1519230084063</v>
      </c>
      <c r="D15" s="23" cm="1">
        <f t="array" ref="D15">_xlfn.IFERROR(_xlfn.SUMIFS('Total Cases'!F2:F1312,'Total Cases'!A2:A1312,D$3,'Total Cases'!B2:B1312,$A15,'Total Cases'!C2:C1312,"Cagayan Valley"),0)</f>
        <v>42.8592686050094</v>
      </c>
      <c r="E15" s="23" cm="1">
        <f t="array" ref="E15">_xlfn.IFERROR(_xlfn.SUMIFS('Total Cases'!F2:F1312,'Total Cases'!A2:A1312,E$3,'Total Cases'!B2:B1312,$A15,'Total Cases'!C2:C1312,"Cagayan Valley"),0)</f>
        <v>0</v>
      </c>
      <c r="F15" s="23" cm="1">
        <f t="array" ref="F15">_xlfn.IFERROR(_xlfn.SUMIFS('Total Cases'!F2:F1312,'Total Cases'!A2:A1312,F$3,'Total Cases'!B2:B1312,$A15,'Total Cases'!C2:C1312,"Cagayan Valley"),0)</f>
        <v>51.8974395516648</v>
      </c>
      <c r="G15" s="23" cm="1">
        <f t="array" ref="G15">_xlfn.IFERROR(_xlfn.SUMIFS('Total Cases'!F2:F1312,'Total Cases'!A2:A1312,G$3,'Total Cases'!B2:B1312,$A15,'Total Cases'!C2:C1312,"Cagayan Valley"),0)</f>
        <v>49.0419014844606</v>
      </c>
      <c r="H15" s="23" cm="1">
        <f t="array" ref="H15">_xlfn.IFERROR(_xlfn.SUMIFS('Total Cases'!F2:F1312,'Total Cases'!A2:A1312,H$3,'Total Cases'!B2:B1312,$A15,'Total Cases'!C2:C1312,"Cagayan Valley"),0)</f>
        <v>402.814250654416</v>
      </c>
      <c r="I15" s="23" cm="1">
        <f t="array" ref="I15">_xlfn.IFERROR(_xlfn.SUMIFS('Total Cases'!F2:F1312,'Total Cases'!A2:A1312,I$3,'Total Cases'!B2:B1312,$A15,'Total Cases'!C2:C1312,"Cagayan Valley"),0)</f>
        <v>0</v>
      </c>
      <c r="J15" s="23" cm="1">
        <f t="array" ref="J15">_xlfn.IFERROR(_xlfn.SUMIFS('Total Cases'!F2:F1312,'Total Cases'!A2:A1312,J$3,'Total Cases'!B2:B1312,$A15,'Total Cases'!C2:C1312,"Cagayan Valley"),0)</f>
        <v>0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57" customWidth="1"/>
    <col min="2" max="10" width="16" style="57" customWidth="1"/>
    <col min="11" max="16384" width="8.67188" style="57" customWidth="1"/>
  </cols>
  <sheetData>
    <row r="1" ht="18.5" customHeight="1">
      <c r="A1" t="s" s="39">
        <v>78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58">
        <v>59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Cases'!C2:C1312,"Central Luzon"),0)</f>
        <v>67.3581743351609</v>
      </c>
      <c r="C4" s="23" cm="1">
        <f t="array" ref="C4">_xlfn.IFERROR(_xlfn.SUMIFS('Total Cases'!F2:F1312,'Total Cases'!A2:A1312,C$3,'Total Cases'!B2:B1312,$A4,'Total Cases'!C2:C1312,"Central Luzon"),0)</f>
        <v>34.9782132031992</v>
      </c>
      <c r="D4" s="23" cm="1">
        <f t="array" ref="D4">_xlfn.IFERROR(_xlfn.SUMIFS('Total Cases'!F2:F1312,'Total Cases'!A2:A1312,D$3,'Total Cases'!B2:B1312,$A4,'Total Cases'!C2:C1312,"Central Luzon"),0)</f>
        <v>22.9310851403396</v>
      </c>
      <c r="E4" s="23" cm="1">
        <f t="array" ref="E4">_xlfn.IFERROR(_xlfn.SUMIFS('Total Cases'!F2:F1312,'Total Cases'!A2:A1312,E$3,'Total Cases'!B2:B1312,$A4,'Total Cases'!C2:C1312,"Central Luzon"),0)</f>
        <v>9.690573858714</v>
      </c>
      <c r="F4" s="23" cm="1">
        <f t="array" ref="F4">_xlfn.IFERROR(_xlfn.SUMIFS('Total Cases'!F2:F1312,'Total Cases'!A2:A1312,F$3,'Total Cases'!B2:B1312,$A4,'Total Cases'!C2:C1312,"Central Luzon"),0)</f>
        <v>0</v>
      </c>
      <c r="G4" s="23" cm="1">
        <f t="array" ref="G4">_xlfn.IFERROR(_xlfn.SUMIFS('Total Cases'!F2:F1312,'Total Cases'!A2:A1312,G$3,'Total Cases'!B2:B1312,$A4,'Total Cases'!C2:C1312,"Central Luzon"),0)</f>
        <v>0</v>
      </c>
      <c r="H4" s="23" cm="1">
        <f t="array" ref="H4">_xlfn.IFERROR(_xlfn.SUMIFS('Total Cases'!F2:F1312,'Total Cases'!A2:A1312,H$3,'Total Cases'!B2:B1312,$A4,'Total Cases'!C2:C1312,"Central Luzon"),0)</f>
        <v>196.719404637729</v>
      </c>
      <c r="I4" s="23" cm="1">
        <f t="array" ref="I4">_xlfn.IFERROR(_xlfn.SUMIFS('Total Cases'!F2:F1312,'Total Cases'!A2:A1312,I$3,'Total Cases'!B2:B1312,$A4,'Total Cases'!C2:C1312,"Central Luzon"),0)</f>
        <v>9.25249647461002</v>
      </c>
      <c r="J4" s="23" cm="1">
        <f t="array" ref="J4">_xlfn.IFERROR(_xlfn.SUMIFS('Total Cases'!F2:F1312,'Total Cases'!A2:A1312,J$3,'Total Cases'!B2:B1312,$A4,'Total Cases'!C2:C1312,"Central Luzon"),0)</f>
        <v>8.82952520719927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Cases'!C2:C1312,"Central Luzon"),0)</f>
        <v>27.6215343735909</v>
      </c>
      <c r="C5" s="23" cm="1">
        <f t="array" ref="C5">_xlfn.IFERROR(_xlfn.SUMIFS('Total Cases'!F2:F1312,'Total Cases'!A2:A1312,C$3,'Total Cases'!B2:B1312,$A5,'Total Cases'!C2:C1312,"Central Luzon"),0)</f>
        <v>13.5426336154904</v>
      </c>
      <c r="D5" s="23" cm="1">
        <f t="array" ref="D5">_xlfn.IFERROR(_xlfn.SUMIFS('Total Cases'!F2:F1312,'Total Cases'!A2:A1312,D$3,'Total Cases'!B2:B1312,$A5,'Total Cases'!C2:C1312,"Central Luzon"),0)</f>
        <v>27.5384507317781</v>
      </c>
      <c r="E5" s="23" cm="1">
        <f t="array" ref="E5">_xlfn.IFERROR(_xlfn.SUMIFS('Total Cases'!F2:F1312,'Total Cases'!A2:A1312,E$3,'Total Cases'!B2:B1312,$A5,'Total Cases'!C2:C1312,"Central Luzon"),0)</f>
        <v>8.04400713915075</v>
      </c>
      <c r="F5" s="23" cm="1">
        <f t="array" ref="F5">_xlfn.IFERROR(_xlfn.SUMIFS('Total Cases'!F2:F1312,'Total Cases'!A2:A1312,F$3,'Total Cases'!B2:B1312,$A5,'Total Cases'!C2:C1312,"Central Luzon"),0)</f>
        <v>0</v>
      </c>
      <c r="G5" s="23" cm="1">
        <f t="array" ref="G5">_xlfn.IFERROR(_xlfn.SUMIFS('Total Cases'!F2:F1312,'Total Cases'!A2:A1312,G$3,'Total Cases'!B2:B1312,$A5,'Total Cases'!C2:C1312,"Central Luzon"),0)</f>
        <v>0</v>
      </c>
      <c r="H5" s="23" cm="1">
        <f t="array" ref="H5">_xlfn.IFERROR(_xlfn.SUMIFS('Total Cases'!F2:F1312,'Total Cases'!A2:A1312,H$3,'Total Cases'!B2:B1312,$A5,'Total Cases'!C2:C1312,"Central Luzon"),0)</f>
        <v>108.801805483067</v>
      </c>
      <c r="I5" s="23" cm="1">
        <f t="array" ref="I5">_xlfn.IFERROR(_xlfn.SUMIFS('Total Cases'!F2:F1312,'Total Cases'!A2:A1312,I$3,'Total Cases'!B2:B1312,$A5,'Total Cases'!C2:C1312,"Central Luzon"),0)</f>
        <v>8.399000881441911</v>
      </c>
      <c r="J5" s="23" cm="1">
        <f t="array" ref="J5">_xlfn.IFERROR(_xlfn.SUMIFS('Total Cases'!F2:F1312,'Total Cases'!A2:A1312,J$3,'Total Cases'!B2:B1312,$A5,'Total Cases'!C2:C1312,"Central Luzon"),0)</f>
        <v>7.82496844709876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Cases'!C2:C1312,"Central Luzon"),0)</f>
        <v>34.3286501853898</v>
      </c>
      <c r="C6" s="23" cm="1">
        <f t="array" ref="C6">_xlfn.IFERROR(_xlfn.SUMIFS('Total Cases'!F2:F1312,'Total Cases'!A2:A1312,C$3,'Total Cases'!B2:B1312,$A6,'Total Cases'!C2:C1312,"Central Luzon"),0)</f>
        <v>0</v>
      </c>
      <c r="D6" s="23" cm="1">
        <f t="array" ref="D6">_xlfn.IFERROR(_xlfn.SUMIFS('Total Cases'!F2:F1312,'Total Cases'!A2:A1312,D$3,'Total Cases'!B2:B1312,$A6,'Total Cases'!C2:C1312,"Central Luzon"),0)</f>
        <v>7.41710329638125</v>
      </c>
      <c r="E6" s="23" cm="1">
        <f t="array" ref="E6">_xlfn.IFERROR(_xlfn.SUMIFS('Total Cases'!F2:F1312,'Total Cases'!A2:A1312,E$3,'Total Cases'!B2:B1312,$A6,'Total Cases'!C2:C1312,"Central Luzon"),0)</f>
        <v>0</v>
      </c>
      <c r="F6" s="23" cm="1">
        <f t="array" ref="F6">_xlfn.IFERROR(_xlfn.SUMIFS('Total Cases'!F2:F1312,'Total Cases'!A2:A1312,F$3,'Total Cases'!B2:B1312,$A6,'Total Cases'!C2:C1312,"Central Luzon"),0)</f>
        <v>0</v>
      </c>
      <c r="G6" s="23" cm="1">
        <f t="array" ref="G6">_xlfn.IFERROR(_xlfn.SUMIFS('Total Cases'!F2:F1312,'Total Cases'!A2:A1312,G$3,'Total Cases'!B2:B1312,$A6,'Total Cases'!C2:C1312,"Central Luzon"),0)</f>
        <v>9.562171866821449</v>
      </c>
      <c r="H6" s="23" cm="1">
        <f t="array" ref="H6">_xlfn.IFERROR(_xlfn.SUMIFS('Total Cases'!F2:F1312,'Total Cases'!A2:A1312,H$3,'Total Cases'!B2:B1312,$A6,'Total Cases'!C2:C1312,"Central Luzon"),0)</f>
        <v>157.428395118609</v>
      </c>
      <c r="I6" s="23" cm="1">
        <f t="array" ref="I6">_xlfn.IFERROR(_xlfn.SUMIFS('Total Cases'!F2:F1312,'Total Cases'!A2:A1312,I$3,'Total Cases'!B2:B1312,$A6,'Total Cases'!C2:C1312,"Central Luzon"),0)</f>
        <v>8.51229675664122</v>
      </c>
      <c r="J6" s="23" cm="1">
        <f t="array" ref="J6">_xlfn.IFERROR(_xlfn.SUMIFS('Total Cases'!F2:F1312,'Total Cases'!A2:A1312,J$3,'Total Cases'!B2:B1312,$A6,'Total Cases'!C2:C1312,"Central Luzon"),0)</f>
        <v>0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Cases'!C2:C1312,"Central Luzon"),0)</f>
        <v>1180.882907202370</v>
      </c>
      <c r="C7" s="23" cm="1">
        <f t="array" ref="C7">_xlfn.IFERROR(_xlfn.SUMIFS('Total Cases'!F2:F1312,'Total Cases'!A2:A1312,C$3,'Total Cases'!B2:B1312,$A7,'Total Cases'!C2:C1312,"Central Luzon"),0)</f>
        <v>467.911964573135</v>
      </c>
      <c r="D7" s="23" cm="1">
        <f t="array" ref="D7">_xlfn.IFERROR(_xlfn.SUMIFS('Total Cases'!F2:F1312,'Total Cases'!A2:A1312,D$3,'Total Cases'!B2:B1312,$A7,'Total Cases'!C2:C1312,"Central Luzon"),0)</f>
        <v>191.809916712426</v>
      </c>
      <c r="E7" s="23" cm="1">
        <f t="array" ref="E7">_xlfn.IFERROR(_xlfn.SUMIFS('Total Cases'!F2:F1312,'Total Cases'!A2:A1312,E$3,'Total Cases'!B2:B1312,$A7,'Total Cases'!C2:C1312,"Central Luzon"),0)</f>
        <v>0</v>
      </c>
      <c r="F7" s="23" cm="1">
        <f t="array" ref="F7">_xlfn.IFERROR(_xlfn.SUMIFS('Total Cases'!F2:F1312,'Total Cases'!A2:A1312,F$3,'Total Cases'!B2:B1312,$A7,'Total Cases'!C2:C1312,"Central Luzon"),0)</f>
        <v>690.3117675893729</v>
      </c>
      <c r="G7" s="23" cm="1">
        <f t="array" ref="G7">_xlfn.IFERROR(_xlfn.SUMIFS('Total Cases'!F2:F1312,'Total Cases'!A2:A1312,G$3,'Total Cases'!B2:B1312,$A7,'Total Cases'!C2:C1312,"Central Luzon"),0)</f>
        <v>0</v>
      </c>
      <c r="H7" s="23" cm="1">
        <f t="array" ref="H7">_xlfn.IFERROR(_xlfn.SUMIFS('Total Cases'!F2:F1312,'Total Cases'!A2:A1312,H$3,'Total Cases'!B2:B1312,$A7,'Total Cases'!C2:C1312,"Central Luzon"),0)</f>
        <v>2863.213358036870</v>
      </c>
      <c r="I7" s="23" cm="1">
        <f t="array" ref="I7">_xlfn.IFERROR(_xlfn.SUMIFS('Total Cases'!F2:F1312,'Total Cases'!A2:A1312,I$3,'Total Cases'!B2:B1312,$A7,'Total Cases'!C2:C1312,"Central Luzon"),0)</f>
        <v>215.715346379479</v>
      </c>
      <c r="J7" s="23" cm="1">
        <f t="array" ref="J7">_xlfn.IFERROR(_xlfn.SUMIFS('Total Cases'!F2:F1312,'Total Cases'!A2:A1312,J$3,'Total Cases'!B2:B1312,$A7,'Total Cases'!C2:C1312,"Central Luzon"),0)</f>
        <v>175.948494184523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Cases'!C2:C1312,"Central Luzon"),0)</f>
        <v>23.7090501500415</v>
      </c>
      <c r="C8" s="23" cm="1">
        <f t="array" ref="C8">_xlfn.IFERROR(_xlfn.SUMIFS('Total Cases'!F2:F1312,'Total Cases'!A2:A1312,C$3,'Total Cases'!B2:B1312,$A8,'Total Cases'!C2:C1312,"Central Luzon"),0)</f>
        <v>32.9464405079583</v>
      </c>
      <c r="D8" s="23" cm="1">
        <f t="array" ref="D8">_xlfn.IFERROR(_xlfn.SUMIFS('Total Cases'!F2:F1312,'Total Cases'!A2:A1312,D$3,'Total Cases'!B2:B1312,$A8,'Total Cases'!C2:C1312,"Central Luzon"),0)</f>
        <v>24.4190376346238</v>
      </c>
      <c r="E8" s="23" cm="1">
        <f t="array" ref="E8">_xlfn.IFERROR(_xlfn.SUMIFS('Total Cases'!F2:F1312,'Total Cases'!A2:A1312,E$3,'Total Cases'!B2:B1312,$A8,'Total Cases'!C2:C1312,"Central Luzon"),0)</f>
        <v>0</v>
      </c>
      <c r="F8" s="23" cm="1">
        <f t="array" ref="F8">_xlfn.IFERROR(_xlfn.SUMIFS('Total Cases'!F2:F1312,'Total Cases'!A2:A1312,F$3,'Total Cases'!B2:B1312,$A8,'Total Cases'!C2:C1312,"Central Luzon"),0)</f>
        <v>35.657988454395</v>
      </c>
      <c r="G8" s="23" cm="1">
        <f t="array" ref="G8">_xlfn.IFERROR(_xlfn.SUMIFS('Total Cases'!F2:F1312,'Total Cases'!A2:A1312,G$3,'Total Cases'!B2:B1312,$A8,'Total Cases'!C2:C1312,"Central Luzon"),0)</f>
        <v>0</v>
      </c>
      <c r="H8" s="23" cm="1">
        <f t="array" ref="H8">_xlfn.IFERROR(_xlfn.SUMIFS('Total Cases'!F2:F1312,'Total Cases'!A2:A1312,H$3,'Total Cases'!B2:B1312,$A8,'Total Cases'!C2:C1312,"Central Luzon"),0)</f>
        <v>64.7599222639235</v>
      </c>
      <c r="I8" s="23" cm="1">
        <f t="array" ref="I8">_xlfn.IFERROR(_xlfn.SUMIFS('Total Cases'!F2:F1312,'Total Cases'!A2:A1312,I$3,'Total Cases'!B2:B1312,$A8,'Total Cases'!C2:C1312,"Central Luzon"),0)</f>
        <v>23.4144808745233</v>
      </c>
      <c r="J8" s="23" cm="1">
        <f t="array" ref="J8">_xlfn.IFERROR(_xlfn.SUMIFS('Total Cases'!F2:F1312,'Total Cases'!A2:A1312,J$3,'Total Cases'!B2:B1312,$A8,'Total Cases'!C2:C1312,"Central Luzon"),0)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Cases'!C2:C1312,"Central Luzon"),0)</f>
        <v>162.979893003375</v>
      </c>
      <c r="C9" s="23" cm="1">
        <f t="array" ref="C9">_xlfn.IFERROR(_xlfn.SUMIFS('Total Cases'!F2:F1312,'Total Cases'!A2:A1312,C$3,'Total Cases'!B2:B1312,$A9,'Total Cases'!C2:C1312,"Central Luzon"),0)</f>
        <v>73.1815823204053</v>
      </c>
      <c r="D9" s="23" cm="1">
        <f t="array" ref="D9">_xlfn.IFERROR(_xlfn.SUMIFS('Total Cases'!F2:F1312,'Total Cases'!A2:A1312,D$3,'Total Cases'!B2:B1312,$A9,'Total Cases'!C2:C1312,"Central Luzon"),0)</f>
        <v>34.2304604268838</v>
      </c>
      <c r="E9" s="23" cm="1">
        <f t="array" ref="E9">_xlfn.IFERROR(_xlfn.SUMIFS('Total Cases'!F2:F1312,'Total Cases'!A2:A1312,E$3,'Total Cases'!B2:B1312,$A9,'Total Cases'!C2:C1312,"Central Luzon"),0)</f>
        <v>17.2662913803743</v>
      </c>
      <c r="F9" s="23" cm="1">
        <f t="array" ref="F9">_xlfn.IFERROR(_xlfn.SUMIFS('Total Cases'!F2:F1312,'Total Cases'!A2:A1312,F$3,'Total Cases'!B2:B1312,$A9,'Total Cases'!C2:C1312,"Central Luzon"),0)</f>
        <v>112.419720431098</v>
      </c>
      <c r="G9" s="23" cm="1">
        <f t="array" ref="G9">_xlfn.IFERROR(_xlfn.SUMIFS('Total Cases'!F2:F1312,'Total Cases'!A2:A1312,G$3,'Total Cases'!B2:B1312,$A9,'Total Cases'!C2:C1312,"Central Luzon"),0)</f>
        <v>0</v>
      </c>
      <c r="H9" s="23" cm="1">
        <f t="array" ref="H9">_xlfn.IFERROR(_xlfn.SUMIFS('Total Cases'!F2:F1312,'Total Cases'!A2:A1312,H$3,'Total Cases'!B2:B1312,$A9,'Total Cases'!C2:C1312,"Central Luzon"),0)</f>
        <v>215.685134146093</v>
      </c>
      <c r="I9" s="23" cm="1">
        <f t="array" ref="I9">_xlfn.IFERROR(_xlfn.SUMIFS('Total Cases'!F2:F1312,'Total Cases'!A2:A1312,I$3,'Total Cases'!B2:B1312,$A9,'Total Cases'!C2:C1312,"Central Luzon"),0)</f>
        <v>18.0291502733829</v>
      </c>
      <c r="J9" s="23" cm="1">
        <f t="array" ref="J9">_xlfn.IFERROR(_xlfn.SUMIFS('Total Cases'!F2:F1312,'Total Cases'!A2:A1312,J$3,'Total Cases'!B2:B1312,$A9,'Total Cases'!C2:C1312,"Central Luzon"),0)</f>
        <v>0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Cases'!C2:C1312,"Central Luzon"),0)</f>
        <v>113.175026265760</v>
      </c>
      <c r="C10" s="23" cm="1">
        <f t="array" ref="C10">_xlfn.IFERROR(_xlfn.SUMIFS('Total Cases'!F2:F1312,'Total Cases'!A2:A1312,C$3,'Total Cases'!B2:B1312,$A10,'Total Cases'!C2:C1312,"Central Luzon"),0)</f>
        <v>57.2748414424227</v>
      </c>
      <c r="D10" s="23" cm="1">
        <f t="array" ref="D10">_xlfn.IFERROR(_xlfn.SUMIFS('Total Cases'!F2:F1312,'Total Cases'!A2:A1312,D$3,'Total Cases'!B2:B1312,$A10,'Total Cases'!C2:C1312,"Central Luzon"),0)</f>
        <v>28.8300237090502</v>
      </c>
      <c r="E10" s="23" cm="1">
        <f t="array" ref="E10">_xlfn.IFERROR(_xlfn.SUMIFS('Total Cases'!F2:F1312,'Total Cases'!A2:A1312,E$3,'Total Cases'!B2:B1312,$A10,'Total Cases'!C2:C1312,"Central Luzon"),0)</f>
        <v>18.0064910983431</v>
      </c>
      <c r="F10" s="23" cm="1">
        <f t="array" ref="F10">_xlfn.IFERROR(_xlfn.SUMIFS('Total Cases'!F2:F1312,'Total Cases'!A2:A1312,F$3,'Total Cases'!B2:B1312,$A10,'Total Cases'!C2:C1312,"Central Luzon"),0)</f>
        <v>62.6677251019096</v>
      </c>
      <c r="G10" s="23" cm="1">
        <f t="array" ref="G10">_xlfn.IFERROR(_xlfn.SUMIFS('Total Cases'!F2:F1312,'Total Cases'!A2:A1312,G$3,'Total Cases'!B2:B1312,$A10,'Total Cases'!C2:C1312,"Central Luzon"),0)</f>
        <v>0</v>
      </c>
      <c r="H10" s="23" cm="1">
        <f t="array" ref="H10">_xlfn.IFERROR(_xlfn.SUMIFS('Total Cases'!F2:F1312,'Total Cases'!A2:A1312,H$3,'Total Cases'!B2:B1312,$A10,'Total Cases'!C2:C1312,"Central Luzon"),0)</f>
        <v>224.597742995105</v>
      </c>
      <c r="I10" s="23" cm="1">
        <f t="array" ref="I10">_xlfn.IFERROR(_xlfn.SUMIFS('Total Cases'!F2:F1312,'Total Cases'!A2:A1312,I$3,'Total Cases'!B2:B1312,$A10,'Total Cases'!C2:C1312,"Central Luzon"),0)</f>
        <v>18.2935073155147</v>
      </c>
      <c r="J10" s="23" cm="1">
        <f t="array" ref="J10">_xlfn.IFERROR(_xlfn.SUMIFS('Total Cases'!F2:F1312,'Total Cases'!A2:A1312,J$3,'Total Cases'!B2:B1312,$A10,'Total Cases'!C2:C1312,"Central Luzon"),0)</f>
        <v>0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Cases'!C2:C1312,"Central Luzon"),0)</f>
        <v>135.819095188928</v>
      </c>
      <c r="C11" s="23" cm="1">
        <f t="array" ref="C11">_xlfn.IFERROR(_xlfn.SUMIFS('Total Cases'!F2:F1312,'Total Cases'!A2:A1312,C$3,'Total Cases'!B2:B1312,$A11,'Total Cases'!C2:C1312,"Central Luzon"),0)</f>
        <v>50.363793055265</v>
      </c>
      <c r="D11" s="23" cm="1">
        <f t="array" ref="D11">_xlfn.IFERROR(_xlfn.SUMIFS('Total Cases'!F2:F1312,'Total Cases'!A2:A1312,D$3,'Total Cases'!B2:B1312,$A11,'Total Cases'!C2:C1312,"Central Luzon"),0)</f>
        <v>32.772720165986</v>
      </c>
      <c r="E11" s="23" cm="1">
        <f t="array" ref="E11">_xlfn.IFERROR(_xlfn.SUMIFS('Total Cases'!F2:F1312,'Total Cases'!A2:A1312,E$3,'Total Cases'!B2:B1312,$A11,'Total Cases'!C2:C1312,"Central Luzon"),0)</f>
        <v>0</v>
      </c>
      <c r="F11" s="23" cm="1">
        <f t="array" ref="F11">_xlfn.IFERROR(_xlfn.SUMIFS('Total Cases'!F2:F1312,'Total Cases'!A2:A1312,F$3,'Total Cases'!B2:B1312,$A11,'Total Cases'!C2:C1312,"Central Luzon"),0)</f>
        <v>74.8508082150084</v>
      </c>
      <c r="G11" s="23" cm="1">
        <f t="array" ref="G11">_xlfn.IFERROR(_xlfn.SUMIFS('Total Cases'!F2:F1312,'Total Cases'!A2:A1312,G$3,'Total Cases'!B2:B1312,$A11,'Total Cases'!C2:C1312,"Central Luzon"),0)</f>
        <v>0</v>
      </c>
      <c r="H11" s="23" cm="1">
        <f t="array" ref="H11">_xlfn.IFERROR(_xlfn.SUMIFS('Total Cases'!F2:F1312,'Total Cases'!A2:A1312,H$3,'Total Cases'!B2:B1312,$A11,'Total Cases'!C2:C1312,"Central Luzon"),0)</f>
        <v>324.660659971132</v>
      </c>
      <c r="I11" s="23" cm="1">
        <f t="array" ref="I11">_xlfn.IFERROR(_xlfn.SUMIFS('Total Cases'!F2:F1312,'Total Cases'!A2:A1312,I$3,'Total Cases'!B2:B1312,$A11,'Total Cases'!C2:C1312,"Central Luzon"),0)</f>
        <v>24.6607355017157</v>
      </c>
      <c r="J11" s="23" cm="1">
        <f t="array" ref="J11">_xlfn.IFERROR(_xlfn.SUMIFS('Total Cases'!F2:F1312,'Total Cases'!A2:A1312,J$3,'Total Cases'!B2:B1312,$A11,'Total Cases'!C2:C1312,"Central Luzon"),0)</f>
        <v>51.4061151070986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Cases'!C2:C1312,"Central Luzon"),0)</f>
        <v>169.906047507226</v>
      </c>
      <c r="C12" s="23" cm="1">
        <f t="array" ref="C12">_xlfn.IFERROR(_xlfn.SUMIFS('Total Cases'!F2:F1312,'Total Cases'!A2:A1312,C$3,'Total Cases'!B2:B1312,$A12,'Total Cases'!C2:C1312,"Central Luzon"),0)</f>
        <v>59.7522445801142</v>
      </c>
      <c r="D12" s="23" cm="1">
        <f t="array" ref="D12">_xlfn.IFERROR(_xlfn.SUMIFS('Total Cases'!F2:F1312,'Total Cases'!A2:A1312,D$3,'Total Cases'!B2:B1312,$A12,'Total Cases'!C2:C1312,"Central Luzon"),0)</f>
        <v>50.5677256306237</v>
      </c>
      <c r="E12" s="23" cm="1">
        <f t="array" ref="E12">_xlfn.IFERROR(_xlfn.SUMIFS('Total Cases'!F2:F1312,'Total Cases'!A2:A1312,E$3,'Total Cases'!B2:B1312,$A12,'Total Cases'!C2:C1312,"Central Luzon"),0)</f>
        <v>0</v>
      </c>
      <c r="F12" s="23" cm="1">
        <f t="array" ref="F12">_xlfn.IFERROR(_xlfn.SUMIFS('Total Cases'!F2:F1312,'Total Cases'!A2:A1312,F$3,'Total Cases'!B2:B1312,$A12,'Total Cases'!C2:C1312,"Central Luzon"),0)</f>
        <v>92.9705951885508</v>
      </c>
      <c r="G12" s="23" cm="1">
        <f t="array" ref="G12">_xlfn.IFERROR(_xlfn.SUMIFS('Total Cases'!F2:F1312,'Total Cases'!A2:A1312,G$3,'Total Cases'!B2:B1312,$A12,'Total Cases'!C2:C1312,"Central Luzon"),0)</f>
        <v>0</v>
      </c>
      <c r="H12" s="23" cm="1">
        <f t="array" ref="H12">_xlfn.IFERROR(_xlfn.SUMIFS('Total Cases'!F2:F1312,'Total Cases'!A2:A1312,H$3,'Total Cases'!B2:B1312,$A12,'Total Cases'!C2:C1312,"Central Luzon"),0)</f>
        <v>463.470766265322</v>
      </c>
      <c r="I12" s="23" cm="1">
        <f t="array" ref="I12">_xlfn.IFERROR(_xlfn.SUMIFS('Total Cases'!F2:F1312,'Total Cases'!A2:A1312,I$3,'Total Cases'!B2:B1312,$A12,'Total Cases'!C2:C1312,"Central Luzon"),0)</f>
        <v>27.5082384983916</v>
      </c>
      <c r="J12" s="23" cm="1">
        <f t="array" ref="J12">_xlfn.IFERROR(_xlfn.SUMIFS('Total Cases'!F2:F1312,'Total Cases'!A2:A1312,J$3,'Total Cases'!B2:B1312,$A12,'Total Cases'!C2:C1312,"Central Luzon"),0)</f>
        <v>32.9011221578786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Cases'!C2:C1312,"Central Luzon"),0)</f>
        <v>152.692627535278</v>
      </c>
      <c r="C13" s="23" cm="1">
        <f t="array" ref="C13">_xlfn.IFERROR(_xlfn.SUMIFS('Total Cases'!F2:F1312,'Total Cases'!A2:A1312,C$3,'Total Cases'!B2:B1312,$A13,'Total Cases'!C2:C1312,"Central Luzon"),0)</f>
        <v>62.3958150014313</v>
      </c>
      <c r="D13" s="23" cm="1">
        <f t="array" ref="D13">_xlfn.IFERROR(_xlfn.SUMIFS('Total Cases'!F2:F1312,'Total Cases'!A2:A1312,D$3,'Total Cases'!B2:B1312,$A13,'Total Cases'!C2:C1312,"Central Luzon"),0)</f>
        <v>47.1310840829114</v>
      </c>
      <c r="E13" s="23" cm="1">
        <f t="array" ref="E13">_xlfn.IFERROR(_xlfn.SUMIFS('Total Cases'!F2:F1312,'Total Cases'!A2:A1312,E$3,'Total Cases'!B2:B1312,$A13,'Total Cases'!C2:C1312,"Central Luzon"),0)</f>
        <v>0</v>
      </c>
      <c r="F13" s="23" cm="1">
        <f t="array" ref="F13">_xlfn.IFERROR(_xlfn.SUMIFS('Total Cases'!F2:F1312,'Total Cases'!A2:A1312,F$3,'Total Cases'!B2:B1312,$A13,'Total Cases'!C2:C1312,"Central Luzon"),0)</f>
        <v>80.82527736718509</v>
      </c>
      <c r="G13" s="23" cm="1">
        <f t="array" ref="G13">_xlfn.IFERROR(_xlfn.SUMIFS('Total Cases'!F2:F1312,'Total Cases'!A2:A1312,G$3,'Total Cases'!B2:B1312,$A13,'Total Cases'!C2:C1312,"Central Luzon"),0)</f>
        <v>0</v>
      </c>
      <c r="H13" s="23" cm="1">
        <f t="array" ref="H13">_xlfn.IFERROR(_xlfn.SUMIFS('Total Cases'!F2:F1312,'Total Cases'!A2:A1312,H$3,'Total Cases'!B2:B1312,$A13,'Total Cases'!C2:C1312,"Central Luzon"),0)</f>
        <v>577.5143942409439</v>
      </c>
      <c r="I13" s="23" cm="1">
        <f t="array" ref="I13">_xlfn.IFERROR(_xlfn.SUMIFS('Total Cases'!F2:F1312,'Total Cases'!A2:A1312,I$3,'Total Cases'!B2:B1312,$A13,'Total Cases'!C2:C1312,"Central Luzon"),0)</f>
        <v>0</v>
      </c>
      <c r="J13" s="23" cm="1">
        <f t="array" ref="J13">_xlfn.IFERROR(_xlfn.SUMIFS('Total Cases'!F2:F1312,'Total Cases'!A2:A1312,J$3,'Total Cases'!B2:B1312,$A13,'Total Cases'!C2:C1312,"Central Luzon"),0)</f>
        <v>31.8890123394314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Cases'!C2:C1312,"Central Luzon"),0)</f>
        <v>139.625836595625</v>
      </c>
      <c r="C14" s="23" cm="1">
        <f t="array" ref="C14">_xlfn.IFERROR(_xlfn.SUMIFS('Total Cases'!F2:F1312,'Total Cases'!A2:A1312,C$3,'Total Cases'!B2:B1312,$A14,'Total Cases'!C2:C1312,"Central Luzon"),0)</f>
        <v>54.6916954878785</v>
      </c>
      <c r="D14" s="23" cm="1">
        <f t="array" ref="D14">_xlfn.IFERROR(_xlfn.SUMIFS('Total Cases'!F2:F1312,'Total Cases'!A2:A1312,D$3,'Total Cases'!B2:B1312,$A14,'Total Cases'!C2:C1312,"Central Luzon"),0)</f>
        <v>37.1081756569461</v>
      </c>
      <c r="E14" s="23" cm="1">
        <f t="array" ref="E14">_xlfn.IFERROR(_xlfn.SUMIFS('Total Cases'!F2:F1312,'Total Cases'!A2:A1312,E$3,'Total Cases'!B2:B1312,$A14,'Total Cases'!C2:C1312,"Central Luzon"),0)</f>
        <v>0</v>
      </c>
      <c r="F14" s="23" cm="1">
        <f t="array" ref="F14">_xlfn.IFERROR(_xlfn.SUMIFS('Total Cases'!F2:F1312,'Total Cases'!A2:A1312,F$3,'Total Cases'!B2:B1312,$A14,'Total Cases'!C2:C1312,"Central Luzon"),0)</f>
        <v>68.2192229866756</v>
      </c>
      <c r="G14" s="23" cm="1">
        <f t="array" ref="G14">_xlfn.IFERROR(_xlfn.SUMIFS('Total Cases'!F2:F1312,'Total Cases'!A2:A1312,G$3,'Total Cases'!B2:B1312,$A14,'Total Cases'!C2:C1312,"Central Luzon"),0)</f>
        <v>0</v>
      </c>
      <c r="H14" s="23" cm="1">
        <f t="array" ref="H14">_xlfn.IFERROR(_xlfn.SUMIFS('Total Cases'!F2:F1312,'Total Cases'!A2:A1312,H$3,'Total Cases'!B2:B1312,$A14,'Total Cases'!C2:C1312,"Central Luzon"),0)</f>
        <v>385.319271552841</v>
      </c>
      <c r="I14" s="23" cm="1">
        <f t="array" ref="I14">_xlfn.IFERROR(_xlfn.SUMIFS('Total Cases'!F2:F1312,'Total Cases'!A2:A1312,I$3,'Total Cases'!B2:B1312,$A14,'Total Cases'!C2:C1312,"Central Luzon"),0)</f>
        <v>0</v>
      </c>
      <c r="J14" s="23" cm="1">
        <f t="array" ref="J14">_xlfn.IFERROR(_xlfn.SUMIFS('Total Cases'!F2:F1312,'Total Cases'!A2:A1312,J$3,'Total Cases'!B2:B1312,$A14,'Total Cases'!C2:C1312,"Central Luzon"),0)</f>
        <v>27.8632322406827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Cases'!C2:C1312,"Central Luzon"),0)</f>
        <v>139.097122511362</v>
      </c>
      <c r="C15" s="23" cm="1">
        <f t="array" ref="C15">_xlfn.IFERROR(_xlfn.SUMIFS('Total Cases'!F2:F1312,'Total Cases'!A2:A1312,C$3,'Total Cases'!B2:B1312,$A15,'Total Cases'!C2:C1312,"Central Luzon"),0)</f>
        <v>75.8175996833758</v>
      </c>
      <c r="D15" s="23" cm="1">
        <f t="array" ref="D15">_xlfn.IFERROR(_xlfn.SUMIFS('Total Cases'!F2:F1312,'Total Cases'!A2:A1312,D$3,'Total Cases'!B2:B1312,$A15,'Total Cases'!C2:C1312,"Central Luzon"),0)</f>
        <v>45.1748419711367</v>
      </c>
      <c r="E15" s="23" cm="1">
        <f t="array" ref="E15">_xlfn.IFERROR(_xlfn.SUMIFS('Total Cases'!F2:F1312,'Total Cases'!A2:A1312,E$3,'Total Cases'!B2:B1312,$A15,'Total Cases'!C2:C1312,"Central Luzon"),0)</f>
        <v>0</v>
      </c>
      <c r="F15" s="23" cm="1">
        <f t="array" ref="F15">_xlfn.IFERROR(_xlfn.SUMIFS('Total Cases'!F2:F1312,'Total Cases'!A2:A1312,F$3,'Total Cases'!B2:B1312,$A15,'Total Cases'!C2:C1312,"Central Luzon"),0)</f>
        <v>69.1558022216566</v>
      </c>
      <c r="G15" s="23" cm="1">
        <f t="array" ref="G15">_xlfn.IFERROR(_xlfn.SUMIFS('Total Cases'!F2:F1312,'Total Cases'!A2:A1312,G$3,'Total Cases'!B2:B1312,$A15,'Total Cases'!C2:C1312,"Central Luzon"),0)</f>
        <v>0</v>
      </c>
      <c r="H15" s="23" cm="1">
        <f t="array" ref="H15">_xlfn.IFERROR(_xlfn.SUMIFS('Total Cases'!F2:F1312,'Total Cases'!A2:A1312,H$3,'Total Cases'!B2:B1312,$A15,'Total Cases'!C2:C1312,"Central Luzon"),0)</f>
        <v>387.290619781309</v>
      </c>
      <c r="I15" s="23" cm="1">
        <f t="array" ref="I15">_xlfn.IFERROR(_xlfn.SUMIFS('Total Cases'!F2:F1312,'Total Cases'!A2:A1312,I$3,'Total Cases'!B2:B1312,$A15,'Total Cases'!C2:C1312,"Central Luzon"),0)</f>
        <v>0</v>
      </c>
      <c r="J15" s="23" cm="1">
        <f t="array" ref="J15">_xlfn.IFERROR(_xlfn.SUMIFS('Total Cases'!F2:F1312,'Total Cases'!A2:A1312,J$3,'Total Cases'!B2:B1312,$A15,'Total Cases'!C2:C1312,"Central Luzon"),0)</f>
        <v>0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59" customWidth="1"/>
    <col min="2" max="9" width="16" style="59" customWidth="1"/>
    <col min="10" max="10" width="8.67188" style="59" customWidth="1"/>
    <col min="11" max="16384" width="8.67188" style="59" customWidth="1"/>
  </cols>
  <sheetData>
    <row r="1" ht="18.5" customHeight="1">
      <c r="A1" t="s" s="39">
        <v>79</v>
      </c>
      <c r="B1" s="40"/>
      <c r="C1" s="40"/>
      <c r="D1" s="40"/>
      <c r="E1" s="40"/>
      <c r="F1" s="40"/>
      <c r="G1" s="40"/>
      <c r="H1" s="40"/>
      <c r="I1" s="40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53">
        <v>45</v>
      </c>
      <c r="G3" t="s" s="45">
        <v>35</v>
      </c>
      <c r="H3" t="s" s="46">
        <v>30</v>
      </c>
      <c r="I3" t="s" s="48">
        <v>41</v>
      </c>
      <c r="J3" s="49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Cases'!C2:C1312,"Calabarzon"),0)</f>
        <v>64.1851278058178</v>
      </c>
      <c r="C4" s="23" cm="1">
        <f t="array" ref="C4">_xlfn.IFERROR(_xlfn.SUMIFS('Total Cases'!F2:F1312,'Total Cases'!A2:A1312,C$3,'Total Cases'!B2:B1312,$A4,'Total Cases'!C2:C1312,"Calabarzon"),0)</f>
        <v>19.7853603095488</v>
      </c>
      <c r="D4" s="23" cm="1">
        <f t="array" ref="D4">_xlfn.IFERROR(_xlfn.SUMIFS('Total Cases'!F2:F1312,'Total Cases'!A2:A1312,D$3,'Total Cases'!B2:B1312,$A4,'Total Cases'!C2:C1312,"Calabarzon"),0)</f>
        <v>43.638792099748</v>
      </c>
      <c r="E4" s="23" cm="1">
        <f t="array" ref="E4">_xlfn.IFERROR(_xlfn.SUMIFS('Total Cases'!F2:F1312,'Total Cases'!A2:A1312,E$3,'Total Cases'!B2:B1312,$A4,'Total Cases'!C2:C1312,"Calabarzon"),0)</f>
        <v>0</v>
      </c>
      <c r="F4" s="23" cm="1">
        <f t="array" ref="F4">_xlfn.IFERROR(_xlfn.SUMIFS('Total Cases'!F2:F1312,'Total Cases'!A2:A1312,F$3,'Total Cases'!B2:B1312,$A4,'Total Cases'!C2:C1312,"Calabarzon"),0)</f>
        <v>18.7840768930736</v>
      </c>
      <c r="G4" s="23" cm="1">
        <f t="array" ref="G4">_xlfn.IFERROR(_xlfn.SUMIFS('Total Cases'!F2:F1312,'Total Cases'!A2:A1312,G$3,'Total Cases'!B2:B1312,$A4,'Total Cases'!C2:C1312,"Calabarzon"),0)</f>
        <v>81.56168629630361</v>
      </c>
      <c r="H4" s="23" cm="1">
        <f t="array" ref="H4">_xlfn.IFERROR(_xlfn.SUMIFS('Total Cases'!F2:F1312,'Total Cases'!A2:A1312,H$3,'Total Cases'!B2:B1312,$A4,'Total Cases'!C2:C1312,"Calabarzon"),0)</f>
        <v>305.803398630553</v>
      </c>
      <c r="I4" s="23" cm="1">
        <f t="array" ref="I4">_xlfn.IFERROR(_xlfn.SUMIFS('Total Cases'!F2:F1312,'Total Cases'!A2:A1312,I$3,'Total Cases'!B2:B1312,$A4,'Total Cases'!C2:C1312,"Calabarzon"),0)</f>
        <v>44.7201781895411</v>
      </c>
      <c r="J4" s="49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Cases'!C2:C1312,"Calabarzon"),0)</f>
        <v>63.5214199411829</v>
      </c>
      <c r="C5" s="23" cm="1">
        <f t="array" ref="C5">_xlfn.IFERROR(_xlfn.SUMIFS('Total Cases'!F2:F1312,'Total Cases'!A2:A1312,C$3,'Total Cases'!B2:B1312,$A5,'Total Cases'!C2:C1312,"Calabarzon"),0)</f>
        <v>20.483397891320</v>
      </c>
      <c r="D5" s="23" cm="1">
        <f t="array" ref="D5">_xlfn.IFERROR(_xlfn.SUMIFS('Total Cases'!F2:F1312,'Total Cases'!A2:A1312,D$3,'Total Cases'!B2:B1312,$A5,'Total Cases'!C2:C1312,"Calabarzon"),0)</f>
        <v>41.9738008186379</v>
      </c>
      <c r="E5" s="23" cm="1">
        <f t="array" ref="E5">_xlfn.IFERROR(_xlfn.SUMIFS('Total Cases'!F2:F1312,'Total Cases'!A2:A1312,E$3,'Total Cases'!B2:B1312,$A5,'Total Cases'!C2:C1312,"Calabarzon"),0)</f>
        <v>0</v>
      </c>
      <c r="F5" s="23" cm="1">
        <f t="array" ref="F5">_xlfn.IFERROR(_xlfn.SUMIFS('Total Cases'!F2:F1312,'Total Cases'!A2:A1312,F$3,'Total Cases'!B2:B1312,$A5,'Total Cases'!C2:C1312,"Calabarzon"),0)</f>
        <v>17.1248072314863</v>
      </c>
      <c r="G5" s="23" cm="1">
        <f t="array" ref="G5">_xlfn.IFERROR(_xlfn.SUMIFS('Total Cases'!F2:F1312,'Total Cases'!A2:A1312,G$3,'Total Cases'!B2:B1312,$A5,'Total Cases'!C2:C1312,"Calabarzon"),0)</f>
        <v>52.9535886827281</v>
      </c>
      <c r="H5" s="23" cm="1">
        <f t="array" ref="H5">_xlfn.IFERROR(_xlfn.SUMIFS('Total Cases'!F2:F1312,'Total Cases'!A2:A1312,H$3,'Total Cases'!B2:B1312,$A5,'Total Cases'!C2:C1312,"Calabarzon"),0)</f>
        <v>341.563520647523</v>
      </c>
      <c r="I5" s="23" cm="1">
        <f t="array" ref="I5">_xlfn.IFERROR(_xlfn.SUMIFS('Total Cases'!F2:F1312,'Total Cases'!A2:A1312,I$3,'Total Cases'!B2:B1312,$A5,'Total Cases'!C2:C1312,"Calabarzon"),0)</f>
        <v>61.9765826700498</v>
      </c>
      <c r="J5" s="49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Cases'!C2:C1312,"Calabarzon"),0)</f>
        <v>63.2811119212289</v>
      </c>
      <c r="C6" s="23" cm="1">
        <f t="array" ref="C6">_xlfn.IFERROR(_xlfn.SUMIFS('Total Cases'!F2:F1312,'Total Cases'!A2:A1312,C$3,'Total Cases'!B2:B1312,$A6,'Total Cases'!C2:C1312,"Calabarzon"),0)</f>
        <v>20.5120059889336</v>
      </c>
      <c r="D6" s="23" cm="1">
        <f t="array" ref="D6">_xlfn.IFERROR(_xlfn.SUMIFS('Total Cases'!F2:F1312,'Total Cases'!A2:A1312,D$3,'Total Cases'!B2:B1312,$A6,'Total Cases'!C2:C1312,"Calabarzon"),0)</f>
        <v>43.5014732312028</v>
      </c>
      <c r="E6" s="23" cm="1">
        <f t="array" ref="E6">_xlfn.IFERROR(_xlfn.SUMIFS('Total Cases'!F2:F1312,'Total Cases'!A2:A1312,E$3,'Total Cases'!B2:B1312,$A6,'Total Cases'!C2:C1312,"Calabarzon"),0)</f>
        <v>12.049730714838</v>
      </c>
      <c r="F6" s="23" cm="1">
        <f t="array" ref="F6">_xlfn.IFERROR(_xlfn.SUMIFS('Total Cases'!F2:F1312,'Total Cases'!A2:A1312,F$3,'Total Cases'!B2:B1312,$A6,'Total Cases'!C2:C1312,"Calabarzon"),0)</f>
        <v>17.0160964605547</v>
      </c>
      <c r="G6" s="23" cm="1">
        <f t="array" ref="G6">_xlfn.IFERROR(_xlfn.SUMIFS('Total Cases'!F2:F1312,'Total Cases'!A2:A1312,G$3,'Total Cases'!B2:B1312,$A6,'Total Cases'!C2:C1312,"Calabarzon"),0)</f>
        <v>70.4045282270091</v>
      </c>
      <c r="H6" s="23" cm="1">
        <f t="array" ref="H6">_xlfn.IFERROR(_xlfn.SUMIFS('Total Cases'!F2:F1312,'Total Cases'!A2:A1312,H$3,'Total Cases'!B2:B1312,$A6,'Total Cases'!C2:C1312,"Calabarzon"),0)</f>
        <v>295.950769812438</v>
      </c>
      <c r="I6" s="23" cm="1">
        <f t="array" ref="I6">_xlfn.IFERROR(_xlfn.SUMIFS('Total Cases'!F2:F1312,'Total Cases'!A2:A1312,I$3,'Total Cases'!B2:B1312,$A6,'Total Cases'!C2:C1312,"Calabarzon"),0)</f>
        <v>41.3787523882755</v>
      </c>
      <c r="J6" s="49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Cases'!C2:C1312,"Calabarzon"),0)</f>
        <v>670.287727086072</v>
      </c>
      <c r="C7" s="23" cm="1">
        <f t="array" ref="C7">_xlfn.IFERROR(_xlfn.SUMIFS('Total Cases'!F2:F1312,'Total Cases'!A2:A1312,C$3,'Total Cases'!B2:B1312,$A7,'Total Cases'!C2:C1312,"Calabarzon"),0)</f>
        <v>205.635005646380</v>
      </c>
      <c r="D7" s="23" cm="1">
        <f t="array" ref="D7">_xlfn.IFERROR(_xlfn.SUMIFS('Total Cases'!F2:F1312,'Total Cases'!A2:A1312,D$3,'Total Cases'!B2:B1312,$A7,'Total Cases'!C2:C1312,"Calabarzon"),0)</f>
        <v>521.554227593094</v>
      </c>
      <c r="E7" s="23" cm="1">
        <f t="array" ref="E7">_xlfn.IFERROR(_xlfn.SUMIFS('Total Cases'!F2:F1312,'Total Cases'!A2:A1312,E$3,'Total Cases'!B2:B1312,$A7,'Total Cases'!C2:C1312,"Calabarzon"),0)</f>
        <v>0</v>
      </c>
      <c r="F7" s="23" cm="1">
        <f t="array" ref="F7">_xlfn.IFERROR(_xlfn.SUMIFS('Total Cases'!F2:F1312,'Total Cases'!A2:A1312,F$3,'Total Cases'!B2:B1312,$A7,'Total Cases'!C2:C1312,"Calabarzon"),0)</f>
        <v>184.951351071765</v>
      </c>
      <c r="G7" s="23" cm="1">
        <f t="array" ref="G7">_xlfn.IFERROR(_xlfn.SUMIFS('Total Cases'!F2:F1312,'Total Cases'!A2:A1312,G$3,'Total Cases'!B2:B1312,$A7,'Total Cases'!C2:C1312,"Calabarzon"),0)</f>
        <v>881.243838888578</v>
      </c>
      <c r="H7" s="23" cm="1">
        <f t="array" ref="H7">_xlfn.IFERROR(_xlfn.SUMIFS('Total Cases'!F2:F1312,'Total Cases'!A2:A1312,H$3,'Total Cases'!B2:B1312,$A7,'Total Cases'!C2:C1312,"Calabarzon"),0)</f>
        <v>3288.014483021070</v>
      </c>
      <c r="I7" s="23" cm="1">
        <f t="array" ref="I7">_xlfn.IFERROR(_xlfn.SUMIFS('Total Cases'!F2:F1312,'Total Cases'!A2:A1312,I$3,'Total Cases'!B2:B1312,$A7,'Total Cases'!C2:C1312,"Calabarzon"),0)</f>
        <v>470.660421938543</v>
      </c>
      <c r="J7" s="49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Cases'!C2:C1312,"Calabarzon"),0)</f>
        <v>44.903270014268</v>
      </c>
      <c r="C8" s="23" cm="1">
        <f t="array" ref="C8">_xlfn.IFERROR(_xlfn.SUMIFS('Total Cases'!F2:F1312,'Total Cases'!A2:A1312,C$3,'Total Cases'!B2:B1312,$A8,'Total Cases'!C2:C1312,"Calabarzon"),0)</f>
        <v>14.378429860583</v>
      </c>
      <c r="D8" s="23" cm="1">
        <f t="array" ref="D8">_xlfn.IFERROR(_xlfn.SUMIFS('Total Cases'!F2:F1312,'Total Cases'!A2:A1312,D$3,'Total Cases'!B2:B1312,$A8,'Total Cases'!C2:C1312,"Calabarzon"),0)</f>
        <v>32.1097287614771</v>
      </c>
      <c r="E8" s="23" cm="1">
        <f t="array" ref="E8">_xlfn.IFERROR(_xlfn.SUMIFS('Total Cases'!F2:F1312,'Total Cases'!A2:A1312,E$3,'Total Cases'!B2:B1312,$A8,'Total Cases'!C2:C1312,"Calabarzon"),0)</f>
        <v>0</v>
      </c>
      <c r="F8" s="23" cm="1">
        <f t="array" ref="F8">_xlfn.IFERROR(_xlfn.SUMIFS('Total Cases'!F2:F1312,'Total Cases'!A2:A1312,F$3,'Total Cases'!B2:B1312,$A8,'Total Cases'!C2:C1312,"Calabarzon"),0)</f>
        <v>10.4533988680005</v>
      </c>
      <c r="G8" s="23" cm="1">
        <f t="array" ref="G8">_xlfn.IFERROR(_xlfn.SUMIFS('Total Cases'!F2:F1312,'Total Cases'!A2:A1312,G$3,'Total Cases'!B2:B1312,$A8,'Total Cases'!C2:C1312,"Calabarzon"),0)</f>
        <v>83.4383774997541</v>
      </c>
      <c r="H8" s="23" cm="1">
        <f t="array" ref="H8">_xlfn.IFERROR(_xlfn.SUMIFS('Total Cases'!F2:F1312,'Total Cases'!A2:A1312,H$3,'Total Cases'!B2:B1312,$A8,'Total Cases'!C2:C1312,"Calabarzon"),0)</f>
        <v>197.350100577489</v>
      </c>
      <c r="I8" s="23" cm="1">
        <f t="array" ref="I8">_xlfn.IFERROR(_xlfn.SUMIFS('Total Cases'!F2:F1312,'Total Cases'!A2:A1312,I$3,'Total Cases'!B2:B1312,$A8,'Total Cases'!C2:C1312,"Calabarzon"),0)</f>
        <v>30.1929862213675</v>
      </c>
      <c r="J8" s="49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Cases'!C2:C1312,"Calabarzon"),0)</f>
        <v>62.4858068075715</v>
      </c>
      <c r="C9" s="23" cm="1">
        <f t="array" ref="C9">_xlfn.IFERROR(_xlfn.SUMIFS('Total Cases'!F2:F1312,'Total Cases'!A2:A1312,C$3,'Total Cases'!B2:B1312,$A9,'Total Cases'!C2:C1312,"Calabarzon"),0)</f>
        <v>20.7580356284103</v>
      </c>
      <c r="D9" s="23" cm="1">
        <f t="array" ref="D9">_xlfn.IFERROR(_xlfn.SUMIFS('Total Cases'!F2:F1312,'Total Cases'!A2:A1312,D$3,'Total Cases'!B2:B1312,$A9,'Total Cases'!C2:C1312,"Calabarzon"),0)</f>
        <v>40.2287068642098</v>
      </c>
      <c r="E9" s="23" cm="1">
        <f t="array" ref="E9">_xlfn.IFERROR(_xlfn.SUMIFS('Total Cases'!F2:F1312,'Total Cases'!A2:A1312,E$3,'Total Cases'!B2:B1312,$A9,'Total Cases'!C2:C1312,"Calabarzon"),0)</f>
        <v>0</v>
      </c>
      <c r="F9" s="23" cm="1">
        <f t="array" ref="F9">_xlfn.IFERROR(_xlfn.SUMIFS('Total Cases'!F2:F1312,'Total Cases'!A2:A1312,F$3,'Total Cases'!B2:B1312,$A9,'Total Cases'!C2:C1312,"Calabarzon"),0)</f>
        <v>11.9867929000881</v>
      </c>
      <c r="G9" s="23" cm="1">
        <f t="array" ref="G9">_xlfn.IFERROR(_xlfn.SUMIFS('Total Cases'!F2:F1312,'Total Cases'!A2:A1312,G$3,'Total Cases'!B2:B1312,$A9,'Total Cases'!C2:C1312,"Calabarzon"),0)</f>
        <v>116.778254458615</v>
      </c>
      <c r="H9" s="23" cm="1">
        <f t="array" ref="H9">_xlfn.IFERROR(_xlfn.SUMIFS('Total Cases'!F2:F1312,'Total Cases'!A2:A1312,H$3,'Total Cases'!B2:B1312,$A9,'Total Cases'!C2:C1312,"Calabarzon"),0)</f>
        <v>219.801735584623</v>
      </c>
      <c r="I9" s="23" cm="1">
        <f t="array" ref="I9">_xlfn.IFERROR(_xlfn.SUMIFS('Total Cases'!F2:F1312,'Total Cases'!A2:A1312,I$3,'Total Cases'!B2:B1312,$A9,'Total Cases'!C2:C1312,"Calabarzon"),0)</f>
        <v>33.3856499150425</v>
      </c>
      <c r="J9" s="49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Cases'!C2:C1312,"Calabarzon"),0)</f>
        <v>50.0470059651889</v>
      </c>
      <c r="C10" s="23" cm="1">
        <f t="array" ref="C10">_xlfn.IFERROR(_xlfn.SUMIFS('Total Cases'!F2:F1312,'Total Cases'!A2:A1312,C$3,'Total Cases'!B2:B1312,$A10,'Total Cases'!C2:C1312,"Calabarzon"),0)</f>
        <v>17.9773285403708</v>
      </c>
      <c r="D10" s="23" cm="1">
        <f t="array" ref="D10">_xlfn.IFERROR(_xlfn.SUMIFS('Total Cases'!F2:F1312,'Total Cases'!A2:A1312,D$3,'Total Cases'!B2:B1312,$A10,'Total Cases'!C2:C1312,"Calabarzon"),0)</f>
        <v>37.3850619614204</v>
      </c>
      <c r="E10" s="23" cm="1">
        <f t="array" ref="E10">_xlfn.IFERROR(_xlfn.SUMIFS('Total Cases'!F2:F1312,'Total Cases'!A2:A1312,E$3,'Total Cases'!B2:B1312,$A10,'Total Cases'!C2:C1312,"Calabarzon"),0)</f>
        <v>0</v>
      </c>
      <c r="F10" s="23" cm="1">
        <f t="array" ref="F10">_xlfn.IFERROR(_xlfn.SUMIFS('Total Cases'!F2:F1312,'Total Cases'!A2:A1312,F$3,'Total Cases'!B2:B1312,$A10,'Total Cases'!C2:C1312,"Calabarzon"),0)</f>
        <v>15.7230104484211</v>
      </c>
      <c r="G10" s="23" cm="1">
        <f t="array" ref="G10">_xlfn.IFERROR(_xlfn.SUMIFS('Total Cases'!F2:F1312,'Total Cases'!A2:A1312,G$3,'Total Cases'!B2:B1312,$A10,'Total Cases'!C2:C1312,"Calabarzon"),0)</f>
        <v>82.1224050095296</v>
      </c>
      <c r="H10" s="23" cm="1">
        <f t="array" ref="H10">_xlfn.IFERROR(_xlfn.SUMIFS('Total Cases'!F2:F1312,'Total Cases'!A2:A1312,H$3,'Total Cases'!B2:B1312,$A10,'Total Cases'!C2:C1312,"Calabarzon"),0)</f>
        <v>243.409137735345</v>
      </c>
      <c r="I10" s="23" cm="1">
        <f t="array" ref="I10">_xlfn.IFERROR(_xlfn.SUMIFS('Total Cases'!F2:F1312,'Total Cases'!A2:A1312,I$3,'Total Cases'!B2:B1312,$A10,'Total Cases'!C2:C1312,"Calabarzon"),0)</f>
        <v>32.7276636699303</v>
      </c>
      <c r="J10" s="49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Cases'!C2:C1312,"Calabarzon"),0)</f>
        <v>43.5701326654754</v>
      </c>
      <c r="C11" s="23" cm="1">
        <f t="array" ref="C11">_xlfn.IFERROR(_xlfn.SUMIFS('Total Cases'!F2:F1312,'Total Cases'!A2:A1312,C$3,'Total Cases'!B2:B1312,$A11,'Total Cases'!C2:C1312,"Calabarzon"),0)</f>
        <v>14.8762107590592</v>
      </c>
      <c r="D11" s="23" cm="1">
        <f t="array" ref="D11">_xlfn.IFERROR(_xlfn.SUMIFS('Total Cases'!F2:F1312,'Total Cases'!A2:A1312,D$3,'Total Cases'!B2:B1312,$A11,'Total Cases'!C2:C1312,"Calabarzon"),0)</f>
        <v>37.8313482841922</v>
      </c>
      <c r="E11" s="23" cm="1">
        <f t="array" ref="E11">_xlfn.IFERROR(_xlfn.SUMIFS('Total Cases'!F2:F1312,'Total Cases'!A2:A1312,E$3,'Total Cases'!B2:B1312,$A11,'Total Cases'!C2:C1312,"Calabarzon"),0)</f>
        <v>0</v>
      </c>
      <c r="F11" s="23" cm="1">
        <f t="array" ref="F11">_xlfn.IFERROR(_xlfn.SUMIFS('Total Cases'!F2:F1312,'Total Cases'!A2:A1312,F$3,'Total Cases'!B2:B1312,$A11,'Total Cases'!C2:C1312,"Calabarzon"),0)</f>
        <v>13.8062679083115</v>
      </c>
      <c r="G11" s="23" cm="1">
        <f t="array" ref="G11">_xlfn.IFERROR(_xlfn.SUMIFS('Total Cases'!F2:F1312,'Total Cases'!A2:A1312,G$3,'Total Cases'!B2:B1312,$A11,'Total Cases'!C2:C1312,"Calabarzon"),0)</f>
        <v>80.9838027245093</v>
      </c>
      <c r="H11" s="23" cm="1">
        <f t="array" ref="H11">_xlfn.IFERROR(_xlfn.SUMIFS('Total Cases'!F2:F1312,'Total Cases'!A2:A1312,H$3,'Total Cases'!B2:B1312,$A11,'Total Cases'!C2:C1312,"Calabarzon"),0)</f>
        <v>241.549611390463</v>
      </c>
      <c r="I11" s="23" cm="1">
        <f t="array" ref="I11">_xlfn.IFERROR(_xlfn.SUMIFS('Total Cases'!F2:F1312,'Total Cases'!A2:A1312,I$3,'Total Cases'!B2:B1312,$A11,'Total Cases'!C2:C1312,"Calabarzon"),0)</f>
        <v>29.4835054005508</v>
      </c>
      <c r="J11" s="49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Cases'!C2:C1312,"Calabarzon"),0)</f>
        <v>64.9403815828162</v>
      </c>
      <c r="C12" s="23" cm="1">
        <f t="array" ref="C12">_xlfn.IFERROR(_xlfn.SUMIFS('Total Cases'!F2:F1312,'Total Cases'!A2:A1312,C$3,'Total Cases'!B2:B1312,$A12,'Total Cases'!C2:C1312,"Calabarzon"),0)</f>
        <v>21.4217434930453</v>
      </c>
      <c r="D12" s="23" cm="1">
        <f t="array" ref="D12">_xlfn.IFERROR(_xlfn.SUMIFS('Total Cases'!F2:F1312,'Total Cases'!A2:A1312,D$3,'Total Cases'!B2:B1312,$A12,'Total Cases'!C2:C1312,"Calabarzon"),0)</f>
        <v>44.6744052333594</v>
      </c>
      <c r="E12" s="23" cm="1">
        <f t="array" ref="E12">_xlfn.IFERROR(_xlfn.SUMIFS('Total Cases'!F2:F1312,'Total Cases'!A2:A1312,E$3,'Total Cases'!B2:B1312,$A12,'Total Cases'!C2:C1312,"Calabarzon"),0)</f>
        <v>0</v>
      </c>
      <c r="F12" s="23" cm="1">
        <f t="array" ref="F12">_xlfn.IFERROR(_xlfn.SUMIFS('Total Cases'!F2:F1312,'Total Cases'!A2:A1312,F$3,'Total Cases'!B2:B1312,$A12,'Total Cases'!C2:C1312,"Calabarzon"),0)</f>
        <v>20.3117493056386</v>
      </c>
      <c r="G12" s="23" cm="1">
        <f t="array" ref="G12">_xlfn.IFERROR(_xlfn.SUMIFS('Total Cases'!F2:F1312,'Total Cases'!A2:A1312,G$3,'Total Cases'!B2:B1312,$A12,'Total Cases'!C2:C1312,"Calabarzon"),0)</f>
        <v>59.5620592314641</v>
      </c>
      <c r="H12" s="23" cm="1">
        <f t="array" ref="H12">_xlfn.IFERROR(_xlfn.SUMIFS('Total Cases'!F2:F1312,'Total Cases'!A2:A1312,H$3,'Total Cases'!B2:B1312,$A12,'Total Cases'!C2:C1312,"Calabarzon"),0)</f>
        <v>396.599778836519</v>
      </c>
      <c r="I12" s="23" cm="1">
        <f t="array" ref="I12">_xlfn.IFERROR(_xlfn.SUMIFS('Total Cases'!F2:F1312,'Total Cases'!A2:A1312,I$3,'Total Cases'!B2:B1312,$A12,'Total Cases'!C2:C1312,"Calabarzon"),0)</f>
        <v>38.8669614178036</v>
      </c>
      <c r="J12" s="49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Cases'!C2:C1312,"Calabarzon"),0)</f>
        <v>55.8372849221765</v>
      </c>
      <c r="C13" s="23" cm="1">
        <f t="array" ref="C13">_xlfn.IFERROR(_xlfn.SUMIFS('Total Cases'!F2:F1312,'Total Cases'!A2:A1312,C$3,'Total Cases'!B2:B1312,$A13,'Total Cases'!C2:C1312,"Calabarzon"),0)</f>
        <v>20.8438599212511</v>
      </c>
      <c r="D13" s="23" cm="1">
        <f t="array" ref="D13">_xlfn.IFERROR(_xlfn.SUMIFS('Total Cases'!F2:F1312,'Total Cases'!A2:A1312,D$3,'Total Cases'!B2:B1312,$A13,'Total Cases'!C2:C1312,"Calabarzon"),0)</f>
        <v>43.7475028706796</v>
      </c>
      <c r="E13" s="23" cm="1">
        <f t="array" ref="E13">_xlfn.IFERROR(_xlfn.SUMIFS('Total Cases'!F2:F1312,'Total Cases'!A2:A1312,E$3,'Total Cases'!B2:B1312,$A13,'Total Cases'!C2:C1312,"Calabarzon"),0)</f>
        <v>0</v>
      </c>
      <c r="F13" s="23" cm="1">
        <f t="array" ref="F13">_xlfn.IFERROR(_xlfn.SUMIFS('Total Cases'!F2:F1312,'Total Cases'!A2:A1312,F$3,'Total Cases'!B2:B1312,$A13,'Total Cases'!C2:C1312,"Calabarzon"),0)</f>
        <v>22.7834889394515</v>
      </c>
      <c r="G13" s="23" cm="1">
        <f t="array" ref="G13">_xlfn.IFERROR(_xlfn.SUMIFS('Total Cases'!F2:F1312,'Total Cases'!A2:A1312,G$3,'Total Cases'!B2:B1312,$A13,'Total Cases'!C2:C1312,"Calabarzon"),0)</f>
        <v>96.5351645872489</v>
      </c>
      <c r="H13" s="23" cm="1">
        <f t="array" ref="H13">_xlfn.IFERROR(_xlfn.SUMIFS('Total Cases'!F2:F1312,'Total Cases'!A2:A1312,H$3,'Total Cases'!B2:B1312,$A13,'Total Cases'!C2:C1312,"Calabarzon"),0)</f>
        <v>411.739184093623</v>
      </c>
      <c r="I13" s="23" cm="1">
        <f t="array" ref="I13">_xlfn.IFERROR(_xlfn.SUMIFS('Total Cases'!F2:F1312,'Total Cases'!A2:A1312,I$3,'Total Cases'!B2:B1312,$A13,'Total Cases'!C2:C1312,"Calabarzon"),0)</f>
        <v>48.9141252996913</v>
      </c>
      <c r="J13" s="49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Cases'!C2:C1312,"Calabarzon"),0)</f>
        <v>41.7220495596384</v>
      </c>
      <c r="C14" s="23" cm="1">
        <f t="array" ref="C14">_xlfn.IFERROR(_xlfn.SUMIFS('Total Cases'!F2:F1312,'Total Cases'!A2:A1312,C$3,'Total Cases'!B2:B1312,$A14,'Total Cases'!C2:C1312,"Calabarzon"),0)</f>
        <v>14.8990972371501</v>
      </c>
      <c r="D14" s="23" cm="1">
        <f t="array" ref="D14">_xlfn.IFERROR(_xlfn.SUMIFS('Total Cases'!F2:F1312,'Total Cases'!A2:A1312,D$3,'Total Cases'!B2:B1312,$A14,'Total Cases'!C2:C1312,"Calabarzon"),0)</f>
        <v>36.0290381345369</v>
      </c>
      <c r="E14" s="23" cm="1">
        <f t="array" ref="E14">_xlfn.IFERROR(_xlfn.SUMIFS('Total Cases'!F2:F1312,'Total Cases'!A2:A1312,E$3,'Total Cases'!B2:B1312,$A14,'Total Cases'!C2:C1312,"Calabarzon"),0)</f>
        <v>0</v>
      </c>
      <c r="F14" s="23" cm="1">
        <f t="array" ref="F14">_xlfn.IFERROR(_xlfn.SUMIFS('Total Cases'!F2:F1312,'Total Cases'!A2:A1312,F$3,'Total Cases'!B2:B1312,$A14,'Total Cases'!C2:C1312,"Calabarzon"),0)</f>
        <v>0</v>
      </c>
      <c r="G14" s="23" cm="1">
        <f t="array" ref="G14">_xlfn.IFERROR(_xlfn.SUMIFS('Total Cases'!F2:F1312,'Total Cases'!A2:A1312,G$3,'Total Cases'!B2:B1312,$A14,'Total Cases'!C2:C1312,"Calabarzon"),0)</f>
        <v>56.9072277729243</v>
      </c>
      <c r="H14" s="23" cm="1">
        <f t="array" ref="H14">_xlfn.IFERROR(_xlfn.SUMIFS('Total Cases'!F2:F1312,'Total Cases'!A2:A1312,H$3,'Total Cases'!B2:B1312,$A14,'Total Cases'!C2:C1312,"Calabarzon"),0)</f>
        <v>253.891144700959</v>
      </c>
      <c r="I14" s="23" cm="1">
        <f t="array" ref="I14">_xlfn.IFERROR(_xlfn.SUMIFS('Total Cases'!F2:F1312,'Total Cases'!A2:A1312,I$3,'Total Cases'!B2:B1312,$A14,'Total Cases'!C2:C1312,"Calabarzon"),0)</f>
        <v>67.194699674766</v>
      </c>
      <c r="J14" s="49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Cases'!C2:C1312,"Calabarzon"),0)</f>
        <v>36.3265623497181</v>
      </c>
      <c r="C15" s="23" cm="1">
        <f t="array" ref="C15">_xlfn.IFERROR(_xlfn.SUMIFS('Total Cases'!F2:F1312,'Total Cases'!A2:A1312,C$3,'Total Cases'!B2:B1312,$A15,'Total Cases'!C2:C1312,"Calabarzon"),0)</f>
        <v>11.4775687625665</v>
      </c>
      <c r="D15" s="23" cm="1">
        <f t="array" ref="D15">_xlfn.IFERROR(_xlfn.SUMIFS('Total Cases'!F2:F1312,'Total Cases'!A2:A1312,D$3,'Total Cases'!B2:B1312,$A15,'Total Cases'!C2:C1312,"Calabarzon"),0)</f>
        <v>25.3811042027641</v>
      </c>
      <c r="E15" s="23" cm="1">
        <f t="array" ref="E15">_xlfn.IFERROR(_xlfn.SUMIFS('Total Cases'!F2:F1312,'Total Cases'!A2:A1312,E$3,'Total Cases'!B2:B1312,$A15,'Total Cases'!C2:C1312,"Calabarzon"),0)</f>
        <v>0</v>
      </c>
      <c r="F15" s="23" cm="1">
        <f t="array" ref="F15">_xlfn.IFERROR(_xlfn.SUMIFS('Total Cases'!F2:F1312,'Total Cases'!A2:A1312,F$3,'Total Cases'!B2:B1312,$A15,'Total Cases'!C2:C1312,"Calabarzon"),0)</f>
        <v>14.378429860583</v>
      </c>
      <c r="G15" s="23" cm="1">
        <f t="array" ref="G15">_xlfn.IFERROR(_xlfn.SUMIFS('Total Cases'!F2:F1312,'Total Cases'!A2:A1312,G$3,'Total Cases'!B2:B1312,$A15,'Total Cases'!C2:C1312,"Calabarzon"),0)</f>
        <v>52.7819400970467</v>
      </c>
      <c r="H15" s="23" cm="1">
        <f t="array" ref="H15">_xlfn.IFERROR(_xlfn.SUMIFS('Total Cases'!F2:F1312,'Total Cases'!A2:A1312,H$3,'Total Cases'!B2:B1312,$A15,'Total Cases'!C2:C1312,"Calabarzon"),0)</f>
        <v>227.039584280857</v>
      </c>
      <c r="I15" s="23" cm="1">
        <f t="array" ref="I15">_xlfn.IFERROR(_xlfn.SUMIFS('Total Cases'!F2:F1312,'Total Cases'!A2:A1312,I$3,'Total Cases'!B2:B1312,$A15,'Total Cases'!C2:C1312,"Calabarzon"),0)</f>
        <v>28.3449031155305</v>
      </c>
      <c r="J15" s="49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4"/>
    </row>
  </sheetData>
  <mergeCells count="1">
    <mergeCell ref="A1:I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0" customWidth="1"/>
    <col min="2" max="10" width="16" style="60" customWidth="1"/>
    <col min="11" max="16384" width="8.67188" style="60" customWidth="1"/>
  </cols>
  <sheetData>
    <row r="1" ht="18.5" customHeight="1">
      <c r="A1" t="s" s="39">
        <v>80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53">
        <v>45</v>
      </c>
      <c r="G3" t="s" s="45">
        <v>35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Cases'!C2:C1312,"Mimaropa"),0)</f>
        <v>20.6112723018304</v>
      </c>
      <c r="C4" s="23" cm="1">
        <f t="array" ref="C4">_xlfn.IFERROR(_xlfn.SUMIFS('Total Cases'!F2:F1312,'Total Cases'!A2:A1312,C$3,'Total Cases'!B2:B1312,$A4,'Total Cases'!C2:C1312,"Mimaropa"),0)</f>
        <v>0</v>
      </c>
      <c r="D4" s="23" cm="1">
        <f t="array" ref="D4">_xlfn.IFERROR(_xlfn.SUMIFS('Total Cases'!F2:F1312,'Total Cases'!A2:A1312,D$3,'Total Cases'!B2:B1312,$A4,'Total Cases'!C2:C1312,"Mimaropa"),0)</f>
        <v>28.9874061835612</v>
      </c>
      <c r="E4" s="23" cm="1">
        <f t="array" ref="E4">_xlfn.IFERROR(_xlfn.SUMIFS('Total Cases'!F2:F1312,'Total Cases'!A2:A1312,E$3,'Total Cases'!B2:B1312,$A4,'Total Cases'!C2:C1312,"Mimaropa"),0)</f>
        <v>0</v>
      </c>
      <c r="F4" s="23" cm="1">
        <f t="array" ref="F4">_xlfn.IFERROR(_xlfn.SUMIFS('Total Cases'!F2:F1312,'Total Cases'!A2:A1312,F$3,'Total Cases'!B2:B1312,$A4,'Total Cases'!C2:C1312,"Mimaropa"),0)</f>
        <v>18.1881764289011</v>
      </c>
      <c r="G4" s="23" cm="1">
        <f t="array" ref="G4">_xlfn.IFERROR(_xlfn.SUMIFS('Total Cases'!F2:F1312,'Total Cases'!A2:A1312,G$3,'Total Cases'!B2:B1312,$A4,'Total Cases'!C2:C1312,"Mimaropa"),0)</f>
        <v>69.103104524279</v>
      </c>
      <c r="H4" s="23" cm="1">
        <f t="array" ref="H4">_xlfn.IFERROR(_xlfn.SUMIFS('Total Cases'!F2:F1312,'Total Cases'!A2:A1312,H$3,'Total Cases'!B2:B1312,$A4,'Total Cases'!C2:C1312,"Mimaropa"),0)</f>
        <v>221.728229754959</v>
      </c>
      <c r="I4" s="23" cm="1">
        <f t="array" ref="I4">_xlfn.IFERROR(_xlfn.SUMIFS('Total Cases'!F2:F1312,'Total Cases'!A2:A1312,I$3,'Total Cases'!B2:B1312,$A4,'Total Cases'!C2:C1312,"Mimaropa"),0)</f>
        <v>0</v>
      </c>
      <c r="J4" s="23" cm="1">
        <f t="array" ref="J4">_xlfn.IFERROR(_xlfn.SUMIFS('Total Cases'!F2:F1312,'Total Cases'!A2:A1312,J$3,'Total Cases'!B2:B1312,$A4,'Total Cases'!C2:C1312,"Mimaropa"),0)</f>
        <v>0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Cases'!C2:C1312,"Mimaropa"),0)</f>
        <v>42.9875156715969</v>
      </c>
      <c r="C5" s="23" cm="1">
        <f t="array" ref="C5">_xlfn.IFERROR(_xlfn.SUMIFS('Total Cases'!F2:F1312,'Total Cases'!A2:A1312,C$3,'Total Cases'!B2:B1312,$A5,'Total Cases'!C2:C1312,"Mimaropa"),0)</f>
        <v>14.0001094880357</v>
      </c>
      <c r="D5" s="23" cm="1">
        <f t="array" ref="D5">_xlfn.IFERROR(_xlfn.SUMIFS('Total Cases'!F2:F1312,'Total Cases'!A2:A1312,D$3,'Total Cases'!B2:B1312,$A5,'Total Cases'!C2:C1312,"Mimaropa"),0)</f>
        <v>21.1796528152336</v>
      </c>
      <c r="E5" s="23" cm="1">
        <f t="array" ref="E5">_xlfn.IFERROR(_xlfn.SUMIFS('Total Cases'!F2:F1312,'Total Cases'!A2:A1312,E$3,'Total Cases'!B2:B1312,$A5,'Total Cases'!C2:C1312,"Mimaropa"),0)</f>
        <v>39.3379144802714</v>
      </c>
      <c r="F5" s="23" cm="1">
        <f t="array" ref="F5">_xlfn.IFERROR(_xlfn.SUMIFS('Total Cases'!F2:F1312,'Total Cases'!A2:A1312,F$3,'Total Cases'!B2:B1312,$A5,'Total Cases'!C2:C1312,"Mimaropa"),0)</f>
        <v>21.5386299815934</v>
      </c>
      <c r="G5" s="23" cm="1">
        <f t="array" ref="G5">_xlfn.IFERROR(_xlfn.SUMIFS('Total Cases'!F2:F1312,'Total Cases'!A2:A1312,G$3,'Total Cases'!B2:B1312,$A5,'Total Cases'!C2:C1312,"Mimaropa"),0)</f>
        <v>85.10750319115741</v>
      </c>
      <c r="H5" s="23" cm="1">
        <f t="array" ref="H5">_xlfn.IFERROR(_xlfn.SUMIFS('Total Cases'!F2:F1312,'Total Cases'!A2:A1312,H$3,'Total Cases'!B2:B1312,$A5,'Total Cases'!C2:C1312,"Mimaropa"),0)</f>
        <v>148.736205928448</v>
      </c>
      <c r="I5" s="23" cm="1">
        <f t="array" ref="I5">_xlfn.IFERROR(_xlfn.SUMIFS('Total Cases'!F2:F1312,'Total Cases'!A2:A1312,I$3,'Total Cases'!B2:B1312,$A5,'Total Cases'!C2:C1312,"Mimaropa"),0)</f>
        <v>15.6454215005186</v>
      </c>
      <c r="J5" s="23" cm="1">
        <f t="array" ref="J5">_xlfn.IFERROR(_xlfn.SUMIFS('Total Cases'!F2:F1312,'Total Cases'!A2:A1312,J$3,'Total Cases'!B2:B1312,$A5,'Total Cases'!C2:C1312,"Mimaropa"),0)</f>
        <v>0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Cases'!C2:C1312,"Mimaropa"),0)</f>
        <v>42.5387942136471</v>
      </c>
      <c r="C6" s="23" cm="1">
        <f t="array" ref="C6">_xlfn.IFERROR(_xlfn.SUMIFS('Total Cases'!F2:F1312,'Total Cases'!A2:A1312,C$3,'Total Cases'!B2:B1312,$A6,'Total Cases'!C2:C1312,"Mimaropa"),0)</f>
        <v>11.5171840873798</v>
      </c>
      <c r="D6" s="23" cm="1">
        <f t="array" ref="D6">_xlfn.IFERROR(_xlfn.SUMIFS('Total Cases'!F2:F1312,'Total Cases'!A2:A1312,D$3,'Total Cases'!B2:B1312,$A6,'Total Cases'!C2:C1312,"Mimaropa"),0)</f>
        <v>30.6626329599073</v>
      </c>
      <c r="E6" s="23" cm="1">
        <f t="array" ref="E6">_xlfn.IFERROR(_xlfn.SUMIFS('Total Cases'!F2:F1312,'Total Cases'!A2:A1312,E$3,'Total Cases'!B2:B1312,$A6,'Total Cases'!C2:C1312,"Mimaropa"),0)</f>
        <v>14.0599390157624</v>
      </c>
      <c r="F6" s="23" cm="1">
        <f t="array" ref="F6">_xlfn.IFERROR(_xlfn.SUMIFS('Total Cases'!F2:F1312,'Total Cases'!A2:A1312,F$3,'Total Cases'!B2:B1312,$A6,'Total Cases'!C2:C1312,"Mimaropa"),0)</f>
        <v>19.2052784002542</v>
      </c>
      <c r="G6" s="23" cm="1">
        <f t="array" ref="G6">_xlfn.IFERROR(_xlfn.SUMIFS('Total Cases'!F2:F1312,'Total Cases'!A2:A1312,G$3,'Total Cases'!B2:B1312,$A6,'Total Cases'!C2:C1312,"Mimaropa"),0)</f>
        <v>88.2784681606698</v>
      </c>
      <c r="H6" s="23" cm="1">
        <f t="array" ref="H6">_xlfn.IFERROR(_xlfn.SUMIFS('Total Cases'!F2:F1312,'Total Cases'!A2:A1312,H$3,'Total Cases'!B2:B1312,$A6,'Total Cases'!C2:C1312,"Mimaropa"),0)</f>
        <v>246.318165650612</v>
      </c>
      <c r="I6" s="23" cm="1">
        <f t="array" ref="I6">_xlfn.IFERROR(_xlfn.SUMIFS('Total Cases'!F2:F1312,'Total Cases'!A2:A1312,I$3,'Total Cases'!B2:B1312,$A6,'Total Cases'!C2:C1312,"Mimaropa"),0)</f>
        <v>0</v>
      </c>
      <c r="J6" s="23" cm="1">
        <f t="array" ref="J6">_xlfn.IFERROR(_xlfn.SUMIFS('Total Cases'!F2:F1312,'Total Cases'!A2:A1312,J$3,'Total Cases'!B2:B1312,$A6,'Total Cases'!C2:C1312,"Mimaropa"),0)</f>
        <v>0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Cases'!C2:C1312,"Mimaropa"),0)</f>
        <v>677.898463906790</v>
      </c>
      <c r="C7" s="23" cm="1">
        <f t="array" ref="C7">_xlfn.IFERROR(_xlfn.SUMIFS('Total Cases'!F2:F1312,'Total Cases'!A2:A1312,C$3,'Total Cases'!B2:B1312,$A7,'Total Cases'!C2:C1312,"Mimaropa"),0)</f>
        <v>0</v>
      </c>
      <c r="D7" s="23" cm="1">
        <f t="array" ref="D7">_xlfn.IFERROR(_xlfn.SUMIFS('Total Cases'!F2:F1312,'Total Cases'!A2:A1312,D$3,'Total Cases'!B2:B1312,$A7,'Total Cases'!C2:C1312,"Mimaropa"),0)</f>
        <v>518.213454404366</v>
      </c>
      <c r="E7" s="23" cm="1">
        <f t="array" ref="E7">_xlfn.IFERROR(_xlfn.SUMIFS('Total Cases'!F2:F1312,'Total Cases'!A2:A1312,E$3,'Total Cases'!B2:B1312,$A7,'Total Cases'!C2:C1312,"Mimaropa"),0)</f>
        <v>0</v>
      </c>
      <c r="F7" s="23" cm="1">
        <f t="array" ref="F7">_xlfn.IFERROR(_xlfn.SUMIFS('Total Cases'!F2:F1312,'Total Cases'!A2:A1312,F$3,'Total Cases'!B2:B1312,$A7,'Total Cases'!C2:C1312,"Mimaropa"),0)</f>
        <v>344.797568288675</v>
      </c>
      <c r="G7" s="23" cm="1">
        <f t="array" ref="G7">_xlfn.IFERROR(_xlfn.SUMIFS('Total Cases'!F2:F1312,'Total Cases'!A2:A1312,G$3,'Total Cases'!B2:B1312,$A7,'Total Cases'!C2:C1312,"Mimaropa"),0)</f>
        <v>2252.372315561270</v>
      </c>
      <c r="H7" s="23" cm="1">
        <f t="array" ref="H7">_xlfn.IFERROR(_xlfn.SUMIFS('Total Cases'!F2:F1312,'Total Cases'!A2:A1312,H$3,'Total Cases'!B2:B1312,$A7,'Total Cases'!C2:C1312,"Mimaropa"),0)</f>
        <v>4236.738261671020</v>
      </c>
      <c r="I7" s="23" cm="1">
        <f t="array" ref="I7">_xlfn.IFERROR(_xlfn.SUMIFS('Total Cases'!F2:F1312,'Total Cases'!A2:A1312,I$3,'Total Cases'!B2:B1312,$A7,'Total Cases'!C2:C1312,"Mimaropa"),0)</f>
        <v>229.865045525783</v>
      </c>
      <c r="J7" s="23" cm="1">
        <f t="array" ref="J7">_xlfn.IFERROR(_xlfn.SUMIFS('Total Cases'!F2:F1312,'Total Cases'!A2:A1312,J$3,'Total Cases'!B2:B1312,$A7,'Total Cases'!C2:C1312,"Mimaropa"),0)</f>
        <v>0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Cases'!C2:C1312,"Mimaropa"),0)</f>
        <v>44.1841062261299</v>
      </c>
      <c r="C8" s="23" cm="1">
        <f t="array" ref="C8">_xlfn.IFERROR(_xlfn.SUMIFS('Total Cases'!F2:F1312,'Total Cases'!A2:A1312,C$3,'Total Cases'!B2:B1312,$A8,'Total Cases'!C2:C1312,"Mimaropa"),0)</f>
        <v>0</v>
      </c>
      <c r="D8" s="23" cm="1">
        <f t="array" ref="D8">_xlfn.IFERROR(_xlfn.SUMIFS('Total Cases'!F2:F1312,'Total Cases'!A2:A1312,D$3,'Total Cases'!B2:B1312,$A8,'Total Cases'!C2:C1312,"Mimaropa"),0)</f>
        <v>26.8036284215385</v>
      </c>
      <c r="E8" s="23" cm="1">
        <f t="array" ref="E8">_xlfn.IFERROR(_xlfn.SUMIFS('Total Cases'!F2:F1312,'Total Cases'!A2:A1312,E$3,'Total Cases'!B2:B1312,$A8,'Total Cases'!C2:C1312,"Mimaropa"),0)</f>
        <v>0</v>
      </c>
      <c r="F8" s="23" cm="1">
        <f t="array" ref="F8">_xlfn.IFERROR(_xlfn.SUMIFS('Total Cases'!F2:F1312,'Total Cases'!A2:A1312,F$3,'Total Cases'!B2:B1312,$A8,'Total Cases'!C2:C1312,"Mimaropa"),0)</f>
        <v>33.6541093462398</v>
      </c>
      <c r="G8" s="23" cm="1">
        <f t="array" ref="G8">_xlfn.IFERROR(_xlfn.SUMIFS('Total Cases'!F2:F1312,'Total Cases'!A2:A1312,G$3,'Total Cases'!B2:B1312,$A8,'Total Cases'!C2:C1312,"Mimaropa"),0)</f>
        <v>157.561061268129</v>
      </c>
      <c r="H8" s="23" cm="1">
        <f t="array" ref="H8">_xlfn.IFERROR(_xlfn.SUMIFS('Total Cases'!F2:F1312,'Total Cases'!A2:A1312,H$3,'Total Cases'!B2:B1312,$A8,'Total Cases'!C2:C1312,"Mimaropa"),0)</f>
        <v>201.505849383352</v>
      </c>
      <c r="I8" s="23" cm="1">
        <f t="array" ref="I8">_xlfn.IFERROR(_xlfn.SUMIFS('Total Cases'!F2:F1312,'Total Cases'!A2:A1312,I$3,'Total Cases'!B2:B1312,$A8,'Total Cases'!C2:C1312,"Mimaropa"),0)</f>
        <v>26.3249921997253</v>
      </c>
      <c r="J8" s="23" cm="1">
        <f t="array" ref="J8">_xlfn.IFERROR(_xlfn.SUMIFS('Total Cases'!F2:F1312,'Total Cases'!A2:A1312,J$3,'Total Cases'!B2:B1312,$A8,'Total Cases'!C2:C1312,"Mimaropa"),0)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Cases'!C2:C1312,"Mimaropa"),0)</f>
        <v>42.3293908666038</v>
      </c>
      <c r="C9" s="23" cm="1">
        <f t="array" ref="C9">_xlfn.IFERROR(_xlfn.SUMIFS('Total Cases'!F2:F1312,'Total Cases'!A2:A1312,C$3,'Total Cases'!B2:B1312,$A9,'Total Cases'!C2:C1312,"Mimaropa"),0)</f>
        <v>13.5214732662226</v>
      </c>
      <c r="D9" s="23" cm="1">
        <f t="array" ref="D9">_xlfn.IFERROR(_xlfn.SUMIFS('Total Cases'!F2:F1312,'Total Cases'!A2:A1312,D$3,'Total Cases'!B2:B1312,$A9,'Total Cases'!C2:C1312,"Mimaropa"),0)</f>
        <v>36.4960119132556</v>
      </c>
      <c r="E9" s="23" cm="1">
        <f t="array" ref="E9">_xlfn.IFERROR(_xlfn.SUMIFS('Total Cases'!F2:F1312,'Total Cases'!A2:A1312,E$3,'Total Cases'!B2:B1312,$A9,'Total Cases'!C2:C1312,"Mimaropa"),0)</f>
        <v>0</v>
      </c>
      <c r="F9" s="23" cm="1">
        <f t="array" ref="F9">_xlfn.IFERROR(_xlfn.SUMIFS('Total Cases'!F2:F1312,'Total Cases'!A2:A1312,F$3,'Total Cases'!B2:B1312,$A9,'Total Cases'!C2:C1312,"Mimaropa"),0)</f>
        <v>22.4659876613565</v>
      </c>
      <c r="G9" s="23" cm="1">
        <f t="array" ref="G9">_xlfn.IFERROR(_xlfn.SUMIFS('Total Cases'!F2:F1312,'Total Cases'!A2:A1312,G$3,'Total Cases'!B2:B1312,$A9,'Total Cases'!C2:C1312,"Mimaropa"),0)</f>
        <v>253.437879450083</v>
      </c>
      <c r="H9" s="23" cm="1">
        <f t="array" ref="H9">_xlfn.IFERROR(_xlfn.SUMIFS('Total Cases'!F2:F1312,'Total Cases'!A2:A1312,H$3,'Total Cases'!B2:B1312,$A9,'Total Cases'!C2:C1312,"Mimaropa"),0)</f>
        <v>159.924327613331</v>
      </c>
      <c r="I9" s="23" cm="1">
        <f t="array" ref="I9">_xlfn.IFERROR(_xlfn.SUMIFS('Total Cases'!F2:F1312,'Total Cases'!A2:A1312,I$3,'Total Cases'!B2:B1312,$A9,'Total Cases'!C2:C1312,"Mimaropa"),0)</f>
        <v>32.0087973337569</v>
      </c>
      <c r="J9" s="23" cm="1">
        <f t="array" ref="J9">_xlfn.IFERROR(_xlfn.SUMIFS('Total Cases'!F2:F1312,'Total Cases'!A2:A1312,J$3,'Total Cases'!B2:B1312,$A9,'Total Cases'!C2:C1312,"Mimaropa"),0)</f>
        <v>0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Cases'!C2:C1312,"Mimaropa"),0)</f>
        <v>44.6328276840798</v>
      </c>
      <c r="C10" s="23" cm="1">
        <f t="array" ref="C10">_xlfn.IFERROR(_xlfn.SUMIFS('Total Cases'!F2:F1312,'Total Cases'!A2:A1312,C$3,'Total Cases'!B2:B1312,$A10,'Total Cases'!C2:C1312,"Mimaropa"),0)</f>
        <v>0</v>
      </c>
      <c r="D10" s="23" cm="1">
        <f t="array" ref="D10">_xlfn.IFERROR(_xlfn.SUMIFS('Total Cases'!F2:F1312,'Total Cases'!A2:A1312,D$3,'Total Cases'!B2:B1312,$A10,'Total Cases'!C2:C1312,"Mimaropa"),0)</f>
        <v>34.6412965537295</v>
      </c>
      <c r="E10" s="23" cm="1">
        <f t="array" ref="E10">_xlfn.IFERROR(_xlfn.SUMIFS('Total Cases'!F2:F1312,'Total Cases'!A2:A1312,E$3,'Total Cases'!B2:B1312,$A10,'Total Cases'!C2:C1312,"Mimaropa"),0)</f>
        <v>0</v>
      </c>
      <c r="F10" s="23" cm="1">
        <f t="array" ref="F10">_xlfn.IFERROR(_xlfn.SUMIFS('Total Cases'!F2:F1312,'Total Cases'!A2:A1312,F$3,'Total Cases'!B2:B1312,$A10,'Total Cases'!C2:C1312,"Mimaropa"),0)</f>
        <v>36.4361823855289</v>
      </c>
      <c r="G10" s="23" cm="1">
        <f t="array" ref="G10">_xlfn.IFERROR(_xlfn.SUMIFS('Total Cases'!F2:F1312,'Total Cases'!A2:A1312,G$3,'Total Cases'!B2:B1312,$A10,'Total Cases'!C2:C1312,"Mimaropa"),0)</f>
        <v>186.368978868510</v>
      </c>
      <c r="H10" s="23" cm="1">
        <f t="array" ref="H10">_xlfn.IFERROR(_xlfn.SUMIFS('Total Cases'!F2:F1312,'Total Cases'!A2:A1312,H$3,'Total Cases'!B2:B1312,$A10,'Total Cases'!C2:C1312,"Mimaropa"),0)</f>
        <v>193.249374557075</v>
      </c>
      <c r="I10" s="23" cm="1">
        <f t="array" ref="I10">_xlfn.IFERROR(_xlfn.SUMIFS('Total Cases'!F2:F1312,'Total Cases'!A2:A1312,I$3,'Total Cases'!B2:B1312,$A10,'Total Cases'!C2:C1312,"Mimaropa"),0)</f>
        <v>31.6199054035337</v>
      </c>
      <c r="J10" s="23" cm="1">
        <f t="array" ref="J10">_xlfn.IFERROR(_xlfn.SUMIFS('Total Cases'!F2:F1312,'Total Cases'!A2:A1312,J$3,'Total Cases'!B2:B1312,$A10,'Total Cases'!C2:C1312,"Mimaropa"),0)</f>
        <v>0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Cases'!C2:C1312,"Mimaropa"),0)</f>
        <v>42.8678566161436</v>
      </c>
      <c r="C11" s="23" cm="1">
        <f t="array" ref="C11">_xlfn.IFERROR(_xlfn.SUMIFS('Total Cases'!F2:F1312,'Total Cases'!A2:A1312,C$3,'Total Cases'!B2:B1312,$A11,'Total Cases'!C2:C1312,"Mimaropa"),0)</f>
        <v>0</v>
      </c>
      <c r="D11" s="23" cm="1">
        <f t="array" ref="D11">_xlfn.IFERROR(_xlfn.SUMIFS('Total Cases'!F2:F1312,'Total Cases'!A2:A1312,D$3,'Total Cases'!B2:B1312,$A11,'Total Cases'!C2:C1312,"Mimaropa"),0)</f>
        <v>35.6583985250825</v>
      </c>
      <c r="E11" s="23" cm="1">
        <f t="array" ref="E11">_xlfn.IFERROR(_xlfn.SUMIFS('Total Cases'!F2:F1312,'Total Cases'!A2:A1312,E$3,'Total Cases'!B2:B1312,$A11,'Total Cases'!C2:C1312,"Mimaropa"),0)</f>
        <v>0</v>
      </c>
      <c r="F11" s="23" cm="1">
        <f t="array" ref="F11">_xlfn.IFERROR(_xlfn.SUMIFS('Total Cases'!F2:F1312,'Total Cases'!A2:A1312,F$3,'Total Cases'!B2:B1312,$A11,'Total Cases'!C2:C1312,"Mimaropa"),0)</f>
        <v>32.2481154446635</v>
      </c>
      <c r="G11" s="23" cm="1">
        <f t="array" ref="G11">_xlfn.IFERROR(_xlfn.SUMIFS('Total Cases'!F2:F1312,'Total Cases'!A2:A1312,G$3,'Total Cases'!B2:B1312,$A11,'Total Cases'!C2:C1312,"Mimaropa"),0)</f>
        <v>145.026775209396</v>
      </c>
      <c r="H11" s="23" cm="1">
        <f t="array" ref="H11">_xlfn.IFERROR(_xlfn.SUMIFS('Total Cases'!F2:F1312,'Total Cases'!A2:A1312,H$3,'Total Cases'!B2:B1312,$A11,'Total Cases'!C2:C1312,"Mimaropa"),0)</f>
        <v>214.937578357985</v>
      </c>
      <c r="I11" s="23" cm="1">
        <f t="array" ref="I11">_xlfn.IFERROR(_xlfn.SUMIFS('Total Cases'!F2:F1312,'Total Cases'!A2:A1312,I$3,'Total Cases'!B2:B1312,$A11,'Total Cases'!C2:C1312,"Mimaropa"),0)</f>
        <v>0</v>
      </c>
      <c r="J11" s="23" cm="1">
        <f t="array" ref="J11">_xlfn.IFERROR(_xlfn.SUMIFS('Total Cases'!F2:F1312,'Total Cases'!A2:A1312,J$3,'Total Cases'!B2:B1312,$A11,'Total Cases'!C2:C1312,"Mimaropa"),0)</f>
        <v>13.4317289746326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Cases'!C2:C1312,"Mimaropa"),0)</f>
        <v>33.1455583605632</v>
      </c>
      <c r="C12" s="23" cm="1">
        <f t="array" ref="C12">_xlfn.IFERROR(_xlfn.SUMIFS('Total Cases'!F2:F1312,'Total Cases'!A2:A1312,C$3,'Total Cases'!B2:B1312,$A12,'Total Cases'!C2:C1312,"Mimaropa"),0)</f>
        <v>11.068462629430</v>
      </c>
      <c r="D12" s="23" cm="1">
        <f t="array" ref="D12">_xlfn.IFERROR(_xlfn.SUMIFS('Total Cases'!F2:F1312,'Total Cases'!A2:A1312,D$3,'Total Cases'!B2:B1312,$A12,'Total Cases'!C2:C1312,"Mimaropa"),0)</f>
        <v>28.8677471281079</v>
      </c>
      <c r="E12" s="23" cm="1">
        <f t="array" ref="E12">_xlfn.IFERROR(_xlfn.SUMIFS('Total Cases'!F2:F1312,'Total Cases'!A2:A1312,E$3,'Total Cases'!B2:B1312,$A12,'Total Cases'!C2:C1312,"Mimaropa"),0)</f>
        <v>0</v>
      </c>
      <c r="F12" s="23" cm="1">
        <f t="array" ref="F12">_xlfn.IFERROR(_xlfn.SUMIFS('Total Cases'!F2:F1312,'Total Cases'!A2:A1312,F$3,'Total Cases'!B2:B1312,$A12,'Total Cases'!C2:C1312,"Mimaropa"),0)</f>
        <v>17.8890287902679</v>
      </c>
      <c r="G12" s="23" cm="1">
        <f t="array" ref="G12">_xlfn.IFERROR(_xlfn.SUMIFS('Total Cases'!F2:F1312,'Total Cases'!A2:A1312,G$3,'Total Cases'!B2:B1312,$A12,'Total Cases'!C2:C1312,"Mimaropa"),0)</f>
        <v>142.633594100330</v>
      </c>
      <c r="H12" s="23" cm="1">
        <f t="array" ref="H12">_xlfn.IFERROR(_xlfn.SUMIFS('Total Cases'!F2:F1312,'Total Cases'!A2:A1312,H$3,'Total Cases'!B2:B1312,$A12,'Total Cases'!C2:C1312,"Mimaropa"),0)</f>
        <v>205.454598213311</v>
      </c>
      <c r="I12" s="23" cm="1">
        <f t="array" ref="I12">_xlfn.IFERROR(_xlfn.SUMIFS('Total Cases'!F2:F1312,'Total Cases'!A2:A1312,I$3,'Total Cases'!B2:B1312,$A12,'Total Cases'!C2:C1312,"Mimaropa"),0)</f>
        <v>0</v>
      </c>
      <c r="J12" s="23" cm="1">
        <f t="array" ref="J12">_xlfn.IFERROR(_xlfn.SUMIFS('Total Cases'!F2:F1312,'Total Cases'!A2:A1312,J$3,'Total Cases'!B2:B1312,$A12,'Total Cases'!C2:C1312,"Mimaropa"),0)</f>
        <v>16.1838872500584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Cases'!C2:C1312,"Mimaropa"),0)</f>
        <v>56.2696708269129</v>
      </c>
      <c r="C13" s="23" cm="1">
        <f t="array" ref="C13">_xlfn.IFERROR(_xlfn.SUMIFS('Total Cases'!F2:F1312,'Total Cases'!A2:A1312,C$3,'Total Cases'!B2:B1312,$A13,'Total Cases'!C2:C1312,"Mimaropa"),0)</f>
        <v>0</v>
      </c>
      <c r="D13" s="23" cm="1">
        <f t="array" ref="D13">_xlfn.IFERROR(_xlfn.SUMIFS('Total Cases'!F2:F1312,'Total Cases'!A2:A1312,D$3,'Total Cases'!B2:B1312,$A13,'Total Cases'!C2:C1312,"Mimaropa"),0)</f>
        <v>38.1712386896017</v>
      </c>
      <c r="E13" s="23" cm="1">
        <f t="array" ref="E13">_xlfn.IFERROR(_xlfn.SUMIFS('Total Cases'!F2:F1312,'Total Cases'!A2:A1312,E$3,'Total Cases'!B2:B1312,$A13,'Total Cases'!C2:C1312,"Mimaropa"),0)</f>
        <v>0</v>
      </c>
      <c r="F13" s="23" cm="1">
        <f t="array" ref="F13">_xlfn.IFERROR(_xlfn.SUMIFS('Total Cases'!F2:F1312,'Total Cases'!A2:A1312,F$3,'Total Cases'!B2:B1312,$A13,'Total Cases'!C2:C1312,"Mimaropa"),0)</f>
        <v>30.1839967380941</v>
      </c>
      <c r="G13" s="23" cm="1">
        <f t="array" ref="G13">_xlfn.IFERROR(_xlfn.SUMIFS('Total Cases'!F2:F1312,'Total Cases'!A2:A1312,G$3,'Total Cases'!B2:B1312,$A13,'Total Cases'!C2:C1312,"Mimaropa"),0)</f>
        <v>132.4625743868</v>
      </c>
      <c r="H13" s="23" cm="1">
        <f t="array" ref="H13">_xlfn.IFERROR(_xlfn.SUMIFS('Total Cases'!F2:F1312,'Total Cases'!A2:A1312,H$3,'Total Cases'!B2:B1312,$A13,'Total Cases'!C2:C1312,"Mimaropa"),0)</f>
        <v>334.566719047418</v>
      </c>
      <c r="I13" s="23" cm="1">
        <f t="array" ref="I13">_xlfn.IFERROR(_xlfn.SUMIFS('Total Cases'!F2:F1312,'Total Cases'!A2:A1312,I$3,'Total Cases'!B2:B1312,$A13,'Total Cases'!C2:C1312,"Mimaropa"),0)</f>
        <v>0</v>
      </c>
      <c r="J13" s="23" cm="1">
        <f t="array" ref="J13">_xlfn.IFERROR(_xlfn.SUMIFS('Total Cases'!F2:F1312,'Total Cases'!A2:A1312,J$3,'Total Cases'!B2:B1312,$A13,'Total Cases'!C2:C1312,"Mimaropa"),0)</f>
        <v>0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Cases'!C2:C1312,"Mimaropa"),0)</f>
        <v>38.5302158559616</v>
      </c>
      <c r="C14" s="23" cm="1">
        <f t="array" ref="C14">_xlfn.IFERROR(_xlfn.SUMIFS('Total Cases'!F2:F1312,'Total Cases'!A2:A1312,C$3,'Total Cases'!B2:B1312,$A14,'Total Cases'!C2:C1312,"Mimaropa"),0)</f>
        <v>0</v>
      </c>
      <c r="D14" s="23" cm="1">
        <f t="array" ref="D14">_xlfn.IFERROR(_xlfn.SUMIFS('Total Cases'!F2:F1312,'Total Cases'!A2:A1312,D$3,'Total Cases'!B2:B1312,$A14,'Total Cases'!C2:C1312,"Mimaropa"),0)</f>
        <v>21.2993118706869</v>
      </c>
      <c r="E14" s="23" cm="1">
        <f t="array" ref="E14">_xlfn.IFERROR(_xlfn.SUMIFS('Total Cases'!F2:F1312,'Total Cases'!A2:A1312,E$3,'Total Cases'!B2:B1312,$A14,'Total Cases'!C2:C1312,"Mimaropa"),0)</f>
        <v>0</v>
      </c>
      <c r="F14" s="23" cm="1">
        <f t="array" ref="F14">_xlfn.IFERROR(_xlfn.SUMIFS('Total Cases'!F2:F1312,'Total Cases'!A2:A1312,F$3,'Total Cases'!B2:B1312,$A14,'Total Cases'!C2:C1312,"Mimaropa"),0)</f>
        <v>16.0343134307418</v>
      </c>
      <c r="G14" s="23" cm="1">
        <f t="array" ref="G14">_xlfn.IFERROR(_xlfn.SUMIFS('Total Cases'!F2:F1312,'Total Cases'!A2:A1312,G$3,'Total Cases'!B2:B1312,$A14,'Total Cases'!C2:C1312,"Mimaropa"),0)</f>
        <v>94.2315061694713</v>
      </c>
      <c r="H14" s="23" cm="1">
        <f t="array" ref="H14">_xlfn.IFERROR(_xlfn.SUMIFS('Total Cases'!F2:F1312,'Total Cases'!A2:A1312,H$3,'Total Cases'!B2:B1312,$A14,'Total Cases'!C2:C1312,"Mimaropa"),0)</f>
        <v>225.557319529465</v>
      </c>
      <c r="I14" s="23" cm="1">
        <f t="array" ref="I14">_xlfn.IFERROR(_xlfn.SUMIFS('Total Cases'!F2:F1312,'Total Cases'!A2:A1312,I$3,'Total Cases'!B2:B1312,$A14,'Total Cases'!C2:C1312,"Mimaropa"),0)</f>
        <v>0</v>
      </c>
      <c r="J14" s="23" cm="1">
        <f t="array" ref="J14">_xlfn.IFERROR(_xlfn.SUMIFS('Total Cases'!F2:F1312,'Total Cases'!A2:A1312,J$3,'Total Cases'!B2:B1312,$A14,'Total Cases'!C2:C1312,"Mimaropa"),0)</f>
        <v>13.7009618494025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Cases'!C2:C1312,"Mimaropa"),0)</f>
        <v>33.1754731244266</v>
      </c>
      <c r="C15" s="23" cm="1">
        <f t="array" ref="C15">_xlfn.IFERROR(_xlfn.SUMIFS('Total Cases'!F2:F1312,'Total Cases'!A2:A1312,C$3,'Total Cases'!B2:B1312,$A15,'Total Cases'!C2:C1312,"Mimaropa"),0)</f>
        <v>0</v>
      </c>
      <c r="D15" s="23" cm="1">
        <f t="array" ref="D15">_xlfn.IFERROR(_xlfn.SUMIFS('Total Cases'!F2:F1312,'Total Cases'!A2:A1312,D$3,'Total Cases'!B2:B1312,$A15,'Total Cases'!C2:C1312,"Mimaropa"),0)</f>
        <v>25.1284016451924</v>
      </c>
      <c r="E15" s="23" cm="1">
        <f t="array" ref="E15">_xlfn.IFERROR(_xlfn.SUMIFS('Total Cases'!F2:F1312,'Total Cases'!A2:A1312,E$3,'Total Cases'!B2:B1312,$A15,'Total Cases'!C2:C1312,"Mimaropa"),0)</f>
        <v>0</v>
      </c>
      <c r="F15" s="23" cm="1">
        <f t="array" ref="F15">_xlfn.IFERROR(_xlfn.SUMIFS('Total Cases'!F2:F1312,'Total Cases'!A2:A1312,F$3,'Total Cases'!B2:B1312,$A15,'Total Cases'!C2:C1312,"Mimaropa"),0)</f>
        <v>25.7865264501855</v>
      </c>
      <c r="G15" s="23" cm="1">
        <f t="array" ref="G15">_xlfn.IFERROR(_xlfn.SUMIFS('Total Cases'!F2:F1312,'Total Cases'!A2:A1312,G$3,'Total Cases'!B2:B1312,$A15,'Total Cases'!C2:C1312,"Mimaropa"),0)</f>
        <v>151.608023259327</v>
      </c>
      <c r="H15" s="23" cm="1">
        <f t="array" ref="H15">_xlfn.IFERROR(_xlfn.SUMIFS('Total Cases'!F2:F1312,'Total Cases'!A2:A1312,H$3,'Total Cases'!B2:B1312,$A15,'Total Cases'!C2:C1312,"Mimaropa"),0)</f>
        <v>269.801255283321</v>
      </c>
      <c r="I15" s="23" cm="1">
        <f t="array" ref="I15">_xlfn.IFERROR(_xlfn.SUMIFS('Total Cases'!F2:F1312,'Total Cases'!A2:A1312,I$3,'Total Cases'!B2:B1312,$A15,'Total Cases'!C2:C1312,"Mimaropa"),0)</f>
        <v>0</v>
      </c>
      <c r="J15" s="23" cm="1">
        <f t="array" ref="J15">_xlfn.IFERROR(_xlfn.SUMIFS('Total Cases'!F2:F1312,'Total Cases'!A2:A1312,J$3,'Total Cases'!B2:B1312,$A15,'Total Cases'!C2:C1312,"Mimaropa"),0)</f>
        <v>12.8334336973661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1" customWidth="1"/>
    <col min="2" max="10" width="16" style="61" customWidth="1"/>
    <col min="11" max="16384" width="8.67188" style="61" customWidth="1"/>
  </cols>
  <sheetData>
    <row r="1" ht="18.5" customHeight="1">
      <c r="A1" t="s" s="39">
        <v>81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45">
        <v>35</v>
      </c>
      <c r="G3" t="s" s="55">
        <v>48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Cases'!C2:C1312,"Bicol"),0)</f>
        <v>0</v>
      </c>
      <c r="C4" s="23" cm="1">
        <f t="array" ref="C4">_xlfn.IFERROR(_xlfn.SUMIFS('Total Cases'!F2:F1312,'Total Cases'!A2:A1312,C$3,'Total Cases'!B2:B1312,$A4,'Total Cases'!C2:C1312,"Bicol"),0)</f>
        <v>0</v>
      </c>
      <c r="D4" s="23" cm="1">
        <f t="array" ref="D4">_xlfn.IFERROR(_xlfn.SUMIFS('Total Cases'!F2:F1312,'Total Cases'!A2:A1312,D$3,'Total Cases'!B2:B1312,$A4,'Total Cases'!C2:C1312,"Bicol"),0)</f>
        <v>0</v>
      </c>
      <c r="E4" s="23" cm="1">
        <f t="array" ref="E4">_xlfn.IFERROR(_xlfn.SUMIFS('Total Cases'!F2:F1312,'Total Cases'!A2:A1312,E$3,'Total Cases'!B2:B1312,$A4,'Total Cases'!C2:C1312,"Bicol"),0)</f>
        <v>0</v>
      </c>
      <c r="F4" s="23" cm="1">
        <f t="array" ref="F4">_xlfn.IFERROR(_xlfn.SUMIFS('Total Cases'!F2:F1312,'Total Cases'!A2:A1312,F$3,'Total Cases'!B2:B1312,$A4,'Total Cases'!C2:C1312,"Bicol"),0)</f>
        <v>0</v>
      </c>
      <c r="G4" s="23" cm="1">
        <f t="array" ref="G4">_xlfn.IFERROR(_xlfn.SUMIFS('Total Cases'!F2:F1312,'Total Cases'!A2:A1312,G$3,'Total Cases'!B2:B1312,$A4,'Total Cases'!C2:C1312,"Bicol"),0)</f>
        <v>0</v>
      </c>
      <c r="H4" s="23" cm="1">
        <f t="array" ref="H4">_xlfn.IFERROR(_xlfn.SUMIFS('Total Cases'!F2:F1312,'Total Cases'!A2:A1312,H$3,'Total Cases'!B2:B1312,$A4,'Total Cases'!C2:C1312,"Bicol"),0)</f>
        <v>0</v>
      </c>
      <c r="I4" s="23" cm="1">
        <f t="array" ref="I4">_xlfn.IFERROR(_xlfn.SUMIFS('Total Cases'!F2:F1312,'Total Cases'!A2:A1312,I$3,'Total Cases'!B2:B1312,$A4,'Total Cases'!C2:C1312,"Bicol"),0)</f>
        <v>0</v>
      </c>
      <c r="J4" s="23" cm="1">
        <f t="array" ref="J4">_xlfn.IFERROR(_xlfn.SUMIFS('Total Cases'!F2:F1312,'Total Cases'!A2:A1312,J$3,'Total Cases'!B2:B1312,$A4,'Total Cases'!C2:C1312,"Bicol"),0)</f>
        <v>0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Cases'!C2:C1312,"Bicol"),0)</f>
        <v>0</v>
      </c>
      <c r="C5" s="23" cm="1">
        <f t="array" ref="C5">_xlfn.IFERROR(_xlfn.SUMIFS('Total Cases'!F2:F1312,'Total Cases'!A2:A1312,C$3,'Total Cases'!B2:B1312,$A5,'Total Cases'!C2:C1312,"Bicol"),0)</f>
        <v>0</v>
      </c>
      <c r="D5" s="23" cm="1">
        <f t="array" ref="D5">_xlfn.IFERROR(_xlfn.SUMIFS('Total Cases'!F2:F1312,'Total Cases'!A2:A1312,D$3,'Total Cases'!B2:B1312,$A5,'Total Cases'!C2:C1312,"Bicol"),0)</f>
        <v>0</v>
      </c>
      <c r="E5" s="23" cm="1">
        <f t="array" ref="E5">_xlfn.IFERROR(_xlfn.SUMIFS('Total Cases'!F2:F1312,'Total Cases'!A2:A1312,E$3,'Total Cases'!B2:B1312,$A5,'Total Cases'!C2:C1312,"Bicol"),0)</f>
        <v>0</v>
      </c>
      <c r="F5" s="23" cm="1">
        <f t="array" ref="F5">_xlfn.IFERROR(_xlfn.SUMIFS('Total Cases'!F2:F1312,'Total Cases'!A2:A1312,F$3,'Total Cases'!B2:B1312,$A5,'Total Cases'!C2:C1312,"Bicol"),0)</f>
        <v>0</v>
      </c>
      <c r="G5" s="23" cm="1">
        <f t="array" ref="G5">_xlfn.IFERROR(_xlfn.SUMIFS('Total Cases'!F2:F1312,'Total Cases'!A2:A1312,G$3,'Total Cases'!B2:B1312,$A5,'Total Cases'!C2:C1312,"Bicol"),0)</f>
        <v>0</v>
      </c>
      <c r="H5" s="23" cm="1">
        <f t="array" ref="H5">_xlfn.IFERROR(_xlfn.SUMIFS('Total Cases'!F2:F1312,'Total Cases'!A2:A1312,H$3,'Total Cases'!B2:B1312,$A5,'Total Cases'!C2:C1312,"Bicol"),0)</f>
        <v>0</v>
      </c>
      <c r="I5" s="23" cm="1">
        <f t="array" ref="I5">_xlfn.IFERROR(_xlfn.SUMIFS('Total Cases'!F2:F1312,'Total Cases'!A2:A1312,I$3,'Total Cases'!B2:B1312,$A5,'Total Cases'!C2:C1312,"Bicol"),0)</f>
        <v>0</v>
      </c>
      <c r="J5" s="23" cm="1">
        <f t="array" ref="J5">_xlfn.IFERROR(_xlfn.SUMIFS('Total Cases'!F2:F1312,'Total Cases'!A2:A1312,J$3,'Total Cases'!B2:B1312,$A5,'Total Cases'!C2:C1312,"Bicol"),0)</f>
        <v>0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Cases'!C2:C1312,"Bicol"),0)</f>
        <v>115.776162958818</v>
      </c>
      <c r="C6" s="23" cm="1">
        <f t="array" ref="C6">_xlfn.IFERROR(_xlfn.SUMIFS('Total Cases'!F2:F1312,'Total Cases'!A2:A1312,C$3,'Total Cases'!B2:B1312,$A6,'Total Cases'!C2:C1312,"Bicol"),0)</f>
        <v>38.6702075280296</v>
      </c>
      <c r="D6" s="23" cm="1">
        <f t="array" ref="D6">_xlfn.IFERROR(_xlfn.SUMIFS('Total Cases'!F2:F1312,'Total Cases'!A2:A1312,D$3,'Total Cases'!B2:B1312,$A6,'Total Cases'!C2:C1312,"Bicol"),0)</f>
        <v>40.6709296636755</v>
      </c>
      <c r="E6" s="23" cm="1">
        <f t="array" ref="E6">_xlfn.IFERROR(_xlfn.SUMIFS('Total Cases'!F2:F1312,'Total Cases'!A2:A1312,E$3,'Total Cases'!B2:B1312,$A6,'Total Cases'!C2:C1312,"Bicol"),0)</f>
        <v>38.7952526615075</v>
      </c>
      <c r="F6" s="23" cm="1">
        <f t="array" ref="F6">_xlfn.IFERROR(_xlfn.SUMIFS('Total Cases'!F2:F1312,'Total Cases'!A2:A1312,F$3,'Total Cases'!B2:B1312,$A6,'Total Cases'!C2:C1312,"Bicol"),0)</f>
        <v>62.1786926218682</v>
      </c>
      <c r="G6" s="23" cm="1">
        <f t="array" ref="G6">_xlfn.IFERROR(_xlfn.SUMIFS('Total Cases'!F2:F1312,'Total Cases'!A2:A1312,G$3,'Total Cases'!B2:B1312,$A6,'Total Cases'!C2:C1312,"Bicol"),0)</f>
        <v>0</v>
      </c>
      <c r="H6" s="23" cm="1">
        <f t="array" ref="H6">_xlfn.IFERROR(_xlfn.SUMIFS('Total Cases'!F2:F1312,'Total Cases'!A2:A1312,H$3,'Total Cases'!B2:B1312,$A6,'Total Cases'!C2:C1312,"Bicol"),0)</f>
        <v>318.443063043067</v>
      </c>
      <c r="I6" s="23" cm="1">
        <f t="array" ref="I6">_xlfn.IFERROR(_xlfn.SUMIFS('Total Cases'!F2:F1312,'Total Cases'!A2:A1312,I$3,'Total Cases'!B2:B1312,$A6,'Total Cases'!C2:C1312,"Bicol"),0)</f>
        <v>0</v>
      </c>
      <c r="J6" s="23" cm="1">
        <f t="array" ref="J6">_xlfn.IFERROR(_xlfn.SUMIFS('Total Cases'!F2:F1312,'Total Cases'!A2:A1312,J$3,'Total Cases'!B2:B1312,$A6,'Total Cases'!C2:C1312,"Bicol"),0)</f>
        <v>50.2525130164169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Cases'!C2:C1312,"Bicol"),0)</f>
        <v>1731.718792251580</v>
      </c>
      <c r="C7" s="23" cm="1">
        <f t="array" ref="C7">_xlfn.IFERROR(_xlfn.SUMIFS('Total Cases'!F2:F1312,'Total Cases'!A2:A1312,C$3,'Total Cases'!B2:B1312,$A7,'Total Cases'!C2:C1312,"Bicol"),0)</f>
        <v>369.508369427090</v>
      </c>
      <c r="D7" s="23" cm="1">
        <f t="array" ref="D7">_xlfn.IFERROR(_xlfn.SUMIFS('Total Cases'!F2:F1312,'Total Cases'!A2:A1312,D$3,'Total Cases'!B2:B1312,$A7,'Total Cases'!C2:C1312,"Bicol"),0)</f>
        <v>446.176666890706</v>
      </c>
      <c r="E7" s="23" cm="1">
        <f t="array" ref="E7">_xlfn.IFERROR(_xlfn.SUMIFS('Total Cases'!F2:F1312,'Total Cases'!A2:A1312,E$3,'Total Cases'!B2:B1312,$A7,'Total Cases'!C2:C1312,"Bicol"),0)</f>
        <v>0</v>
      </c>
      <c r="F7" s="23" cm="1">
        <f t="array" ref="F7">_xlfn.IFERROR(_xlfn.SUMIFS('Total Cases'!F2:F1312,'Total Cases'!A2:A1312,F$3,'Total Cases'!B2:B1312,$A7,'Total Cases'!C2:C1312,"Bicol"),0)</f>
        <v>936.666202957630</v>
      </c>
      <c r="G7" s="23" cm="1">
        <f t="array" ref="G7">_xlfn.IFERROR(_xlfn.SUMIFS('Total Cases'!F2:F1312,'Total Cases'!A2:A1312,G$3,'Total Cases'!B2:B1312,$A7,'Total Cases'!C2:C1312,"Bicol"),0)</f>
        <v>0</v>
      </c>
      <c r="H7" s="23" cm="1">
        <f t="array" ref="H7">_xlfn.IFERROR(_xlfn.SUMIFS('Total Cases'!F2:F1312,'Total Cases'!A2:A1312,H$3,'Total Cases'!B2:B1312,$A7,'Total Cases'!C2:C1312,"Bicol"),0)</f>
        <v>3200.608344574370</v>
      </c>
      <c r="I7" s="23" cm="1">
        <f t="array" ref="I7">_xlfn.IFERROR(_xlfn.SUMIFS('Total Cases'!F2:F1312,'Total Cases'!A2:A1312,I$3,'Total Cases'!B2:B1312,$A7,'Total Cases'!C2:C1312,"Bicol"),0)</f>
        <v>560.124044772410</v>
      </c>
      <c r="J7" s="23" cm="1">
        <f t="array" ref="J7">_xlfn.IFERROR(_xlfn.SUMIFS('Total Cases'!F2:F1312,'Total Cases'!A2:A1312,J$3,'Total Cases'!B2:B1312,$A7,'Total Cases'!C2:C1312,"Bicol"),0)</f>
        <v>358.019847788811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Cases'!C2:C1312,"Bicol"),0)</f>
        <v>120.434094180868</v>
      </c>
      <c r="C8" s="23" cm="1">
        <f t="array" ref="C8">_xlfn.IFERROR(_xlfn.SUMIFS('Total Cases'!F2:F1312,'Total Cases'!A2:A1312,C$3,'Total Cases'!B2:B1312,$A8,'Total Cases'!C2:C1312,"Bicol"),0)</f>
        <v>27.1973165314356</v>
      </c>
      <c r="D8" s="23" cm="1">
        <f t="array" ref="D8">_xlfn.IFERROR(_xlfn.SUMIFS('Total Cases'!F2:F1312,'Total Cases'!A2:A1312,D$3,'Total Cases'!B2:B1312,$A8,'Total Cases'!C2:C1312,"Bicol"),0)</f>
        <v>28.6509662081157</v>
      </c>
      <c r="E8" s="23" cm="1">
        <f t="array" ref="E8">_xlfn.IFERROR(_xlfn.SUMIFS('Total Cases'!F2:F1312,'Total Cases'!A2:A1312,E$3,'Total Cases'!B2:B1312,$A8,'Total Cases'!C2:C1312,"Bicol"),0)</f>
        <v>0</v>
      </c>
      <c r="F8" s="23" cm="1">
        <f t="array" ref="F8">_xlfn.IFERROR(_xlfn.SUMIFS('Total Cases'!F2:F1312,'Total Cases'!A2:A1312,F$3,'Total Cases'!B2:B1312,$A8,'Total Cases'!C2:C1312,"Bicol"),0)</f>
        <v>75.0114494450341</v>
      </c>
      <c r="G8" s="23" cm="1">
        <f t="array" ref="G8">_xlfn.IFERROR(_xlfn.SUMIFS('Total Cases'!F2:F1312,'Total Cases'!A2:A1312,G$3,'Total Cases'!B2:B1312,$A8,'Total Cases'!C2:C1312,"Bicol"),0)</f>
        <v>0</v>
      </c>
      <c r="H8" s="23" cm="1">
        <f t="array" ref="H8">_xlfn.IFERROR(_xlfn.SUMIFS('Total Cases'!F2:F1312,'Total Cases'!A2:A1312,H$3,'Total Cases'!B2:B1312,$A8,'Total Cases'!C2:C1312,"Bicol"),0)</f>
        <v>249.355626796547</v>
      </c>
      <c r="I8" s="23" cm="1">
        <f t="array" ref="I8">_xlfn.IFERROR(_xlfn.SUMIFS('Total Cases'!F2:F1312,'Total Cases'!A2:A1312,I$3,'Total Cases'!B2:B1312,$A8,'Total Cases'!C2:C1312,"Bicol"),0)</f>
        <v>52.9253527445062</v>
      </c>
      <c r="J8" s="23" cm="1">
        <f t="array" ref="J8">_xlfn.IFERROR(_xlfn.SUMIFS('Total Cases'!F2:F1312,'Total Cases'!A2:A1312,J$3,'Total Cases'!B2:B1312,$A8,'Total Cases'!C2:C1312,"Bicol"),0)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Cases'!C2:C1312,"Bicol"),0)</f>
        <v>118.136389853213</v>
      </c>
      <c r="C9" s="23" cm="1">
        <f t="array" ref="C9">_xlfn.IFERROR(_xlfn.SUMIFS('Total Cases'!F2:F1312,'Total Cases'!A2:A1312,C$3,'Total Cases'!B2:B1312,$A9,'Total Cases'!C2:C1312,"Bicol"),0)</f>
        <v>26.4001538055142</v>
      </c>
      <c r="D9" s="23" cm="1">
        <f t="array" ref="D9">_xlfn.IFERROR(_xlfn.SUMIFS('Total Cases'!F2:F1312,'Total Cases'!A2:A1312,D$3,'Total Cases'!B2:B1312,$A9,'Total Cases'!C2:C1312,"Bicol"),0)</f>
        <v>42.4997147407893</v>
      </c>
      <c r="E9" s="23" cm="1">
        <f t="array" ref="E9">_xlfn.IFERROR(_xlfn.SUMIFS('Total Cases'!F2:F1312,'Total Cases'!A2:A1312,E$3,'Total Cases'!B2:B1312,$A9,'Total Cases'!C2:C1312,"Bicol"),0)</f>
        <v>0</v>
      </c>
      <c r="F9" s="23" cm="1">
        <f t="array" ref="F9">_xlfn.IFERROR(_xlfn.SUMIFS('Total Cases'!F2:F1312,'Total Cases'!A2:A1312,F$3,'Total Cases'!B2:B1312,$A9,'Total Cases'!C2:C1312,"Bicol"),0)</f>
        <v>156.900381231351</v>
      </c>
      <c r="G9" s="23" cm="1">
        <f t="array" ref="G9">_xlfn.IFERROR(_xlfn.SUMIFS('Total Cases'!F2:F1312,'Total Cases'!A2:A1312,G$3,'Total Cases'!B2:B1312,$A9,'Total Cases'!C2:C1312,"Bicol"),0)</f>
        <v>0</v>
      </c>
      <c r="H9" s="23" cm="1">
        <f t="array" ref="H9">_xlfn.IFERROR(_xlfn.SUMIFS('Total Cases'!F2:F1312,'Total Cases'!A2:A1312,H$3,'Total Cases'!B2:B1312,$A9,'Total Cases'!C2:C1312,"Bicol"),0)</f>
        <v>240.258593336032</v>
      </c>
      <c r="I9" s="23" cm="1">
        <f t="array" ref="I9">_xlfn.IFERROR(_xlfn.SUMIFS('Total Cases'!F2:F1312,'Total Cases'!A2:A1312,I$3,'Total Cases'!B2:B1312,$A9,'Total Cases'!C2:C1312,"Bicol"),0)</f>
        <v>62.1630619801835</v>
      </c>
      <c r="J9" s="23" cm="1">
        <f t="array" ref="J9">_xlfn.IFERROR(_xlfn.SUMIFS('Total Cases'!F2:F1312,'Total Cases'!A2:A1312,J$3,'Total Cases'!B2:B1312,$A9,'Total Cases'!C2:C1312,"Bicol"),0)</f>
        <v>0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Cases'!C2:C1312,"Bicol"),0)</f>
        <v>109.398861151447</v>
      </c>
      <c r="C10" s="23" cm="1">
        <f t="array" ref="C10">_xlfn.IFERROR(_xlfn.SUMIFS('Total Cases'!F2:F1312,'Total Cases'!A2:A1312,C$3,'Total Cases'!B2:B1312,$A10,'Total Cases'!C2:C1312,"Bicol"),0)</f>
        <v>33.1682216550036</v>
      </c>
      <c r="D10" s="23" cm="1">
        <f t="array" ref="D10">_xlfn.IFERROR(_xlfn.SUMIFS('Total Cases'!F2:F1312,'Total Cases'!A2:A1312,D$3,'Total Cases'!B2:B1312,$A10,'Total Cases'!C2:C1312,"Bicol"),0)</f>
        <v>43.9533644174694</v>
      </c>
      <c r="E10" s="23" cm="1">
        <f t="array" ref="E10">_xlfn.IFERROR(_xlfn.SUMIFS('Total Cases'!F2:F1312,'Total Cases'!A2:A1312,E$3,'Total Cases'!B2:B1312,$A10,'Total Cases'!C2:C1312,"Bicol"),0)</f>
        <v>0</v>
      </c>
      <c r="F10" s="23" cm="1">
        <f t="array" ref="F10">_xlfn.IFERROR(_xlfn.SUMIFS('Total Cases'!F2:F1312,'Total Cases'!A2:A1312,F$3,'Total Cases'!B2:B1312,$A10,'Total Cases'!C2:C1312,"Bicol"),0)</f>
        <v>120.699815089509</v>
      </c>
      <c r="G10" s="23" cm="1">
        <f t="array" ref="G10">_xlfn.IFERROR(_xlfn.SUMIFS('Total Cases'!F2:F1312,'Total Cases'!A2:A1312,G$3,'Total Cases'!B2:B1312,$A10,'Total Cases'!C2:C1312,"Bicol"),0)</f>
        <v>0</v>
      </c>
      <c r="H10" s="23" cm="1">
        <f t="array" ref="H10">_xlfn.IFERROR(_xlfn.SUMIFS('Total Cases'!F2:F1312,'Total Cases'!A2:A1312,H$3,'Total Cases'!B2:B1312,$A10,'Total Cases'!C2:C1312,"Bicol"),0)</f>
        <v>232.036875809863</v>
      </c>
      <c r="I10" s="23" cm="1">
        <f t="array" ref="I10">_xlfn.IFERROR(_xlfn.SUMIFS('Total Cases'!F2:F1312,'Total Cases'!A2:A1312,I$3,'Total Cases'!B2:B1312,$A10,'Total Cases'!C2:C1312,"Bicol"),0)</f>
        <v>68.58725571260879</v>
      </c>
      <c r="J10" s="23" cm="1">
        <f t="array" ref="J10">_xlfn.IFERROR(_xlfn.SUMIFS('Total Cases'!F2:F1312,'Total Cases'!A2:A1312,J$3,'Total Cases'!B2:B1312,$A10,'Total Cases'!C2:C1312,"Bicol"),0)</f>
        <v>0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Cases'!C2:C1312,"Bicol"),0)</f>
        <v>118.417741403538</v>
      </c>
      <c r="C11" s="23" cm="1">
        <f t="array" ref="C11">_xlfn.IFERROR(_xlfn.SUMIFS('Total Cases'!F2:F1312,'Total Cases'!A2:A1312,C$3,'Total Cases'!B2:B1312,$A11,'Total Cases'!C2:C1312,"Bicol"),0)</f>
        <v>26.290739313721</v>
      </c>
      <c r="D11" s="23" cm="1">
        <f t="array" ref="D11">_xlfn.IFERROR(_xlfn.SUMIFS('Total Cases'!F2:F1312,'Total Cases'!A2:A1312,D$3,'Total Cases'!B2:B1312,$A11,'Total Cases'!C2:C1312,"Bicol"),0)</f>
        <v>42.2183631904641</v>
      </c>
      <c r="E11" s="23" cm="1">
        <f t="array" ref="E11">_xlfn.IFERROR(_xlfn.SUMIFS('Total Cases'!F2:F1312,'Total Cases'!A2:A1312,E$3,'Total Cases'!B2:B1312,$A11,'Total Cases'!C2:C1312,"Bicol"),0)</f>
        <v>0</v>
      </c>
      <c r="F11" s="23" cm="1">
        <f t="array" ref="F11">_xlfn.IFERROR(_xlfn.SUMIFS('Total Cases'!F2:F1312,'Total Cases'!A2:A1312,F$3,'Total Cases'!B2:B1312,$A11,'Total Cases'!C2:C1312,"Bicol"),0)</f>
        <v>66.0863530430515</v>
      </c>
      <c r="G11" s="23" cm="1">
        <f t="array" ref="G11">_xlfn.IFERROR(_xlfn.SUMIFS('Total Cases'!F2:F1312,'Total Cases'!A2:A1312,G$3,'Total Cases'!B2:B1312,$A11,'Total Cases'!C2:C1312,"Bicol"),0)</f>
        <v>0</v>
      </c>
      <c r="H11" s="23" cm="1">
        <f t="array" ref="H11">_xlfn.IFERROR(_xlfn.SUMIFS('Total Cases'!F2:F1312,'Total Cases'!A2:A1312,H$3,'Total Cases'!B2:B1312,$A11,'Total Cases'!C2:C1312,"Bicol"),0)</f>
        <v>207.793750556842</v>
      </c>
      <c r="I11" s="23" cm="1">
        <f t="array" ref="I11">_xlfn.IFERROR(_xlfn.SUMIFS('Total Cases'!F2:F1312,'Total Cases'!A2:A1312,I$3,'Total Cases'!B2:B1312,$A11,'Total Cases'!C2:C1312,"Bicol"),0)</f>
        <v>54.1445427959154</v>
      </c>
      <c r="J11" s="23" cm="1">
        <f t="array" ref="J11">_xlfn.IFERROR(_xlfn.SUMIFS('Total Cases'!F2:F1312,'Total Cases'!A2:A1312,J$3,'Total Cases'!B2:B1312,$A11,'Total Cases'!C2:C1312,"Bicol"),0)</f>
        <v>25.3372701709523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Cases'!C2:C1312,"Bicol"),0)</f>
        <v>125.342115669875</v>
      </c>
      <c r="C12" s="23" cm="1">
        <f t="array" ref="C12">_xlfn.IFERROR(_xlfn.SUMIFS('Total Cases'!F2:F1312,'Total Cases'!A2:A1312,C$3,'Total Cases'!B2:B1312,$A12,'Total Cases'!C2:C1312,"Bicol"),0)</f>
        <v>41.5931375230747</v>
      </c>
      <c r="D12" s="23" cm="1">
        <f t="array" ref="D12">_xlfn.IFERROR(_xlfn.SUMIFS('Total Cases'!F2:F1312,'Total Cases'!A2:A1312,D$3,'Total Cases'!B2:B1312,$A12,'Total Cases'!C2:C1312,"Bicol"),0)</f>
        <v>38.6545768863449</v>
      </c>
      <c r="E12" s="23" cm="1">
        <f t="array" ref="E12">_xlfn.IFERROR(_xlfn.SUMIFS('Total Cases'!F2:F1312,'Total Cases'!A2:A1312,E$3,'Total Cases'!B2:B1312,$A12,'Total Cases'!C2:C1312,"Bicol"),0)</f>
        <v>0</v>
      </c>
      <c r="F12" s="23" cm="1">
        <f t="array" ref="F12">_xlfn.IFERROR(_xlfn.SUMIFS('Total Cases'!F2:F1312,'Total Cases'!A2:A1312,F$3,'Total Cases'!B2:B1312,$A12,'Total Cases'!C2:C1312,"Bicol"),0)</f>
        <v>63.2728375397995</v>
      </c>
      <c r="G12" s="23" cm="1">
        <f t="array" ref="G12">_xlfn.IFERROR(_xlfn.SUMIFS('Total Cases'!F2:F1312,'Total Cases'!A2:A1312,G$3,'Total Cases'!B2:B1312,$A12,'Total Cases'!C2:C1312,"Bicol"),0)</f>
        <v>0</v>
      </c>
      <c r="H12" s="23" cm="1">
        <f t="array" ref="H12">_xlfn.IFERROR(_xlfn.SUMIFS('Total Cases'!F2:F1312,'Total Cases'!A2:A1312,H$3,'Total Cases'!B2:B1312,$A12,'Total Cases'!C2:C1312,"Bicol"),0)</f>
        <v>249.324365513177</v>
      </c>
      <c r="I12" s="23" cm="1">
        <f t="array" ref="I12">_xlfn.IFERROR(_xlfn.SUMIFS('Total Cases'!F2:F1312,'Total Cases'!A2:A1312,I$3,'Total Cases'!B2:B1312,$A12,'Total Cases'!C2:C1312,"Bicol"),0)</f>
        <v>52.4876947773337</v>
      </c>
      <c r="J12" s="23" cm="1">
        <f t="array" ref="J12">_xlfn.IFERROR(_xlfn.SUMIFS('Total Cases'!F2:F1312,'Total Cases'!A2:A1312,J$3,'Total Cases'!B2:B1312,$A12,'Total Cases'!C2:C1312,"Bicol"),0)</f>
        <v>23.9617737026958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Cases'!C2:C1312,"Bicol"),0)</f>
        <v>125.811034920417</v>
      </c>
      <c r="C13" s="23" cm="1">
        <f t="array" ref="C13">_xlfn.IFERROR(_xlfn.SUMIFS('Total Cases'!F2:F1312,'Total Cases'!A2:A1312,C$3,'Total Cases'!B2:B1312,$A13,'Total Cases'!C2:C1312,"Bicol"),0)</f>
        <v>25.2903782458981</v>
      </c>
      <c r="D13" s="23" cm="1">
        <f t="array" ref="D13">_xlfn.IFERROR(_xlfn.SUMIFS('Total Cases'!F2:F1312,'Total Cases'!A2:A1312,D$3,'Total Cases'!B2:B1312,$A13,'Total Cases'!C2:C1312,"Bicol"),0)</f>
        <v>48.548773072781</v>
      </c>
      <c r="E13" s="23" cm="1">
        <f t="array" ref="E13">_xlfn.IFERROR(_xlfn.SUMIFS('Total Cases'!F2:F1312,'Total Cases'!A2:A1312,E$3,'Total Cases'!B2:B1312,$A13,'Total Cases'!C2:C1312,"Bicol"),0)</f>
        <v>0</v>
      </c>
      <c r="F13" s="23" cm="1">
        <f t="array" ref="F13">_xlfn.IFERROR(_xlfn.SUMIFS('Total Cases'!F2:F1312,'Total Cases'!A2:A1312,F$3,'Total Cases'!B2:B1312,$A13,'Total Cases'!C2:C1312,"Bicol"),0)</f>
        <v>47.142015321155</v>
      </c>
      <c r="G13" s="23" cm="1">
        <f t="array" ref="G13">_xlfn.IFERROR(_xlfn.SUMIFS('Total Cases'!F2:F1312,'Total Cases'!A2:A1312,G$3,'Total Cases'!B2:B1312,$A13,'Total Cases'!C2:C1312,"Bicol"),0)</f>
        <v>0</v>
      </c>
      <c r="H13" s="23" cm="1">
        <f t="array" ref="H13">_xlfn.IFERROR(_xlfn.SUMIFS('Total Cases'!F2:F1312,'Total Cases'!A2:A1312,H$3,'Total Cases'!B2:B1312,$A13,'Total Cases'!C2:C1312,"Bicol"),0)</f>
        <v>496.210350923536</v>
      </c>
      <c r="I13" s="23" cm="1">
        <f t="array" ref="I13">_xlfn.IFERROR(_xlfn.SUMIFS('Total Cases'!F2:F1312,'Total Cases'!A2:A1312,I$3,'Total Cases'!B2:B1312,$A13,'Total Cases'!C2:C1312,"Bicol"),0)</f>
        <v>27.8538034821944</v>
      </c>
      <c r="J13" s="23" cm="1">
        <f t="array" ref="J13">_xlfn.IFERROR(_xlfn.SUMIFS('Total Cases'!F2:F1312,'Total Cases'!A2:A1312,J$3,'Total Cases'!B2:B1312,$A13,'Total Cases'!C2:C1312,"Bicol"),0)</f>
        <v>0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Cases'!C2:C1312,"Bicol"),0)</f>
        <v>44.0471482675778</v>
      </c>
      <c r="C14" s="23" cm="1">
        <f t="array" ref="C14">_xlfn.IFERROR(_xlfn.SUMIFS('Total Cases'!F2:F1312,'Total Cases'!A2:A1312,C$3,'Total Cases'!B2:B1312,$A14,'Total Cases'!C2:C1312,"Bicol"),0)</f>
        <v>0</v>
      </c>
      <c r="D14" s="23" cm="1">
        <f t="array" ref="D14">_xlfn.IFERROR(_xlfn.SUMIFS('Total Cases'!F2:F1312,'Total Cases'!A2:A1312,D$3,'Total Cases'!B2:B1312,$A14,'Total Cases'!C2:C1312,"Bicol"),0)</f>
        <v>15.3649207760926</v>
      </c>
      <c r="E14" s="23" cm="1">
        <f t="array" ref="E14">_xlfn.IFERROR(_xlfn.SUMIFS('Total Cases'!F2:F1312,'Total Cases'!A2:A1312,E$3,'Total Cases'!B2:B1312,$A14,'Total Cases'!C2:C1312,"Bicol"),0)</f>
        <v>0</v>
      </c>
      <c r="F14" s="23" cm="1">
        <f t="array" ref="F14">_xlfn.IFERROR(_xlfn.SUMIFS('Total Cases'!F2:F1312,'Total Cases'!A2:A1312,F$3,'Total Cases'!B2:B1312,$A14,'Total Cases'!C2:C1312,"Bicol"),0)</f>
        <v>57.8958968002513</v>
      </c>
      <c r="G14" s="23" cm="1">
        <f t="array" ref="G14">_xlfn.IFERROR(_xlfn.SUMIFS('Total Cases'!F2:F1312,'Total Cases'!A2:A1312,G$3,'Total Cases'!B2:B1312,$A14,'Total Cases'!C2:C1312,"Bicol"),0)</f>
        <v>0</v>
      </c>
      <c r="H14" s="23" cm="1">
        <f t="array" ref="H14">_xlfn.IFERROR(_xlfn.SUMIFS('Total Cases'!F2:F1312,'Total Cases'!A2:A1312,H$3,'Total Cases'!B2:B1312,$A14,'Total Cases'!C2:C1312,"Bicol"),0)</f>
        <v>157.416192406947</v>
      </c>
      <c r="I14" s="23" cm="1">
        <f t="array" ref="I14">_xlfn.IFERROR(_xlfn.SUMIFS('Total Cases'!F2:F1312,'Total Cases'!A2:A1312,I$3,'Total Cases'!B2:B1312,$A14,'Total Cases'!C2:C1312,"Bicol"),0)</f>
        <v>23.5710076605775</v>
      </c>
      <c r="J14" s="23" cm="1">
        <f t="array" ref="J14">_xlfn.IFERROR(_xlfn.SUMIFS('Total Cases'!F2:F1312,'Total Cases'!A2:A1312,J$3,'Total Cases'!B2:B1312,$A14,'Total Cases'!C2:C1312,"Bicol"),0)</f>
        <v>13.3016760737079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Cases'!C2:C1312,"Bicol"),0)</f>
        <v>83.3269508213121</v>
      </c>
      <c r="C15" s="23" cm="1">
        <f t="array" ref="C15">_xlfn.IFERROR(_xlfn.SUMIFS('Total Cases'!F2:F1312,'Total Cases'!A2:A1312,C$3,'Total Cases'!B2:B1312,$A15,'Total Cases'!C2:C1312,"Bicol"),0)</f>
        <v>0</v>
      </c>
      <c r="D15" s="23" cm="1">
        <f t="array" ref="D15">_xlfn.IFERROR(_xlfn.SUMIFS('Total Cases'!F2:F1312,'Total Cases'!A2:A1312,D$3,'Total Cases'!B2:B1312,$A15,'Total Cases'!C2:C1312,"Bicol"),0)</f>
        <v>26.8534424143714</v>
      </c>
      <c r="E15" s="23" cm="1">
        <f t="array" ref="E15">_xlfn.IFERROR(_xlfn.SUMIFS('Total Cases'!F2:F1312,'Total Cases'!A2:A1312,E$3,'Total Cases'!B2:B1312,$A15,'Total Cases'!C2:C1312,"Bicol"),0)</f>
        <v>0</v>
      </c>
      <c r="F15" s="23" cm="1">
        <f t="array" ref="F15">_xlfn.IFERROR(_xlfn.SUMIFS('Total Cases'!F2:F1312,'Total Cases'!A2:A1312,F$3,'Total Cases'!B2:B1312,$A15,'Total Cases'!C2:C1312,"Bicol"),0)</f>
        <v>75.308431637044</v>
      </c>
      <c r="G15" s="23" cm="1">
        <f t="array" ref="G15">_xlfn.IFERROR(_xlfn.SUMIFS('Total Cases'!F2:F1312,'Total Cases'!A2:A1312,G$3,'Total Cases'!B2:B1312,$A15,'Total Cases'!C2:C1312,"Bicol"),0)</f>
        <v>0</v>
      </c>
      <c r="H15" s="23" cm="1">
        <f t="array" ref="H15">_xlfn.IFERROR(_xlfn.SUMIFS('Total Cases'!F2:F1312,'Total Cases'!A2:A1312,H$3,'Total Cases'!B2:B1312,$A15,'Total Cases'!C2:C1312,"Bicol"),0)</f>
        <v>252.341079358331</v>
      </c>
      <c r="I15" s="23" cm="1">
        <f t="array" ref="I15">_xlfn.IFERROR(_xlfn.SUMIFS('Total Cases'!F2:F1312,'Total Cases'!A2:A1312,I$3,'Total Cases'!B2:B1312,$A15,'Total Cases'!C2:C1312,"Bicol"),0)</f>
        <v>19.1319054221133</v>
      </c>
      <c r="J15" s="23" cm="1">
        <f t="array" ref="J15">_xlfn.IFERROR(_xlfn.SUMIFS('Total Cases'!F2:F1312,'Total Cases'!A2:A1312,J$3,'Total Cases'!B2:B1312,$A15,'Total Cases'!C2:C1312,"Bicol"),0)</f>
        <v>20.4448793236309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2" customWidth="1"/>
    <col min="2" max="9" width="16" style="62" customWidth="1"/>
    <col min="10" max="10" width="8.67188" style="62" customWidth="1"/>
    <col min="11" max="16384" width="8.67188" style="62" customWidth="1"/>
  </cols>
  <sheetData>
    <row r="1" ht="18.5" customHeight="1">
      <c r="A1" t="s" s="39">
        <v>82</v>
      </c>
      <c r="B1" s="40"/>
      <c r="C1" s="40"/>
      <c r="D1" s="40"/>
      <c r="E1" s="40"/>
      <c r="F1" s="40"/>
      <c r="G1" s="40"/>
      <c r="H1" s="40"/>
      <c r="I1" s="40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46">
        <v>30</v>
      </c>
      <c r="H3" t="s" s="47">
        <v>36</v>
      </c>
      <c r="I3" t="s" s="48">
        <v>41</v>
      </c>
      <c r="J3" s="49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Cases'!C2:C1312,"Western Visayas"),0)</f>
        <v>0</v>
      </c>
      <c r="C4" s="23" cm="1">
        <f t="array" ref="C4">_xlfn.IFERROR(_xlfn.SUMIFS('Total Cases'!F2:F1312,'Total Cases'!A2:A1312,C$3,'Total Cases'!B2:B1312,$A4,'Total Cases'!C2:C1312,"Western Visayas"),0)</f>
        <v>0</v>
      </c>
      <c r="D4" s="23" cm="1">
        <f t="array" ref="D4">_xlfn.IFERROR(_xlfn.SUMIFS('Total Cases'!F2:F1312,'Total Cases'!A2:A1312,D$3,'Total Cases'!B2:B1312,$A4,'Total Cases'!C2:C1312,"Western Visayas"),0)</f>
        <v>0</v>
      </c>
      <c r="E4" s="23" cm="1">
        <f t="array" ref="E4">_xlfn.IFERROR(_xlfn.SUMIFS('Total Cases'!F2:F1312,'Total Cases'!A2:A1312,E$3,'Total Cases'!B2:B1312,$A4,'Total Cases'!C2:C1312,"Western Visayas"),0)</f>
        <v>0</v>
      </c>
      <c r="F4" s="23" cm="1">
        <f t="array" ref="F4">_xlfn.IFERROR(_xlfn.SUMIFS('Total Cases'!F2:F1312,'Total Cases'!A2:A1312,F$3,'Total Cases'!B2:B1312,$A4,'Total Cases'!C2:C1312,"Western Visayas"),0)</f>
        <v>0</v>
      </c>
      <c r="G4" s="23" cm="1">
        <f t="array" ref="G4">_xlfn.IFERROR(_xlfn.SUMIFS('Total Cases'!F2:F1312,'Total Cases'!A2:A1312,G$3,'Total Cases'!B2:B1312,$A4,'Total Cases'!C2:C1312,"Western Visayas"),0)</f>
        <v>0</v>
      </c>
      <c r="H4" s="23" cm="1">
        <f t="array" ref="H4">_xlfn.IFERROR(_xlfn.SUMIFS('Total Cases'!F2:F1312,'Total Cases'!A2:A1312,H$3,'Total Cases'!B2:B1312,$A4,'Total Cases'!C2:C1312,"Western Visayas"),0)</f>
        <v>0</v>
      </c>
      <c r="I4" s="23" cm="1">
        <f t="array" ref="I4">_xlfn.IFERROR(_xlfn.SUMIFS('Total Cases'!F2:F1312,'Total Cases'!A2:A1312,I$3,'Total Cases'!B2:B1312,$A4,'Total Cases'!C2:C1312,"Western Visayas"),0)</f>
        <v>0</v>
      </c>
      <c r="J4" s="49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Cases'!C2:C1312,"Western Visayas"),0)</f>
        <v>0</v>
      </c>
      <c r="C5" s="23" cm="1">
        <f t="array" ref="C5">_xlfn.IFERROR(_xlfn.SUMIFS('Total Cases'!F2:F1312,'Total Cases'!A2:A1312,C$3,'Total Cases'!B2:B1312,$A5,'Total Cases'!C2:C1312,"Western Visayas"),0)</f>
        <v>0</v>
      </c>
      <c r="D5" s="23" cm="1">
        <f t="array" ref="D5">_xlfn.IFERROR(_xlfn.SUMIFS('Total Cases'!F2:F1312,'Total Cases'!A2:A1312,D$3,'Total Cases'!B2:B1312,$A5,'Total Cases'!C2:C1312,"Western Visayas"),0)</f>
        <v>0</v>
      </c>
      <c r="E5" s="23" cm="1">
        <f t="array" ref="E5">_xlfn.IFERROR(_xlfn.SUMIFS('Total Cases'!F2:F1312,'Total Cases'!A2:A1312,E$3,'Total Cases'!B2:B1312,$A5,'Total Cases'!C2:C1312,"Western Visayas"),0)</f>
        <v>0</v>
      </c>
      <c r="F5" s="23" cm="1">
        <f t="array" ref="F5">_xlfn.IFERROR(_xlfn.SUMIFS('Total Cases'!F2:F1312,'Total Cases'!A2:A1312,F$3,'Total Cases'!B2:B1312,$A5,'Total Cases'!C2:C1312,"Western Visayas"),0)</f>
        <v>0</v>
      </c>
      <c r="G5" s="23" cm="1">
        <f t="array" ref="G5">_xlfn.IFERROR(_xlfn.SUMIFS('Total Cases'!F2:F1312,'Total Cases'!A2:A1312,G$3,'Total Cases'!B2:B1312,$A5,'Total Cases'!C2:C1312,"Western Visayas"),0)</f>
        <v>0</v>
      </c>
      <c r="H5" s="23" cm="1">
        <f t="array" ref="H5">_xlfn.IFERROR(_xlfn.SUMIFS('Total Cases'!F2:F1312,'Total Cases'!A2:A1312,H$3,'Total Cases'!B2:B1312,$A5,'Total Cases'!C2:C1312,"Western Visayas"),0)</f>
        <v>0</v>
      </c>
      <c r="I5" s="23" cm="1">
        <f t="array" ref="I5">_xlfn.IFERROR(_xlfn.SUMIFS('Total Cases'!F2:F1312,'Total Cases'!A2:A1312,I$3,'Total Cases'!B2:B1312,$A5,'Total Cases'!C2:C1312,"Western Visayas"),0)</f>
        <v>0</v>
      </c>
      <c r="J5" s="49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Cases'!C2:C1312,"Western Visayas"),0)</f>
        <v>0</v>
      </c>
      <c r="C6" s="23" cm="1">
        <f t="array" ref="C6">_xlfn.IFERROR(_xlfn.SUMIFS('Total Cases'!F2:F1312,'Total Cases'!A2:A1312,C$3,'Total Cases'!B2:B1312,$A6,'Total Cases'!C2:C1312,"Western Visayas"),0)</f>
        <v>0</v>
      </c>
      <c r="D6" s="23" cm="1">
        <f t="array" ref="D6">_xlfn.IFERROR(_xlfn.SUMIFS('Total Cases'!F2:F1312,'Total Cases'!A2:A1312,D$3,'Total Cases'!B2:B1312,$A6,'Total Cases'!C2:C1312,"Western Visayas"),0)</f>
        <v>0</v>
      </c>
      <c r="E6" s="23" cm="1">
        <f t="array" ref="E6">_xlfn.IFERROR(_xlfn.SUMIFS('Total Cases'!F2:F1312,'Total Cases'!A2:A1312,E$3,'Total Cases'!B2:B1312,$A6,'Total Cases'!C2:C1312,"Western Visayas"),0)</f>
        <v>0</v>
      </c>
      <c r="F6" s="23" cm="1">
        <f t="array" ref="F6">_xlfn.IFERROR(_xlfn.SUMIFS('Total Cases'!F2:F1312,'Total Cases'!A2:A1312,F$3,'Total Cases'!B2:B1312,$A6,'Total Cases'!C2:C1312,"Western Visayas"),0)</f>
        <v>0</v>
      </c>
      <c r="G6" s="23" cm="1">
        <f t="array" ref="G6">_xlfn.IFERROR(_xlfn.SUMIFS('Total Cases'!F2:F1312,'Total Cases'!A2:A1312,G$3,'Total Cases'!B2:B1312,$A6,'Total Cases'!C2:C1312,"Western Visayas"),0)</f>
        <v>0</v>
      </c>
      <c r="H6" s="23" cm="1">
        <f t="array" ref="H6">_xlfn.IFERROR(_xlfn.SUMIFS('Total Cases'!F2:F1312,'Total Cases'!A2:A1312,H$3,'Total Cases'!B2:B1312,$A6,'Total Cases'!C2:C1312,"Western Visayas"),0)</f>
        <v>0</v>
      </c>
      <c r="I6" s="23" cm="1">
        <f t="array" ref="I6">_xlfn.IFERROR(_xlfn.SUMIFS('Total Cases'!F2:F1312,'Total Cases'!A2:A1312,I$3,'Total Cases'!B2:B1312,$A6,'Total Cases'!C2:C1312,"Western Visayas"),0)</f>
        <v>0</v>
      </c>
      <c r="J6" s="49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Cases'!C2:C1312,"Western Visayas"),0)</f>
        <v>0</v>
      </c>
      <c r="C7" s="23" cm="1">
        <f t="array" ref="C7">_xlfn.IFERROR(_xlfn.SUMIFS('Total Cases'!F2:F1312,'Total Cases'!A2:A1312,C$3,'Total Cases'!B2:B1312,$A7,'Total Cases'!C2:C1312,"Western Visayas"),0)</f>
        <v>0</v>
      </c>
      <c r="D7" s="23" cm="1">
        <f t="array" ref="D7">_xlfn.IFERROR(_xlfn.SUMIFS('Total Cases'!F2:F1312,'Total Cases'!A2:A1312,D$3,'Total Cases'!B2:B1312,$A7,'Total Cases'!C2:C1312,"Western Visayas"),0)</f>
        <v>0</v>
      </c>
      <c r="E7" s="23" cm="1">
        <f t="array" ref="E7">_xlfn.IFERROR(_xlfn.SUMIFS('Total Cases'!F2:F1312,'Total Cases'!A2:A1312,E$3,'Total Cases'!B2:B1312,$A7,'Total Cases'!C2:C1312,"Western Visayas"),0)</f>
        <v>0</v>
      </c>
      <c r="F7" s="23" cm="1">
        <f t="array" ref="F7">_xlfn.IFERROR(_xlfn.SUMIFS('Total Cases'!F2:F1312,'Total Cases'!A2:A1312,F$3,'Total Cases'!B2:B1312,$A7,'Total Cases'!C2:C1312,"Western Visayas"),0)</f>
        <v>0</v>
      </c>
      <c r="G7" s="23" cm="1">
        <f t="array" ref="G7">_xlfn.IFERROR(_xlfn.SUMIFS('Total Cases'!F2:F1312,'Total Cases'!A2:A1312,G$3,'Total Cases'!B2:B1312,$A7,'Total Cases'!C2:C1312,"Western Visayas"),0)</f>
        <v>0</v>
      </c>
      <c r="H7" s="23" cm="1">
        <f t="array" ref="H7">_xlfn.IFERROR(_xlfn.SUMIFS('Total Cases'!F2:F1312,'Total Cases'!A2:A1312,H$3,'Total Cases'!B2:B1312,$A7,'Total Cases'!C2:C1312,"Western Visayas"),0)</f>
        <v>0</v>
      </c>
      <c r="I7" s="23" cm="1">
        <f t="array" ref="I7">_xlfn.IFERROR(_xlfn.SUMIFS('Total Cases'!F2:F1312,'Total Cases'!A2:A1312,I$3,'Total Cases'!B2:B1312,$A7,'Total Cases'!C2:C1312,"Western Visayas"),0)</f>
        <v>0</v>
      </c>
      <c r="J7" s="49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Cases'!C2:C1312,"Western Visayas"),0)</f>
        <v>0</v>
      </c>
      <c r="C8" s="23" cm="1">
        <f t="array" ref="C8">_xlfn.IFERROR(_xlfn.SUMIFS('Total Cases'!F2:F1312,'Total Cases'!A2:A1312,C$3,'Total Cases'!B2:B1312,$A8,'Total Cases'!C2:C1312,"Western Visayas"),0)</f>
        <v>0</v>
      </c>
      <c r="D8" s="23" cm="1">
        <f t="array" ref="D8">_xlfn.IFERROR(_xlfn.SUMIFS('Total Cases'!F2:F1312,'Total Cases'!A2:A1312,D$3,'Total Cases'!B2:B1312,$A8,'Total Cases'!C2:C1312,"Western Visayas"),0)</f>
        <v>0</v>
      </c>
      <c r="E8" s="23" cm="1">
        <f t="array" ref="E8">_xlfn.IFERROR(_xlfn.SUMIFS('Total Cases'!F2:F1312,'Total Cases'!A2:A1312,E$3,'Total Cases'!B2:B1312,$A8,'Total Cases'!C2:C1312,"Western Visayas"),0)</f>
        <v>0</v>
      </c>
      <c r="F8" s="23" cm="1">
        <f t="array" ref="F8">_xlfn.IFERROR(_xlfn.SUMIFS('Total Cases'!F2:F1312,'Total Cases'!A2:A1312,F$3,'Total Cases'!B2:B1312,$A8,'Total Cases'!C2:C1312,"Western Visayas"),0)</f>
        <v>0</v>
      </c>
      <c r="G8" s="23" cm="1">
        <f t="array" ref="G8">_xlfn.IFERROR(_xlfn.SUMIFS('Total Cases'!F2:F1312,'Total Cases'!A2:A1312,G$3,'Total Cases'!B2:B1312,$A8,'Total Cases'!C2:C1312,"Western Visayas"),0)</f>
        <v>0</v>
      </c>
      <c r="H8" s="23" cm="1">
        <f t="array" ref="H8">_xlfn.IFERROR(_xlfn.SUMIFS('Total Cases'!F2:F1312,'Total Cases'!A2:A1312,H$3,'Total Cases'!B2:B1312,$A8,'Total Cases'!C2:C1312,"Western Visayas"),0)</f>
        <v>0</v>
      </c>
      <c r="I8" s="23" cm="1">
        <f t="array" ref="I8">_xlfn.IFERROR(_xlfn.SUMIFS('Total Cases'!F2:F1312,'Total Cases'!A2:A1312,I$3,'Total Cases'!B2:B1312,$A8,'Total Cases'!C2:C1312,"Western Visayas"),0)</f>
        <v>0</v>
      </c>
      <c r="J8" s="49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Cases'!C2:C1312,"Western Visayas"),0)</f>
        <v>0</v>
      </c>
      <c r="C9" s="23" cm="1">
        <f t="array" ref="C9">_xlfn.IFERROR(_xlfn.SUMIFS('Total Cases'!F2:F1312,'Total Cases'!A2:A1312,C$3,'Total Cases'!B2:B1312,$A9,'Total Cases'!C2:C1312,"Western Visayas"),0)</f>
        <v>0</v>
      </c>
      <c r="D9" s="23" cm="1">
        <f t="array" ref="D9">_xlfn.IFERROR(_xlfn.SUMIFS('Total Cases'!F2:F1312,'Total Cases'!A2:A1312,D$3,'Total Cases'!B2:B1312,$A9,'Total Cases'!C2:C1312,"Western Visayas"),0)</f>
        <v>0</v>
      </c>
      <c r="E9" s="23" cm="1">
        <f t="array" ref="E9">_xlfn.IFERROR(_xlfn.SUMIFS('Total Cases'!F2:F1312,'Total Cases'!A2:A1312,E$3,'Total Cases'!B2:B1312,$A9,'Total Cases'!C2:C1312,"Western Visayas"),0)</f>
        <v>0</v>
      </c>
      <c r="F9" s="23" cm="1">
        <f t="array" ref="F9">_xlfn.IFERROR(_xlfn.SUMIFS('Total Cases'!F2:F1312,'Total Cases'!A2:A1312,F$3,'Total Cases'!B2:B1312,$A9,'Total Cases'!C2:C1312,"Western Visayas"),0)</f>
        <v>0</v>
      </c>
      <c r="G9" s="23" cm="1">
        <f t="array" ref="G9">_xlfn.IFERROR(_xlfn.SUMIFS('Total Cases'!F2:F1312,'Total Cases'!A2:A1312,G$3,'Total Cases'!B2:B1312,$A9,'Total Cases'!C2:C1312,"Western Visayas"),0)</f>
        <v>0</v>
      </c>
      <c r="H9" s="23" cm="1">
        <f t="array" ref="H9">_xlfn.IFERROR(_xlfn.SUMIFS('Total Cases'!F2:F1312,'Total Cases'!A2:A1312,H$3,'Total Cases'!B2:B1312,$A9,'Total Cases'!C2:C1312,"Western Visayas"),0)</f>
        <v>0</v>
      </c>
      <c r="I9" s="23" cm="1">
        <f t="array" ref="I9">_xlfn.IFERROR(_xlfn.SUMIFS('Total Cases'!F2:F1312,'Total Cases'!A2:A1312,I$3,'Total Cases'!B2:B1312,$A9,'Total Cases'!C2:C1312,"Western Visayas"),0)</f>
        <v>0</v>
      </c>
      <c r="J9" s="49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Cases'!C2:C1312,"Western Visayas"),0)</f>
        <v>0</v>
      </c>
      <c r="C10" s="23" cm="1">
        <f t="array" ref="C10">_xlfn.IFERROR(_xlfn.SUMIFS('Total Cases'!F2:F1312,'Total Cases'!A2:A1312,C$3,'Total Cases'!B2:B1312,$A10,'Total Cases'!C2:C1312,"Western Visayas"),0)</f>
        <v>0</v>
      </c>
      <c r="D10" s="23" cm="1">
        <f t="array" ref="D10">_xlfn.IFERROR(_xlfn.SUMIFS('Total Cases'!F2:F1312,'Total Cases'!A2:A1312,D$3,'Total Cases'!B2:B1312,$A10,'Total Cases'!C2:C1312,"Western Visayas"),0)</f>
        <v>0</v>
      </c>
      <c r="E10" s="23" cm="1">
        <f t="array" ref="E10">_xlfn.IFERROR(_xlfn.SUMIFS('Total Cases'!F2:F1312,'Total Cases'!A2:A1312,E$3,'Total Cases'!B2:B1312,$A10,'Total Cases'!C2:C1312,"Western Visayas"),0)</f>
        <v>0</v>
      </c>
      <c r="F10" s="23" cm="1">
        <f t="array" ref="F10">_xlfn.IFERROR(_xlfn.SUMIFS('Total Cases'!F2:F1312,'Total Cases'!A2:A1312,F$3,'Total Cases'!B2:B1312,$A10,'Total Cases'!C2:C1312,"Western Visayas"),0)</f>
        <v>0</v>
      </c>
      <c r="G10" s="23" cm="1">
        <f t="array" ref="G10">_xlfn.IFERROR(_xlfn.SUMIFS('Total Cases'!F2:F1312,'Total Cases'!A2:A1312,G$3,'Total Cases'!B2:B1312,$A10,'Total Cases'!C2:C1312,"Western Visayas"),0)</f>
        <v>0</v>
      </c>
      <c r="H10" s="23" cm="1">
        <f t="array" ref="H10">_xlfn.IFERROR(_xlfn.SUMIFS('Total Cases'!F2:F1312,'Total Cases'!A2:A1312,H$3,'Total Cases'!B2:B1312,$A10,'Total Cases'!C2:C1312,"Western Visayas"),0)</f>
        <v>0</v>
      </c>
      <c r="I10" s="23" cm="1">
        <f t="array" ref="I10">_xlfn.IFERROR(_xlfn.SUMIFS('Total Cases'!F2:F1312,'Total Cases'!A2:A1312,I$3,'Total Cases'!B2:B1312,$A10,'Total Cases'!C2:C1312,"Western Visayas"),0)</f>
        <v>0</v>
      </c>
      <c r="J10" s="49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Cases'!C2:C1312,"Western Visayas"),0)</f>
        <v>0</v>
      </c>
      <c r="C11" s="23" cm="1">
        <f t="array" ref="C11">_xlfn.IFERROR(_xlfn.SUMIFS('Total Cases'!F2:F1312,'Total Cases'!A2:A1312,C$3,'Total Cases'!B2:B1312,$A11,'Total Cases'!C2:C1312,"Western Visayas"),0)</f>
        <v>0</v>
      </c>
      <c r="D11" s="23" cm="1">
        <f t="array" ref="D11">_xlfn.IFERROR(_xlfn.SUMIFS('Total Cases'!F2:F1312,'Total Cases'!A2:A1312,D$3,'Total Cases'!B2:B1312,$A11,'Total Cases'!C2:C1312,"Western Visayas"),0)</f>
        <v>0</v>
      </c>
      <c r="E11" s="23" cm="1">
        <f t="array" ref="E11">_xlfn.IFERROR(_xlfn.SUMIFS('Total Cases'!F2:F1312,'Total Cases'!A2:A1312,E$3,'Total Cases'!B2:B1312,$A11,'Total Cases'!C2:C1312,"Western Visayas"),0)</f>
        <v>0</v>
      </c>
      <c r="F11" s="23" cm="1">
        <f t="array" ref="F11">_xlfn.IFERROR(_xlfn.SUMIFS('Total Cases'!F2:F1312,'Total Cases'!A2:A1312,F$3,'Total Cases'!B2:B1312,$A11,'Total Cases'!C2:C1312,"Western Visayas"),0)</f>
        <v>0</v>
      </c>
      <c r="G11" s="23" cm="1">
        <f t="array" ref="G11">_xlfn.IFERROR(_xlfn.SUMIFS('Total Cases'!F2:F1312,'Total Cases'!A2:A1312,G$3,'Total Cases'!B2:B1312,$A11,'Total Cases'!C2:C1312,"Western Visayas"),0)</f>
        <v>0</v>
      </c>
      <c r="H11" s="23" cm="1">
        <f t="array" ref="H11">_xlfn.IFERROR(_xlfn.SUMIFS('Total Cases'!F2:F1312,'Total Cases'!A2:A1312,H$3,'Total Cases'!B2:B1312,$A11,'Total Cases'!C2:C1312,"Western Visayas"),0)</f>
        <v>0</v>
      </c>
      <c r="I11" s="23" cm="1">
        <f t="array" ref="I11">_xlfn.IFERROR(_xlfn.SUMIFS('Total Cases'!F2:F1312,'Total Cases'!A2:A1312,I$3,'Total Cases'!B2:B1312,$A11,'Total Cases'!C2:C1312,"Western Visayas"),0)</f>
        <v>0</v>
      </c>
      <c r="J11" s="49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Cases'!C2:C1312,"Western Visayas"),0)</f>
        <v>0</v>
      </c>
      <c r="C12" s="23" cm="1">
        <f t="array" ref="C12">_xlfn.IFERROR(_xlfn.SUMIFS('Total Cases'!F2:F1312,'Total Cases'!A2:A1312,C$3,'Total Cases'!B2:B1312,$A12,'Total Cases'!C2:C1312,"Western Visayas"),0)</f>
        <v>0</v>
      </c>
      <c r="D12" s="23" cm="1">
        <f t="array" ref="D12">_xlfn.IFERROR(_xlfn.SUMIFS('Total Cases'!F2:F1312,'Total Cases'!A2:A1312,D$3,'Total Cases'!B2:B1312,$A12,'Total Cases'!C2:C1312,"Western Visayas"),0)</f>
        <v>0</v>
      </c>
      <c r="E12" s="23" cm="1">
        <f t="array" ref="E12">_xlfn.IFERROR(_xlfn.SUMIFS('Total Cases'!F2:F1312,'Total Cases'!A2:A1312,E$3,'Total Cases'!B2:B1312,$A12,'Total Cases'!C2:C1312,"Western Visayas"),0)</f>
        <v>0</v>
      </c>
      <c r="F12" s="23" cm="1">
        <f t="array" ref="F12">_xlfn.IFERROR(_xlfn.SUMIFS('Total Cases'!F2:F1312,'Total Cases'!A2:A1312,F$3,'Total Cases'!B2:B1312,$A12,'Total Cases'!C2:C1312,"Western Visayas"),0)</f>
        <v>0</v>
      </c>
      <c r="G12" s="23" cm="1">
        <f t="array" ref="G12">_xlfn.IFERROR(_xlfn.SUMIFS('Total Cases'!F2:F1312,'Total Cases'!A2:A1312,G$3,'Total Cases'!B2:B1312,$A12,'Total Cases'!C2:C1312,"Western Visayas"),0)</f>
        <v>0</v>
      </c>
      <c r="H12" s="23" cm="1">
        <f t="array" ref="H12">_xlfn.IFERROR(_xlfn.SUMIFS('Total Cases'!F2:F1312,'Total Cases'!A2:A1312,H$3,'Total Cases'!B2:B1312,$A12,'Total Cases'!C2:C1312,"Western Visayas"),0)</f>
        <v>0</v>
      </c>
      <c r="I12" s="23" cm="1">
        <f t="array" ref="I12">_xlfn.IFERROR(_xlfn.SUMIFS('Total Cases'!F2:F1312,'Total Cases'!A2:A1312,I$3,'Total Cases'!B2:B1312,$A12,'Total Cases'!C2:C1312,"Western Visayas"),0)</f>
        <v>0</v>
      </c>
      <c r="J12" s="49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Cases'!C2:C1312,"Western Visayas"),0)</f>
        <v>0</v>
      </c>
      <c r="C13" s="23" cm="1">
        <f t="array" ref="C13">_xlfn.IFERROR(_xlfn.SUMIFS('Total Cases'!F2:F1312,'Total Cases'!A2:A1312,C$3,'Total Cases'!B2:B1312,$A13,'Total Cases'!C2:C1312,"Western Visayas"),0)</f>
        <v>0</v>
      </c>
      <c r="D13" s="23" cm="1">
        <f t="array" ref="D13">_xlfn.IFERROR(_xlfn.SUMIFS('Total Cases'!F2:F1312,'Total Cases'!A2:A1312,D$3,'Total Cases'!B2:B1312,$A13,'Total Cases'!C2:C1312,"Western Visayas"),0)</f>
        <v>0</v>
      </c>
      <c r="E13" s="23" cm="1">
        <f t="array" ref="E13">_xlfn.IFERROR(_xlfn.SUMIFS('Total Cases'!F2:F1312,'Total Cases'!A2:A1312,E$3,'Total Cases'!B2:B1312,$A13,'Total Cases'!C2:C1312,"Western Visayas"),0)</f>
        <v>0</v>
      </c>
      <c r="F13" s="23" cm="1">
        <f t="array" ref="F13">_xlfn.IFERROR(_xlfn.SUMIFS('Total Cases'!F2:F1312,'Total Cases'!A2:A1312,F$3,'Total Cases'!B2:B1312,$A13,'Total Cases'!C2:C1312,"Western Visayas"),0)</f>
        <v>0</v>
      </c>
      <c r="G13" s="23" cm="1">
        <f t="array" ref="G13">_xlfn.IFERROR(_xlfn.SUMIFS('Total Cases'!F2:F1312,'Total Cases'!A2:A1312,G$3,'Total Cases'!B2:B1312,$A13,'Total Cases'!C2:C1312,"Western Visayas"),0)</f>
        <v>0</v>
      </c>
      <c r="H13" s="23" cm="1">
        <f t="array" ref="H13">_xlfn.IFERROR(_xlfn.SUMIFS('Total Cases'!F2:F1312,'Total Cases'!A2:A1312,H$3,'Total Cases'!B2:B1312,$A13,'Total Cases'!C2:C1312,"Western Visayas"),0)</f>
        <v>0</v>
      </c>
      <c r="I13" s="23" cm="1">
        <f t="array" ref="I13">_xlfn.IFERROR(_xlfn.SUMIFS('Total Cases'!F2:F1312,'Total Cases'!A2:A1312,I$3,'Total Cases'!B2:B1312,$A13,'Total Cases'!C2:C1312,"Western Visayas"),0)</f>
        <v>0</v>
      </c>
      <c r="J13" s="49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Cases'!C2:C1312,"Western Visayas"),0)</f>
        <v>0</v>
      </c>
      <c r="C14" s="23" cm="1">
        <f t="array" ref="C14">_xlfn.IFERROR(_xlfn.SUMIFS('Total Cases'!F2:F1312,'Total Cases'!A2:A1312,C$3,'Total Cases'!B2:B1312,$A14,'Total Cases'!C2:C1312,"Western Visayas"),0)</f>
        <v>0</v>
      </c>
      <c r="D14" s="23" cm="1">
        <f t="array" ref="D14">_xlfn.IFERROR(_xlfn.SUMIFS('Total Cases'!F2:F1312,'Total Cases'!A2:A1312,D$3,'Total Cases'!B2:B1312,$A14,'Total Cases'!C2:C1312,"Western Visayas"),0)</f>
        <v>0</v>
      </c>
      <c r="E14" s="23" cm="1">
        <f t="array" ref="E14">_xlfn.IFERROR(_xlfn.SUMIFS('Total Cases'!F2:F1312,'Total Cases'!A2:A1312,E$3,'Total Cases'!B2:B1312,$A14,'Total Cases'!C2:C1312,"Western Visayas"),0)</f>
        <v>0</v>
      </c>
      <c r="F14" s="23" cm="1">
        <f t="array" ref="F14">_xlfn.IFERROR(_xlfn.SUMIFS('Total Cases'!F2:F1312,'Total Cases'!A2:A1312,F$3,'Total Cases'!B2:B1312,$A14,'Total Cases'!C2:C1312,"Western Visayas"),0)</f>
        <v>0</v>
      </c>
      <c r="G14" s="23" cm="1">
        <f t="array" ref="G14">_xlfn.IFERROR(_xlfn.SUMIFS('Total Cases'!F2:F1312,'Total Cases'!A2:A1312,G$3,'Total Cases'!B2:B1312,$A14,'Total Cases'!C2:C1312,"Western Visayas"),0)</f>
        <v>0</v>
      </c>
      <c r="H14" s="23" cm="1">
        <f t="array" ref="H14">_xlfn.IFERROR(_xlfn.SUMIFS('Total Cases'!F2:F1312,'Total Cases'!A2:A1312,H$3,'Total Cases'!B2:B1312,$A14,'Total Cases'!C2:C1312,"Western Visayas"),0)</f>
        <v>0</v>
      </c>
      <c r="I14" s="23" cm="1">
        <f t="array" ref="I14">_xlfn.IFERROR(_xlfn.SUMIFS('Total Cases'!F2:F1312,'Total Cases'!A2:A1312,I$3,'Total Cases'!B2:B1312,$A14,'Total Cases'!C2:C1312,"Western Visayas"),0)</f>
        <v>0</v>
      </c>
      <c r="J14" s="49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Cases'!C2:C1312,"Western Visayas"),0)</f>
        <v>0</v>
      </c>
      <c r="C15" s="23" cm="1">
        <f t="array" ref="C15">_xlfn.IFERROR(_xlfn.SUMIFS('Total Cases'!F2:F1312,'Total Cases'!A2:A1312,C$3,'Total Cases'!B2:B1312,$A15,'Total Cases'!C2:C1312,"Western Visayas"),0)</f>
        <v>0</v>
      </c>
      <c r="D15" s="23" cm="1">
        <f t="array" ref="D15">_xlfn.IFERROR(_xlfn.SUMIFS('Total Cases'!F2:F1312,'Total Cases'!A2:A1312,D$3,'Total Cases'!B2:B1312,$A15,'Total Cases'!C2:C1312,"Western Visayas"),0)</f>
        <v>0</v>
      </c>
      <c r="E15" s="23" cm="1">
        <f t="array" ref="E15">_xlfn.IFERROR(_xlfn.SUMIFS('Total Cases'!F2:F1312,'Total Cases'!A2:A1312,E$3,'Total Cases'!B2:B1312,$A15,'Total Cases'!C2:C1312,"Western Visayas"),0)</f>
        <v>0</v>
      </c>
      <c r="F15" s="23" cm="1">
        <f t="array" ref="F15">_xlfn.IFERROR(_xlfn.SUMIFS('Total Cases'!F2:F1312,'Total Cases'!A2:A1312,F$3,'Total Cases'!B2:B1312,$A15,'Total Cases'!C2:C1312,"Western Visayas"),0)</f>
        <v>0</v>
      </c>
      <c r="G15" s="23" cm="1">
        <f t="array" ref="G15">_xlfn.IFERROR(_xlfn.SUMIFS('Total Cases'!F2:F1312,'Total Cases'!A2:A1312,G$3,'Total Cases'!B2:B1312,$A15,'Total Cases'!C2:C1312,"Western Visayas"),0)</f>
        <v>0</v>
      </c>
      <c r="H15" s="23" cm="1">
        <f t="array" ref="H15">_xlfn.IFERROR(_xlfn.SUMIFS('Total Cases'!F2:F1312,'Total Cases'!A2:A1312,H$3,'Total Cases'!B2:B1312,$A15,'Total Cases'!C2:C1312,"Western Visayas"),0)</f>
        <v>0</v>
      </c>
      <c r="I15" s="23" cm="1">
        <f t="array" ref="I15">_xlfn.IFERROR(_xlfn.SUMIFS('Total Cases'!F2:F1312,'Total Cases'!A2:A1312,I$3,'Total Cases'!B2:B1312,$A15,'Total Cases'!C2:C1312,"Western Visayas"),0)</f>
        <v>0</v>
      </c>
      <c r="J15" s="49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4"/>
    </row>
  </sheetData>
  <mergeCells count="1">
    <mergeCell ref="A1:I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K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3" customWidth="1"/>
    <col min="2" max="11" width="16" style="63" customWidth="1"/>
    <col min="12" max="16384" width="8.67188" style="63" customWidth="1"/>
  </cols>
  <sheetData>
    <row r="1" ht="18.5" customHeight="1">
      <c r="A1" t="s" s="39">
        <v>83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53">
        <v>45</v>
      </c>
      <c r="G3" t="s" s="45">
        <v>35</v>
      </c>
      <c r="H3" t="s" s="58">
        <v>59</v>
      </c>
      <c r="I3" t="s" s="46">
        <v>30</v>
      </c>
      <c r="J3" t="s" s="47">
        <v>36</v>
      </c>
      <c r="K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Cases'!C2:C1312,"Central Visayas"),0)</f>
        <v>0</v>
      </c>
      <c r="C4" s="23" cm="1">
        <f t="array" ref="C4">_xlfn.IFERROR(_xlfn.SUMIFS('Total Cases'!F2:F1312,'Total Cases'!A2:A1312,C$3,'Total Cases'!B2:B1312,$A4,'Total Cases'!C2:C1312,"Central Visayas"),0)</f>
        <v>0</v>
      </c>
      <c r="D4" s="23" cm="1">
        <f t="array" ref="D4">_xlfn.IFERROR(_xlfn.SUMIFS('Total Cases'!F2:F1312,'Total Cases'!A2:A1312,D$3,'Total Cases'!B2:B1312,$A4,'Total Cases'!C2:C1312,"Central Visayas"),0)</f>
        <v>0</v>
      </c>
      <c r="E4" s="23" cm="1">
        <f t="array" ref="E4">_xlfn.IFERROR(_xlfn.SUMIFS('Total Cases'!F2:F1312,'Total Cases'!A2:A1312,E$3,'Total Cases'!B2:B1312,$A4,'Total Cases'!C2:C1312,"Central Visayas"),0)</f>
        <v>0</v>
      </c>
      <c r="F4" s="23" cm="1">
        <f t="array" ref="F4">_xlfn.IFERROR(_xlfn.SUMIFS('Total Cases'!F2:F1312,'Total Cases'!A2:A1312,F$3,'Total Cases'!B2:B1312,$A4,'Total Cases'!C2:C1312,"Central Visayas"),0)</f>
        <v>0</v>
      </c>
      <c r="G4" s="23" cm="1">
        <f t="array" ref="G4">_xlfn.IFERROR(_xlfn.SUMIFS('Total Cases'!F2:F1312,'Total Cases'!A2:A1312,G$3,'Total Cases'!B2:B1312,$A4,'Total Cases'!C2:C1312,"Central Visayas"),0)</f>
        <v>0</v>
      </c>
      <c r="H4" s="23" cm="1">
        <f t="array" ref="H4">_xlfn.IFERROR(_xlfn.SUMIFS('Total Cases'!F2:F1312,'Total Cases'!A2:A1312,H$3,'Total Cases'!B2:B1312,$A4,'Total Cases'!C2:C1312,"Central Visayas"),0)</f>
        <v>0</v>
      </c>
      <c r="I4" s="23" cm="1">
        <f t="array" ref="I4">_xlfn.IFERROR(_xlfn.SUMIFS('Total Cases'!F2:F1312,'Total Cases'!A2:A1312,I$3,'Total Cases'!B2:B1312,$A4,'Total Cases'!C2:C1312,"Central Visayas"),0)</f>
        <v>0</v>
      </c>
      <c r="J4" s="23" cm="1">
        <f t="array" ref="J4">_xlfn.IFERROR(_xlfn.SUMIFS('Total Cases'!F2:F1312,'Total Cases'!A2:A1312,J$3,'Total Cases'!B2:B1312,$A4,'Total Cases'!C2:C1312,"Central Visayas"),0)</f>
        <v>0</v>
      </c>
      <c r="K4" s="23" cm="1">
        <f t="array" ref="K4">_xlfn.IFERROR(_xlfn.SUMIFS('Total Cases'!F2:F1312,'Total Cases'!A2:A1312,K$3,'Total Cases'!B2:B1312,$A4,'Total Cases'!C2:C1312,"Central Visayas"),0)</f>
        <v>0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Cases'!C2:C1312,"Central Visayas"),0)</f>
        <v>0</v>
      </c>
      <c r="C5" s="23" cm="1">
        <f t="array" ref="C5">_xlfn.IFERROR(_xlfn.SUMIFS('Total Cases'!F2:F1312,'Total Cases'!A2:A1312,C$3,'Total Cases'!B2:B1312,$A5,'Total Cases'!C2:C1312,"Central Visayas"),0)</f>
        <v>0</v>
      </c>
      <c r="D5" s="23" cm="1">
        <f t="array" ref="D5">_xlfn.IFERROR(_xlfn.SUMIFS('Total Cases'!F2:F1312,'Total Cases'!A2:A1312,D$3,'Total Cases'!B2:B1312,$A5,'Total Cases'!C2:C1312,"Central Visayas"),0)</f>
        <v>0</v>
      </c>
      <c r="E5" s="23" cm="1">
        <f t="array" ref="E5">_xlfn.IFERROR(_xlfn.SUMIFS('Total Cases'!F2:F1312,'Total Cases'!A2:A1312,E$3,'Total Cases'!B2:B1312,$A5,'Total Cases'!C2:C1312,"Central Visayas"),0)</f>
        <v>0</v>
      </c>
      <c r="F5" s="23" cm="1">
        <f t="array" ref="F5">_xlfn.IFERROR(_xlfn.SUMIFS('Total Cases'!F2:F1312,'Total Cases'!A2:A1312,F$3,'Total Cases'!B2:B1312,$A5,'Total Cases'!C2:C1312,"Central Visayas"),0)</f>
        <v>0</v>
      </c>
      <c r="G5" s="23" cm="1">
        <f t="array" ref="G5">_xlfn.IFERROR(_xlfn.SUMIFS('Total Cases'!F2:F1312,'Total Cases'!A2:A1312,G$3,'Total Cases'!B2:B1312,$A5,'Total Cases'!C2:C1312,"Central Visayas"),0)</f>
        <v>0</v>
      </c>
      <c r="H5" s="23" cm="1">
        <f t="array" ref="H5">_xlfn.IFERROR(_xlfn.SUMIFS('Total Cases'!F2:F1312,'Total Cases'!A2:A1312,H$3,'Total Cases'!B2:B1312,$A5,'Total Cases'!C2:C1312,"Central Visayas"),0)</f>
        <v>0</v>
      </c>
      <c r="I5" s="23" cm="1">
        <f t="array" ref="I5">_xlfn.IFERROR(_xlfn.SUMIFS('Total Cases'!F2:F1312,'Total Cases'!A2:A1312,I$3,'Total Cases'!B2:B1312,$A5,'Total Cases'!C2:C1312,"Central Visayas"),0)</f>
        <v>0</v>
      </c>
      <c r="J5" s="23" cm="1">
        <f t="array" ref="J5">_xlfn.IFERROR(_xlfn.SUMIFS('Total Cases'!F2:F1312,'Total Cases'!A2:A1312,J$3,'Total Cases'!B2:B1312,$A5,'Total Cases'!C2:C1312,"Central Visayas"),0)</f>
        <v>0</v>
      </c>
      <c r="K5" s="23" cm="1">
        <f t="array" ref="K5">_xlfn.IFERROR(_xlfn.SUMIFS('Total Cases'!F2:F1312,'Total Cases'!A2:A1312,K$3,'Total Cases'!B2:B1312,$A5,'Total Cases'!C2:C1312,"Central Visayas"),0)</f>
        <v>0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Cases'!C2:C1312,"Central Visayas"),0)</f>
        <v>0</v>
      </c>
      <c r="C6" s="23" cm="1">
        <f t="array" ref="C6">_xlfn.IFERROR(_xlfn.SUMIFS('Total Cases'!F2:F1312,'Total Cases'!A2:A1312,C$3,'Total Cases'!B2:B1312,$A6,'Total Cases'!C2:C1312,"Central Visayas"),0)</f>
        <v>0</v>
      </c>
      <c r="D6" s="23" cm="1">
        <f t="array" ref="D6">_xlfn.IFERROR(_xlfn.SUMIFS('Total Cases'!F2:F1312,'Total Cases'!A2:A1312,D$3,'Total Cases'!B2:B1312,$A6,'Total Cases'!C2:C1312,"Central Visayas"),0)</f>
        <v>0</v>
      </c>
      <c r="E6" s="23" cm="1">
        <f t="array" ref="E6">_xlfn.IFERROR(_xlfn.SUMIFS('Total Cases'!F2:F1312,'Total Cases'!A2:A1312,E$3,'Total Cases'!B2:B1312,$A6,'Total Cases'!C2:C1312,"Central Visayas"),0)</f>
        <v>0</v>
      </c>
      <c r="F6" s="23" cm="1">
        <f t="array" ref="F6">_xlfn.IFERROR(_xlfn.SUMIFS('Total Cases'!F2:F1312,'Total Cases'!A2:A1312,F$3,'Total Cases'!B2:B1312,$A6,'Total Cases'!C2:C1312,"Central Visayas"),0)</f>
        <v>0</v>
      </c>
      <c r="G6" s="23" cm="1">
        <f t="array" ref="G6">_xlfn.IFERROR(_xlfn.SUMIFS('Total Cases'!F2:F1312,'Total Cases'!A2:A1312,G$3,'Total Cases'!B2:B1312,$A6,'Total Cases'!C2:C1312,"Central Visayas"),0)</f>
        <v>0</v>
      </c>
      <c r="H6" s="23" cm="1">
        <f t="array" ref="H6">_xlfn.IFERROR(_xlfn.SUMIFS('Total Cases'!F2:F1312,'Total Cases'!A2:A1312,H$3,'Total Cases'!B2:B1312,$A6,'Total Cases'!C2:C1312,"Central Visayas"),0)</f>
        <v>0</v>
      </c>
      <c r="I6" s="23" cm="1">
        <f t="array" ref="I6">_xlfn.IFERROR(_xlfn.SUMIFS('Total Cases'!F2:F1312,'Total Cases'!A2:A1312,I$3,'Total Cases'!B2:B1312,$A6,'Total Cases'!C2:C1312,"Central Visayas"),0)</f>
        <v>0</v>
      </c>
      <c r="J6" s="23" cm="1">
        <f t="array" ref="J6">_xlfn.IFERROR(_xlfn.SUMIFS('Total Cases'!F2:F1312,'Total Cases'!A2:A1312,J$3,'Total Cases'!B2:B1312,$A6,'Total Cases'!C2:C1312,"Central Visayas"),0)</f>
        <v>0</v>
      </c>
      <c r="K6" s="23" cm="1">
        <f t="array" ref="K6">_xlfn.IFERROR(_xlfn.SUMIFS('Total Cases'!F2:F1312,'Total Cases'!A2:A1312,K$3,'Total Cases'!B2:B1312,$A6,'Total Cases'!C2:C1312,"Central Visayas"),0)</f>
        <v>0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Cases'!C2:C1312,"Central Visayas"),0)</f>
        <v>0</v>
      </c>
      <c r="C7" s="23" cm="1">
        <f t="array" ref="C7">_xlfn.IFERROR(_xlfn.SUMIFS('Total Cases'!F2:F1312,'Total Cases'!A2:A1312,C$3,'Total Cases'!B2:B1312,$A7,'Total Cases'!C2:C1312,"Central Visayas"),0)</f>
        <v>0</v>
      </c>
      <c r="D7" s="23" cm="1">
        <f t="array" ref="D7">_xlfn.IFERROR(_xlfn.SUMIFS('Total Cases'!F2:F1312,'Total Cases'!A2:A1312,D$3,'Total Cases'!B2:B1312,$A7,'Total Cases'!C2:C1312,"Central Visayas"),0)</f>
        <v>0</v>
      </c>
      <c r="E7" s="23" cm="1">
        <f t="array" ref="E7">_xlfn.IFERROR(_xlfn.SUMIFS('Total Cases'!F2:F1312,'Total Cases'!A2:A1312,E$3,'Total Cases'!B2:B1312,$A7,'Total Cases'!C2:C1312,"Central Visayas"),0)</f>
        <v>0</v>
      </c>
      <c r="F7" s="23" cm="1">
        <f t="array" ref="F7">_xlfn.IFERROR(_xlfn.SUMIFS('Total Cases'!F2:F1312,'Total Cases'!A2:A1312,F$3,'Total Cases'!B2:B1312,$A7,'Total Cases'!C2:C1312,"Central Visayas"),0)</f>
        <v>0</v>
      </c>
      <c r="G7" s="23" cm="1">
        <f t="array" ref="G7">_xlfn.IFERROR(_xlfn.SUMIFS('Total Cases'!F2:F1312,'Total Cases'!A2:A1312,G$3,'Total Cases'!B2:B1312,$A7,'Total Cases'!C2:C1312,"Central Visayas"),0)</f>
        <v>0</v>
      </c>
      <c r="H7" s="23" cm="1">
        <f t="array" ref="H7">_xlfn.IFERROR(_xlfn.SUMIFS('Total Cases'!F2:F1312,'Total Cases'!A2:A1312,H$3,'Total Cases'!B2:B1312,$A7,'Total Cases'!C2:C1312,"Central Visayas"),0)</f>
        <v>0</v>
      </c>
      <c r="I7" s="23" cm="1">
        <f t="array" ref="I7">_xlfn.IFERROR(_xlfn.SUMIFS('Total Cases'!F2:F1312,'Total Cases'!A2:A1312,I$3,'Total Cases'!B2:B1312,$A7,'Total Cases'!C2:C1312,"Central Visayas"),0)</f>
        <v>0</v>
      </c>
      <c r="J7" s="23" cm="1">
        <f t="array" ref="J7">_xlfn.IFERROR(_xlfn.SUMIFS('Total Cases'!F2:F1312,'Total Cases'!A2:A1312,J$3,'Total Cases'!B2:B1312,$A7,'Total Cases'!C2:C1312,"Central Visayas"),0)</f>
        <v>0</v>
      </c>
      <c r="K7" s="23" cm="1">
        <f t="array" ref="K7">_xlfn.IFERROR(_xlfn.SUMIFS('Total Cases'!F2:F1312,'Total Cases'!A2:A1312,K$3,'Total Cases'!B2:B1312,$A7,'Total Cases'!C2:C1312,"Central Visayas"),0)</f>
        <v>0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Cases'!C2:C1312,"Central Visayas"),0)</f>
        <v>0</v>
      </c>
      <c r="C8" s="23" cm="1">
        <f t="array" ref="C8">_xlfn.IFERROR(_xlfn.SUMIFS('Total Cases'!F2:F1312,'Total Cases'!A2:A1312,C$3,'Total Cases'!B2:B1312,$A8,'Total Cases'!C2:C1312,"Central Visayas"),0)</f>
        <v>0</v>
      </c>
      <c r="D8" s="23" cm="1">
        <f t="array" ref="D8">_xlfn.IFERROR(_xlfn.SUMIFS('Total Cases'!F2:F1312,'Total Cases'!A2:A1312,D$3,'Total Cases'!B2:B1312,$A8,'Total Cases'!C2:C1312,"Central Visayas"),0)</f>
        <v>0</v>
      </c>
      <c r="E8" s="23" cm="1">
        <f t="array" ref="E8">_xlfn.IFERROR(_xlfn.SUMIFS('Total Cases'!F2:F1312,'Total Cases'!A2:A1312,E$3,'Total Cases'!B2:B1312,$A8,'Total Cases'!C2:C1312,"Central Visayas"),0)</f>
        <v>0</v>
      </c>
      <c r="F8" s="23" cm="1">
        <f t="array" ref="F8">_xlfn.IFERROR(_xlfn.SUMIFS('Total Cases'!F2:F1312,'Total Cases'!A2:A1312,F$3,'Total Cases'!B2:B1312,$A8,'Total Cases'!C2:C1312,"Central Visayas"),0)</f>
        <v>0</v>
      </c>
      <c r="G8" s="23" cm="1">
        <f t="array" ref="G8">_xlfn.IFERROR(_xlfn.SUMIFS('Total Cases'!F2:F1312,'Total Cases'!A2:A1312,G$3,'Total Cases'!B2:B1312,$A8,'Total Cases'!C2:C1312,"Central Visayas"),0)</f>
        <v>0</v>
      </c>
      <c r="H8" s="23" cm="1">
        <f t="array" ref="H8">_xlfn.IFERROR(_xlfn.SUMIFS('Total Cases'!F2:F1312,'Total Cases'!A2:A1312,H$3,'Total Cases'!B2:B1312,$A8,'Total Cases'!C2:C1312,"Central Visayas"),0)</f>
        <v>0</v>
      </c>
      <c r="I8" s="23" cm="1">
        <f t="array" ref="I8">_xlfn.IFERROR(_xlfn.SUMIFS('Total Cases'!F2:F1312,'Total Cases'!A2:A1312,I$3,'Total Cases'!B2:B1312,$A8,'Total Cases'!C2:C1312,"Central Visayas"),0)</f>
        <v>0</v>
      </c>
      <c r="J8" s="23" cm="1">
        <f t="array" ref="J8">_xlfn.IFERROR(_xlfn.SUMIFS('Total Cases'!F2:F1312,'Total Cases'!A2:A1312,J$3,'Total Cases'!B2:B1312,$A8,'Total Cases'!C2:C1312,"Central Visayas"),0)</f>
        <v>0</v>
      </c>
      <c r="K8" s="23" cm="1">
        <f t="array" ref="K8">_xlfn.IFERROR(_xlfn.SUMIFS('Total Cases'!F2:F1312,'Total Cases'!A2:A1312,K$3,'Total Cases'!B2:B1312,$A8,'Total Cases'!C2:C1312,"Central Visayas"),0)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Cases'!C2:C1312,"Central Visayas"),0)</f>
        <v>0</v>
      </c>
      <c r="C9" s="23" cm="1">
        <f t="array" ref="C9">_xlfn.IFERROR(_xlfn.SUMIFS('Total Cases'!F2:F1312,'Total Cases'!A2:A1312,C$3,'Total Cases'!B2:B1312,$A9,'Total Cases'!C2:C1312,"Central Visayas"),0)</f>
        <v>0</v>
      </c>
      <c r="D9" s="23" cm="1">
        <f t="array" ref="D9">_xlfn.IFERROR(_xlfn.SUMIFS('Total Cases'!F2:F1312,'Total Cases'!A2:A1312,D$3,'Total Cases'!B2:B1312,$A9,'Total Cases'!C2:C1312,"Central Visayas"),0)</f>
        <v>0</v>
      </c>
      <c r="E9" s="23" cm="1">
        <f t="array" ref="E9">_xlfn.IFERROR(_xlfn.SUMIFS('Total Cases'!F2:F1312,'Total Cases'!A2:A1312,E$3,'Total Cases'!B2:B1312,$A9,'Total Cases'!C2:C1312,"Central Visayas"),0)</f>
        <v>0</v>
      </c>
      <c r="F9" s="23" cm="1">
        <f t="array" ref="F9">_xlfn.IFERROR(_xlfn.SUMIFS('Total Cases'!F2:F1312,'Total Cases'!A2:A1312,F$3,'Total Cases'!B2:B1312,$A9,'Total Cases'!C2:C1312,"Central Visayas"),0)</f>
        <v>0</v>
      </c>
      <c r="G9" s="23" cm="1">
        <f t="array" ref="G9">_xlfn.IFERROR(_xlfn.SUMIFS('Total Cases'!F2:F1312,'Total Cases'!A2:A1312,G$3,'Total Cases'!B2:B1312,$A9,'Total Cases'!C2:C1312,"Central Visayas"),0)</f>
        <v>0</v>
      </c>
      <c r="H9" s="23" cm="1">
        <f t="array" ref="H9">_xlfn.IFERROR(_xlfn.SUMIFS('Total Cases'!F2:F1312,'Total Cases'!A2:A1312,H$3,'Total Cases'!B2:B1312,$A9,'Total Cases'!C2:C1312,"Central Visayas"),0)</f>
        <v>0</v>
      </c>
      <c r="I9" s="23" cm="1">
        <f t="array" ref="I9">_xlfn.IFERROR(_xlfn.SUMIFS('Total Cases'!F2:F1312,'Total Cases'!A2:A1312,I$3,'Total Cases'!B2:B1312,$A9,'Total Cases'!C2:C1312,"Central Visayas"),0)</f>
        <v>0</v>
      </c>
      <c r="J9" s="23" cm="1">
        <f t="array" ref="J9">_xlfn.IFERROR(_xlfn.SUMIFS('Total Cases'!F2:F1312,'Total Cases'!A2:A1312,J$3,'Total Cases'!B2:B1312,$A9,'Total Cases'!C2:C1312,"Central Visayas"),0)</f>
        <v>0</v>
      </c>
      <c r="K9" s="23" cm="1">
        <f t="array" ref="K9">_xlfn.IFERROR(_xlfn.SUMIFS('Total Cases'!F2:F1312,'Total Cases'!A2:A1312,K$3,'Total Cases'!B2:B1312,$A9,'Total Cases'!C2:C1312,"Central Visayas"),0)</f>
        <v>0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Cases'!C2:C1312,"Central Visayas"),0)</f>
        <v>0</v>
      </c>
      <c r="C10" s="23" cm="1">
        <f t="array" ref="C10">_xlfn.IFERROR(_xlfn.SUMIFS('Total Cases'!F2:F1312,'Total Cases'!A2:A1312,C$3,'Total Cases'!B2:B1312,$A10,'Total Cases'!C2:C1312,"Central Visayas"),0)</f>
        <v>0</v>
      </c>
      <c r="D10" s="23" cm="1">
        <f t="array" ref="D10">_xlfn.IFERROR(_xlfn.SUMIFS('Total Cases'!F2:F1312,'Total Cases'!A2:A1312,D$3,'Total Cases'!B2:B1312,$A10,'Total Cases'!C2:C1312,"Central Visayas"),0)</f>
        <v>0</v>
      </c>
      <c r="E10" s="23" cm="1">
        <f t="array" ref="E10">_xlfn.IFERROR(_xlfn.SUMIFS('Total Cases'!F2:F1312,'Total Cases'!A2:A1312,E$3,'Total Cases'!B2:B1312,$A10,'Total Cases'!C2:C1312,"Central Visayas"),0)</f>
        <v>0</v>
      </c>
      <c r="F10" s="23" cm="1">
        <f t="array" ref="F10">_xlfn.IFERROR(_xlfn.SUMIFS('Total Cases'!F2:F1312,'Total Cases'!A2:A1312,F$3,'Total Cases'!B2:B1312,$A10,'Total Cases'!C2:C1312,"Central Visayas"),0)</f>
        <v>0</v>
      </c>
      <c r="G10" s="23" cm="1">
        <f t="array" ref="G10">_xlfn.IFERROR(_xlfn.SUMIFS('Total Cases'!F2:F1312,'Total Cases'!A2:A1312,G$3,'Total Cases'!B2:B1312,$A10,'Total Cases'!C2:C1312,"Central Visayas"),0)</f>
        <v>0</v>
      </c>
      <c r="H10" s="23" cm="1">
        <f t="array" ref="H10">_xlfn.IFERROR(_xlfn.SUMIFS('Total Cases'!F2:F1312,'Total Cases'!A2:A1312,H$3,'Total Cases'!B2:B1312,$A10,'Total Cases'!C2:C1312,"Central Visayas"),0)</f>
        <v>0</v>
      </c>
      <c r="I10" s="23" cm="1">
        <f t="array" ref="I10">_xlfn.IFERROR(_xlfn.SUMIFS('Total Cases'!F2:F1312,'Total Cases'!A2:A1312,I$3,'Total Cases'!B2:B1312,$A10,'Total Cases'!C2:C1312,"Central Visayas"),0)</f>
        <v>0</v>
      </c>
      <c r="J10" s="23" cm="1">
        <f t="array" ref="J10">_xlfn.IFERROR(_xlfn.SUMIFS('Total Cases'!F2:F1312,'Total Cases'!A2:A1312,J$3,'Total Cases'!B2:B1312,$A10,'Total Cases'!C2:C1312,"Central Visayas"),0)</f>
        <v>0</v>
      </c>
      <c r="K10" s="23" cm="1">
        <f t="array" ref="K10">_xlfn.IFERROR(_xlfn.SUMIFS('Total Cases'!F2:F1312,'Total Cases'!A2:A1312,K$3,'Total Cases'!B2:B1312,$A10,'Total Cases'!C2:C1312,"Central Visayas"),0)</f>
        <v>0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Cases'!C2:C1312,"Central Visayas"),0)</f>
        <v>0</v>
      </c>
      <c r="C11" s="23" cm="1">
        <f t="array" ref="C11">_xlfn.IFERROR(_xlfn.SUMIFS('Total Cases'!F2:F1312,'Total Cases'!A2:A1312,C$3,'Total Cases'!B2:B1312,$A11,'Total Cases'!C2:C1312,"Central Visayas"),0)</f>
        <v>0</v>
      </c>
      <c r="D11" s="23" cm="1">
        <f t="array" ref="D11">_xlfn.IFERROR(_xlfn.SUMIFS('Total Cases'!F2:F1312,'Total Cases'!A2:A1312,D$3,'Total Cases'!B2:B1312,$A11,'Total Cases'!C2:C1312,"Central Visayas"),0)</f>
        <v>0</v>
      </c>
      <c r="E11" s="23" cm="1">
        <f t="array" ref="E11">_xlfn.IFERROR(_xlfn.SUMIFS('Total Cases'!F2:F1312,'Total Cases'!A2:A1312,E$3,'Total Cases'!B2:B1312,$A11,'Total Cases'!C2:C1312,"Central Visayas"),0)</f>
        <v>0</v>
      </c>
      <c r="F11" s="23" cm="1">
        <f t="array" ref="F11">_xlfn.IFERROR(_xlfn.SUMIFS('Total Cases'!F2:F1312,'Total Cases'!A2:A1312,F$3,'Total Cases'!B2:B1312,$A11,'Total Cases'!C2:C1312,"Central Visayas"),0)</f>
        <v>0</v>
      </c>
      <c r="G11" s="23" cm="1">
        <f t="array" ref="G11">_xlfn.IFERROR(_xlfn.SUMIFS('Total Cases'!F2:F1312,'Total Cases'!A2:A1312,G$3,'Total Cases'!B2:B1312,$A11,'Total Cases'!C2:C1312,"Central Visayas"),0)</f>
        <v>0</v>
      </c>
      <c r="H11" s="23" cm="1">
        <f t="array" ref="H11">_xlfn.IFERROR(_xlfn.SUMIFS('Total Cases'!F2:F1312,'Total Cases'!A2:A1312,H$3,'Total Cases'!B2:B1312,$A11,'Total Cases'!C2:C1312,"Central Visayas"),0)</f>
        <v>0</v>
      </c>
      <c r="I11" s="23" cm="1">
        <f t="array" ref="I11">_xlfn.IFERROR(_xlfn.SUMIFS('Total Cases'!F2:F1312,'Total Cases'!A2:A1312,I$3,'Total Cases'!B2:B1312,$A11,'Total Cases'!C2:C1312,"Central Visayas"),0)</f>
        <v>0</v>
      </c>
      <c r="J11" s="23" cm="1">
        <f t="array" ref="J11">_xlfn.IFERROR(_xlfn.SUMIFS('Total Cases'!F2:F1312,'Total Cases'!A2:A1312,J$3,'Total Cases'!B2:B1312,$A11,'Total Cases'!C2:C1312,"Central Visayas"),0)</f>
        <v>0</v>
      </c>
      <c r="K11" s="23" cm="1">
        <f t="array" ref="K11">_xlfn.IFERROR(_xlfn.SUMIFS('Total Cases'!F2:F1312,'Total Cases'!A2:A1312,K$3,'Total Cases'!B2:B1312,$A11,'Total Cases'!C2:C1312,"Central Visayas"),0)</f>
        <v>0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Cases'!C2:C1312,"Central Visayas"),0)</f>
        <v>0</v>
      </c>
      <c r="C12" s="23" cm="1">
        <f t="array" ref="C12">_xlfn.IFERROR(_xlfn.SUMIFS('Total Cases'!F2:F1312,'Total Cases'!A2:A1312,C$3,'Total Cases'!B2:B1312,$A12,'Total Cases'!C2:C1312,"Central Visayas"),0)</f>
        <v>0</v>
      </c>
      <c r="D12" s="23" cm="1">
        <f t="array" ref="D12">_xlfn.IFERROR(_xlfn.SUMIFS('Total Cases'!F2:F1312,'Total Cases'!A2:A1312,D$3,'Total Cases'!B2:B1312,$A12,'Total Cases'!C2:C1312,"Central Visayas"),0)</f>
        <v>0</v>
      </c>
      <c r="E12" s="23" cm="1">
        <f t="array" ref="E12">_xlfn.IFERROR(_xlfn.SUMIFS('Total Cases'!F2:F1312,'Total Cases'!A2:A1312,E$3,'Total Cases'!B2:B1312,$A12,'Total Cases'!C2:C1312,"Central Visayas"),0)</f>
        <v>0</v>
      </c>
      <c r="F12" s="23" cm="1">
        <f t="array" ref="F12">_xlfn.IFERROR(_xlfn.SUMIFS('Total Cases'!F2:F1312,'Total Cases'!A2:A1312,F$3,'Total Cases'!B2:B1312,$A12,'Total Cases'!C2:C1312,"Central Visayas"),0)</f>
        <v>0</v>
      </c>
      <c r="G12" s="23" cm="1">
        <f t="array" ref="G12">_xlfn.IFERROR(_xlfn.SUMIFS('Total Cases'!F2:F1312,'Total Cases'!A2:A1312,G$3,'Total Cases'!B2:B1312,$A12,'Total Cases'!C2:C1312,"Central Visayas"),0)</f>
        <v>0</v>
      </c>
      <c r="H12" s="23" cm="1">
        <f t="array" ref="H12">_xlfn.IFERROR(_xlfn.SUMIFS('Total Cases'!F2:F1312,'Total Cases'!A2:A1312,H$3,'Total Cases'!B2:B1312,$A12,'Total Cases'!C2:C1312,"Central Visayas"),0)</f>
        <v>0</v>
      </c>
      <c r="I12" s="23" cm="1">
        <f t="array" ref="I12">_xlfn.IFERROR(_xlfn.SUMIFS('Total Cases'!F2:F1312,'Total Cases'!A2:A1312,I$3,'Total Cases'!B2:B1312,$A12,'Total Cases'!C2:C1312,"Central Visayas"),0)</f>
        <v>0</v>
      </c>
      <c r="J12" s="23" cm="1">
        <f t="array" ref="J12">_xlfn.IFERROR(_xlfn.SUMIFS('Total Cases'!F2:F1312,'Total Cases'!A2:A1312,J$3,'Total Cases'!B2:B1312,$A12,'Total Cases'!C2:C1312,"Central Visayas"),0)</f>
        <v>0</v>
      </c>
      <c r="K12" s="23" cm="1">
        <f t="array" ref="K12">_xlfn.IFERROR(_xlfn.SUMIFS('Total Cases'!F2:F1312,'Total Cases'!A2:A1312,K$3,'Total Cases'!B2:B1312,$A12,'Total Cases'!C2:C1312,"Central Visayas"),0)</f>
        <v>0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Cases'!C2:C1312,"Central Visayas"),0)</f>
        <v>0</v>
      </c>
      <c r="C13" s="23" cm="1">
        <f t="array" ref="C13">_xlfn.IFERROR(_xlfn.SUMIFS('Total Cases'!F2:F1312,'Total Cases'!A2:A1312,C$3,'Total Cases'!B2:B1312,$A13,'Total Cases'!C2:C1312,"Central Visayas"),0)</f>
        <v>0</v>
      </c>
      <c r="D13" s="23" cm="1">
        <f t="array" ref="D13">_xlfn.IFERROR(_xlfn.SUMIFS('Total Cases'!F2:F1312,'Total Cases'!A2:A1312,D$3,'Total Cases'!B2:B1312,$A13,'Total Cases'!C2:C1312,"Central Visayas"),0)</f>
        <v>0</v>
      </c>
      <c r="E13" s="23" cm="1">
        <f t="array" ref="E13">_xlfn.IFERROR(_xlfn.SUMIFS('Total Cases'!F2:F1312,'Total Cases'!A2:A1312,E$3,'Total Cases'!B2:B1312,$A13,'Total Cases'!C2:C1312,"Central Visayas"),0)</f>
        <v>0</v>
      </c>
      <c r="F13" s="23" cm="1">
        <f t="array" ref="F13">_xlfn.IFERROR(_xlfn.SUMIFS('Total Cases'!F2:F1312,'Total Cases'!A2:A1312,F$3,'Total Cases'!B2:B1312,$A13,'Total Cases'!C2:C1312,"Central Visayas"),0)</f>
        <v>0</v>
      </c>
      <c r="G13" s="23" cm="1">
        <f t="array" ref="G13">_xlfn.IFERROR(_xlfn.SUMIFS('Total Cases'!F2:F1312,'Total Cases'!A2:A1312,G$3,'Total Cases'!B2:B1312,$A13,'Total Cases'!C2:C1312,"Central Visayas"),0)</f>
        <v>0</v>
      </c>
      <c r="H13" s="23" cm="1">
        <f t="array" ref="H13">_xlfn.IFERROR(_xlfn.SUMIFS('Total Cases'!F2:F1312,'Total Cases'!A2:A1312,H$3,'Total Cases'!B2:B1312,$A13,'Total Cases'!C2:C1312,"Central Visayas"),0)</f>
        <v>0</v>
      </c>
      <c r="I13" s="23" cm="1">
        <f t="array" ref="I13">_xlfn.IFERROR(_xlfn.SUMIFS('Total Cases'!F2:F1312,'Total Cases'!A2:A1312,I$3,'Total Cases'!B2:B1312,$A13,'Total Cases'!C2:C1312,"Central Visayas"),0)</f>
        <v>0</v>
      </c>
      <c r="J13" s="23" cm="1">
        <f t="array" ref="J13">_xlfn.IFERROR(_xlfn.SUMIFS('Total Cases'!F2:F1312,'Total Cases'!A2:A1312,J$3,'Total Cases'!B2:B1312,$A13,'Total Cases'!C2:C1312,"Central Visayas"),0)</f>
        <v>0</v>
      </c>
      <c r="K13" s="23" cm="1">
        <f t="array" ref="K13">_xlfn.IFERROR(_xlfn.SUMIFS('Total Cases'!F2:F1312,'Total Cases'!A2:A1312,K$3,'Total Cases'!B2:B1312,$A13,'Total Cases'!C2:C1312,"Central Visayas"),0)</f>
        <v>0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Cases'!C2:C1312,"Central Visayas"),0)</f>
        <v>0</v>
      </c>
      <c r="C14" s="23" cm="1">
        <f t="array" ref="C14">_xlfn.IFERROR(_xlfn.SUMIFS('Total Cases'!F2:F1312,'Total Cases'!A2:A1312,C$3,'Total Cases'!B2:B1312,$A14,'Total Cases'!C2:C1312,"Central Visayas"),0)</f>
        <v>0</v>
      </c>
      <c r="D14" s="23" cm="1">
        <f t="array" ref="D14">_xlfn.IFERROR(_xlfn.SUMIFS('Total Cases'!F2:F1312,'Total Cases'!A2:A1312,D$3,'Total Cases'!B2:B1312,$A14,'Total Cases'!C2:C1312,"Central Visayas"),0)</f>
        <v>0</v>
      </c>
      <c r="E14" s="23" cm="1">
        <f t="array" ref="E14">_xlfn.IFERROR(_xlfn.SUMIFS('Total Cases'!F2:F1312,'Total Cases'!A2:A1312,E$3,'Total Cases'!B2:B1312,$A14,'Total Cases'!C2:C1312,"Central Visayas"),0)</f>
        <v>0</v>
      </c>
      <c r="F14" s="23" cm="1">
        <f t="array" ref="F14">_xlfn.IFERROR(_xlfn.SUMIFS('Total Cases'!F2:F1312,'Total Cases'!A2:A1312,F$3,'Total Cases'!B2:B1312,$A14,'Total Cases'!C2:C1312,"Central Visayas"),0)</f>
        <v>0</v>
      </c>
      <c r="G14" s="23" cm="1">
        <f t="array" ref="G14">_xlfn.IFERROR(_xlfn.SUMIFS('Total Cases'!F2:F1312,'Total Cases'!A2:A1312,G$3,'Total Cases'!B2:B1312,$A14,'Total Cases'!C2:C1312,"Central Visayas"),0)</f>
        <v>0</v>
      </c>
      <c r="H14" s="23" cm="1">
        <f t="array" ref="H14">_xlfn.IFERROR(_xlfn.SUMIFS('Total Cases'!F2:F1312,'Total Cases'!A2:A1312,H$3,'Total Cases'!B2:B1312,$A14,'Total Cases'!C2:C1312,"Central Visayas"),0)</f>
        <v>0</v>
      </c>
      <c r="I14" s="23" cm="1">
        <f t="array" ref="I14">_xlfn.IFERROR(_xlfn.SUMIFS('Total Cases'!F2:F1312,'Total Cases'!A2:A1312,I$3,'Total Cases'!B2:B1312,$A14,'Total Cases'!C2:C1312,"Central Visayas"),0)</f>
        <v>0</v>
      </c>
      <c r="J14" s="23" cm="1">
        <f t="array" ref="J14">_xlfn.IFERROR(_xlfn.SUMIFS('Total Cases'!F2:F1312,'Total Cases'!A2:A1312,J$3,'Total Cases'!B2:B1312,$A14,'Total Cases'!C2:C1312,"Central Visayas"),0)</f>
        <v>0</v>
      </c>
      <c r="K14" s="23" cm="1">
        <f t="array" ref="K14">_xlfn.IFERROR(_xlfn.SUMIFS('Total Cases'!F2:F1312,'Total Cases'!A2:A1312,K$3,'Total Cases'!B2:B1312,$A14,'Total Cases'!C2:C1312,"Central Visayas"),0)</f>
        <v>0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Cases'!C2:C1312,"Central Visayas"),0)</f>
        <v>0</v>
      </c>
      <c r="C15" s="23" cm="1">
        <f t="array" ref="C15">_xlfn.IFERROR(_xlfn.SUMIFS('Total Cases'!F2:F1312,'Total Cases'!A2:A1312,C$3,'Total Cases'!B2:B1312,$A15,'Total Cases'!C2:C1312,"Central Visayas"),0)</f>
        <v>0</v>
      </c>
      <c r="D15" s="23" cm="1">
        <f t="array" ref="D15">_xlfn.IFERROR(_xlfn.SUMIFS('Total Cases'!F2:F1312,'Total Cases'!A2:A1312,D$3,'Total Cases'!B2:B1312,$A15,'Total Cases'!C2:C1312,"Central Visayas"),0)</f>
        <v>0</v>
      </c>
      <c r="E15" s="23" cm="1">
        <f t="array" ref="E15">_xlfn.IFERROR(_xlfn.SUMIFS('Total Cases'!F2:F1312,'Total Cases'!A2:A1312,E$3,'Total Cases'!B2:B1312,$A15,'Total Cases'!C2:C1312,"Central Visayas"),0)</f>
        <v>0</v>
      </c>
      <c r="F15" s="23" cm="1">
        <f t="array" ref="F15">_xlfn.IFERROR(_xlfn.SUMIFS('Total Cases'!F2:F1312,'Total Cases'!A2:A1312,F$3,'Total Cases'!B2:B1312,$A15,'Total Cases'!C2:C1312,"Central Visayas"),0)</f>
        <v>0</v>
      </c>
      <c r="G15" s="23" cm="1">
        <f t="array" ref="G15">_xlfn.IFERROR(_xlfn.SUMIFS('Total Cases'!F2:F1312,'Total Cases'!A2:A1312,G$3,'Total Cases'!B2:B1312,$A15,'Total Cases'!C2:C1312,"Central Visayas"),0)</f>
        <v>0</v>
      </c>
      <c r="H15" s="23" cm="1">
        <f t="array" ref="H15">_xlfn.IFERROR(_xlfn.SUMIFS('Total Cases'!F2:F1312,'Total Cases'!A2:A1312,H$3,'Total Cases'!B2:B1312,$A15,'Total Cases'!C2:C1312,"Central Visayas"),0)</f>
        <v>0</v>
      </c>
      <c r="I15" s="23" cm="1">
        <f t="array" ref="I15">_xlfn.IFERROR(_xlfn.SUMIFS('Total Cases'!F2:F1312,'Total Cases'!A2:A1312,I$3,'Total Cases'!B2:B1312,$A15,'Total Cases'!C2:C1312,"Central Visayas"),0)</f>
        <v>0</v>
      </c>
      <c r="J15" s="23" cm="1">
        <f t="array" ref="J15">_xlfn.IFERROR(_xlfn.SUMIFS('Total Cases'!F2:F1312,'Total Cases'!A2:A1312,J$3,'Total Cases'!B2:B1312,$A15,'Total Cases'!C2:C1312,"Central Visayas"),0)</f>
        <v>0</v>
      </c>
      <c r="K15" s="23" cm="1">
        <f t="array" ref="K15">_xlfn.IFERROR(_xlfn.SUMIFS('Total Cases'!F2:F1312,'Total Cases'!A2:A1312,K$3,'Total Cases'!B2:B1312,$A15,'Total Cases'!C2:C1312,"Central Visayas"),0)</f>
        <v>0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</sheetData>
  <mergeCells count="1">
    <mergeCell ref="A1:K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K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4" customWidth="1"/>
    <col min="2" max="11" width="16" style="64" customWidth="1"/>
    <col min="12" max="16384" width="8.67188" style="64" customWidth="1"/>
  </cols>
  <sheetData>
    <row r="1" ht="18.5" customHeight="1">
      <c r="A1" t="s" s="39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58">
        <v>59</v>
      </c>
      <c r="H3" t="s" s="55">
        <v>48</v>
      </c>
      <c r="I3" t="s" s="46">
        <v>30</v>
      </c>
      <c r="J3" t="s" s="47">
        <v>36</v>
      </c>
      <c r="K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Cases'!C2:C1312,"Eastern Visayas"),0)</f>
        <v>2.19835673824067</v>
      </c>
      <c r="C4" s="23" cm="1">
        <f t="array" ref="C4">_xlfn.IFERROR(_xlfn.SUMIFS('Total Cases'!F2:F1312,'Total Cases'!A2:A1312,C$3,'Total Cases'!B2:B1312,$A4,'Total Cases'!C2:C1312,"Eastern Visayas"),0)</f>
        <v>0</v>
      </c>
      <c r="D4" s="23" cm="1">
        <f t="array" ref="D4">_xlfn.IFERROR(_xlfn.SUMIFS('Total Cases'!F2:F1312,'Total Cases'!A2:A1312,D$3,'Total Cases'!B2:B1312,$A4,'Total Cases'!C2:C1312,"Eastern Visayas"),0)</f>
        <v>0</v>
      </c>
      <c r="E4" s="23" cm="1">
        <f t="array" ref="E4">_xlfn.IFERROR(_xlfn.SUMIFS('Total Cases'!F2:F1312,'Total Cases'!A2:A1312,E$3,'Total Cases'!B2:B1312,$A4,'Total Cases'!C2:C1312,"Eastern Visayas"),0)</f>
        <v>4.35710344516169</v>
      </c>
      <c r="F4" s="23" cm="1">
        <f t="array" ref="F4">_xlfn.IFERROR(_xlfn.SUMIFS('Total Cases'!F2:F1312,'Total Cases'!A2:A1312,F$3,'Total Cases'!B2:B1312,$A4,'Total Cases'!C2:C1312,"Eastern Visayas"),0)</f>
        <v>0</v>
      </c>
      <c r="G4" s="23" cm="1">
        <f t="array" ref="G4">_xlfn.IFERROR(_xlfn.SUMIFS('Total Cases'!F2:F1312,'Total Cases'!A2:A1312,G$3,'Total Cases'!B2:B1312,$A4,'Total Cases'!C2:C1312,"Eastern Visayas"),0)</f>
        <v>0</v>
      </c>
      <c r="H4" s="23" cm="1">
        <f t="array" ref="H4">_xlfn.IFERROR(_xlfn.SUMIFS('Total Cases'!F2:F1312,'Total Cases'!A2:A1312,H$3,'Total Cases'!B2:B1312,$A4,'Total Cases'!C2:C1312,"Eastern Visayas"),0)</f>
        <v>0</v>
      </c>
      <c r="I4" s="23" cm="1">
        <f t="array" ref="I4">_xlfn.IFERROR(_xlfn.SUMIFS('Total Cases'!F2:F1312,'Total Cases'!A2:A1312,I$3,'Total Cases'!B2:B1312,$A4,'Total Cases'!C2:C1312,"Eastern Visayas"),0)</f>
        <v>13.0515053198253</v>
      </c>
      <c r="J4" s="23" cm="1">
        <f t="array" ref="J4">_xlfn.IFERROR(_xlfn.SUMIFS('Total Cases'!F2:F1312,'Total Cases'!A2:A1312,J$3,'Total Cases'!B2:B1312,$A4,'Total Cases'!C2:C1312,"Eastern Visayas"),0)</f>
        <v>0</v>
      </c>
      <c r="K4" s="23" cm="1">
        <f t="array" ref="K4">_xlfn.IFERROR(_xlfn.SUMIFS('Total Cases'!F2:F1312,'Total Cases'!A2:A1312,K$3,'Total Cases'!B2:B1312,$A4,'Total Cases'!C2:C1312,"Eastern Visayas"),0)</f>
        <v>59.830952308334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Cases'!C2:C1312,"Eastern Visayas"),0)</f>
        <v>2.1389416912612</v>
      </c>
      <c r="C5" s="23" cm="1">
        <f t="array" ref="C5">_xlfn.IFERROR(_xlfn.SUMIFS('Total Cases'!F2:F1312,'Total Cases'!A2:A1312,C$3,'Total Cases'!B2:B1312,$A5,'Total Cases'!C2:C1312,"Eastern Visayas"),0)</f>
        <v>0</v>
      </c>
      <c r="D5" s="23" cm="1">
        <f t="array" ref="D5">_xlfn.IFERROR(_xlfn.SUMIFS('Total Cases'!F2:F1312,'Total Cases'!A2:A1312,D$3,'Total Cases'!B2:B1312,$A5,'Total Cases'!C2:C1312,"Eastern Visayas"),0)</f>
        <v>0</v>
      </c>
      <c r="E5" s="23" cm="1">
        <f t="array" ref="E5">_xlfn.IFERROR(_xlfn.SUMIFS('Total Cases'!F2:F1312,'Total Cases'!A2:A1312,E$3,'Total Cases'!B2:B1312,$A5,'Total Cases'!C2:C1312,"Eastern Visayas"),0)</f>
        <v>4.57495861741978</v>
      </c>
      <c r="F5" s="23" cm="1">
        <f t="array" ref="F5">_xlfn.IFERROR(_xlfn.SUMIFS('Total Cases'!F2:F1312,'Total Cases'!A2:A1312,F$3,'Total Cases'!B2:B1312,$A5,'Total Cases'!C2:C1312,"Eastern Visayas"),0)</f>
        <v>0</v>
      </c>
      <c r="G5" s="23" cm="1">
        <f t="array" ref="G5">_xlfn.IFERROR(_xlfn.SUMIFS('Total Cases'!F2:F1312,'Total Cases'!A2:A1312,G$3,'Total Cases'!B2:B1312,$A5,'Total Cases'!C2:C1312,"Eastern Visayas"),0)</f>
        <v>0</v>
      </c>
      <c r="H5" s="23" cm="1">
        <f t="array" ref="H5">_xlfn.IFERROR(_xlfn.SUMIFS('Total Cases'!F2:F1312,'Total Cases'!A2:A1312,H$3,'Total Cases'!B2:B1312,$A5,'Total Cases'!C2:C1312,"Eastern Visayas"),0)</f>
        <v>0</v>
      </c>
      <c r="I5" s="23" cm="1">
        <f t="array" ref="I5">_xlfn.IFERROR(_xlfn.SUMIFS('Total Cases'!F2:F1312,'Total Cases'!A2:A1312,I$3,'Total Cases'!B2:B1312,$A5,'Total Cases'!C2:C1312,"Eastern Visayas"),0)</f>
        <v>13.1505303981244</v>
      </c>
      <c r="J5" s="23" cm="1">
        <f t="array" ref="J5">_xlfn.IFERROR(_xlfn.SUMIFS('Total Cases'!F2:F1312,'Total Cases'!A2:A1312,J$3,'Total Cases'!B2:B1312,$A5,'Total Cases'!C2:C1312,"Eastern Visayas"),0)</f>
        <v>0</v>
      </c>
      <c r="K5" s="23" cm="1">
        <f t="array" ref="K5">_xlfn.IFERROR(_xlfn.SUMIFS('Total Cases'!F2:F1312,'Total Cases'!A2:A1312,K$3,'Total Cases'!B2:B1312,$A5,'Total Cases'!C2:C1312,"Eastern Visayas"),0)</f>
        <v>84.2109265855797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Cases'!C2:C1312,"Eastern Visayas"),0)</f>
        <v>7.28824576281592</v>
      </c>
      <c r="C6" s="23" cm="1">
        <f t="array" ref="C6">_xlfn.IFERROR(_xlfn.SUMIFS('Total Cases'!F2:F1312,'Total Cases'!A2:A1312,C$3,'Total Cases'!B2:B1312,$A6,'Total Cases'!C2:C1312,"Eastern Visayas"),0)</f>
        <v>9.80348275161381</v>
      </c>
      <c r="D6" s="23" cm="1">
        <f t="array" ref="D6">_xlfn.IFERROR(_xlfn.SUMIFS('Total Cases'!F2:F1312,'Total Cases'!A2:A1312,D$3,'Total Cases'!B2:B1312,$A6,'Total Cases'!C2:C1312,"Eastern Visayas"),0)</f>
        <v>0</v>
      </c>
      <c r="E6" s="23" cm="1">
        <f t="array" ref="E6">_xlfn.IFERROR(_xlfn.SUMIFS('Total Cases'!F2:F1312,'Total Cases'!A2:A1312,E$3,'Total Cases'!B2:B1312,$A6,'Total Cases'!C2:C1312,"Eastern Visayas"),0)</f>
        <v>5.84247961964864</v>
      </c>
      <c r="F6" s="23" cm="1">
        <f t="array" ref="F6">_xlfn.IFERROR(_xlfn.SUMIFS('Total Cases'!F2:F1312,'Total Cases'!A2:A1312,F$3,'Total Cases'!B2:B1312,$A6,'Total Cases'!C2:C1312,"Eastern Visayas"),0)</f>
        <v>0</v>
      </c>
      <c r="G6" s="23" cm="1">
        <f t="array" ref="G6">_xlfn.IFERROR(_xlfn.SUMIFS('Total Cases'!F2:F1312,'Total Cases'!A2:A1312,G$3,'Total Cases'!B2:B1312,$A6,'Total Cases'!C2:C1312,"Eastern Visayas"),0)</f>
        <v>0</v>
      </c>
      <c r="H6" s="23" cm="1">
        <f t="array" ref="H6">_xlfn.IFERROR(_xlfn.SUMIFS('Total Cases'!F2:F1312,'Total Cases'!A2:A1312,H$3,'Total Cases'!B2:B1312,$A6,'Total Cases'!C2:C1312,"Eastern Visayas"),0)</f>
        <v>0</v>
      </c>
      <c r="I6" s="23" cm="1">
        <f t="array" ref="I6">_xlfn.IFERROR(_xlfn.SUMIFS('Total Cases'!F2:F1312,'Total Cases'!A2:A1312,I$3,'Total Cases'!B2:B1312,$A6,'Total Cases'!C2:C1312,"Eastern Visayas"),0)</f>
        <v>43.4918143889776</v>
      </c>
      <c r="J6" s="23" cm="1">
        <f t="array" ref="J6">_xlfn.IFERROR(_xlfn.SUMIFS('Total Cases'!F2:F1312,'Total Cases'!A2:A1312,J$3,'Total Cases'!B2:B1312,$A6,'Total Cases'!C2:C1312,"Eastern Visayas"),0)</f>
        <v>7.58532099771331</v>
      </c>
      <c r="K6" s="23" cm="1">
        <f t="array" ref="K6">_xlfn.IFERROR(_xlfn.SUMIFS('Total Cases'!F2:F1312,'Total Cases'!A2:A1312,K$3,'Total Cases'!B2:B1312,$A6,'Total Cases'!C2:C1312,"Eastern Visayas"),0)</f>
        <v>94.7868049479267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Cases'!C2:C1312,"Eastern Visayas"),0)</f>
        <v>134.872156643414</v>
      </c>
      <c r="C7" s="23" cm="1">
        <f t="array" ref="C7">_xlfn.IFERROR(_xlfn.SUMIFS('Total Cases'!F2:F1312,'Total Cases'!A2:A1312,C$3,'Total Cases'!B2:B1312,$A7,'Total Cases'!C2:C1312,"Eastern Visayas"),0)</f>
        <v>19.3098902683302</v>
      </c>
      <c r="D7" s="23" cm="1">
        <f t="array" ref="D7">_xlfn.IFERROR(_xlfn.SUMIFS('Total Cases'!F2:F1312,'Total Cases'!A2:A1312,D$3,'Total Cases'!B2:B1312,$A7,'Total Cases'!C2:C1312,"Eastern Visayas"),0)</f>
        <v>0</v>
      </c>
      <c r="E7" s="23" cm="1">
        <f t="array" ref="E7">_xlfn.IFERROR(_xlfn.SUMIFS('Total Cases'!F2:F1312,'Total Cases'!A2:A1312,E$3,'Total Cases'!B2:B1312,$A7,'Total Cases'!C2:C1312,"Eastern Visayas"),0)</f>
        <v>0</v>
      </c>
      <c r="F7" s="23" cm="1">
        <f t="array" ref="F7">_xlfn.IFERROR(_xlfn.SUMIFS('Total Cases'!F2:F1312,'Total Cases'!A2:A1312,F$3,'Total Cases'!B2:B1312,$A7,'Total Cases'!C2:C1312,"Eastern Visayas"),0)</f>
        <v>30.0045987246362</v>
      </c>
      <c r="G7" s="23" cm="1">
        <f t="array" ref="G7">_xlfn.IFERROR(_xlfn.SUMIFS('Total Cases'!F2:F1312,'Total Cases'!A2:A1312,G$3,'Total Cases'!B2:B1312,$A7,'Total Cases'!C2:C1312,"Eastern Visayas"),0)</f>
        <v>50.7998651674534</v>
      </c>
      <c r="H7" s="23" cm="1">
        <f t="array" ref="H7">_xlfn.IFERROR(_xlfn.SUMIFS('Total Cases'!F2:F1312,'Total Cases'!A2:A1312,H$3,'Total Cases'!B2:B1312,$A7,'Total Cases'!C2:C1312,"Eastern Visayas"),0)</f>
        <v>0</v>
      </c>
      <c r="I7" s="23" cm="1">
        <f t="array" ref="I7">_xlfn.IFERROR(_xlfn.SUMIFS('Total Cases'!F2:F1312,'Total Cases'!A2:A1312,I$3,'Total Cases'!B2:B1312,$A7,'Total Cases'!C2:C1312,"Eastern Visayas"),0)</f>
        <v>358.272733286250</v>
      </c>
      <c r="J7" s="23" cm="1">
        <f t="array" ref="J7">_xlfn.IFERROR(_xlfn.SUMIFS('Total Cases'!F2:F1312,'Total Cases'!A2:A1312,J$3,'Total Cases'!B2:B1312,$A7,'Total Cases'!C2:C1312,"Eastern Visayas"),0)</f>
        <v>73.6746582545523</v>
      </c>
      <c r="K7" s="23" cm="1">
        <f t="array" ref="K7">_xlfn.IFERROR(_xlfn.SUMIFS('Total Cases'!F2:F1312,'Total Cases'!A2:A1312,K$3,'Total Cases'!B2:B1312,$A7,'Total Cases'!C2:C1312,"Eastern Visayas"),0)</f>
        <v>0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Cases'!C2:C1312,"Eastern Visayas"),0)</f>
        <v>31.0344595389472</v>
      </c>
      <c r="C8" s="23" cm="1">
        <f t="array" ref="C8">_xlfn.IFERROR(_xlfn.SUMIFS('Total Cases'!F2:F1312,'Total Cases'!A2:A1312,C$3,'Total Cases'!B2:B1312,$A8,'Total Cases'!C2:C1312,"Eastern Visayas"),0)</f>
        <v>11.1106137851623</v>
      </c>
      <c r="D8" s="23" cm="1">
        <f t="array" ref="D8">_xlfn.IFERROR(_xlfn.SUMIFS('Total Cases'!F2:F1312,'Total Cases'!A2:A1312,D$3,'Total Cases'!B2:B1312,$A8,'Total Cases'!C2:C1312,"Eastern Visayas"),0)</f>
        <v>16.8936783578315</v>
      </c>
      <c r="E8" s="23" cm="1">
        <f t="array" ref="E8">_xlfn.IFERROR(_xlfn.SUMIFS('Total Cases'!F2:F1312,'Total Cases'!A2:A1312,E$3,'Total Cases'!B2:B1312,$A8,'Total Cases'!C2:C1312,"Eastern Visayas"),0)</f>
        <v>0</v>
      </c>
      <c r="F8" s="23" cm="1">
        <f t="array" ref="F8">_xlfn.IFERROR(_xlfn.SUMIFS('Total Cases'!F2:F1312,'Total Cases'!A2:A1312,F$3,'Total Cases'!B2:B1312,$A8,'Total Cases'!C2:C1312,"Eastern Visayas"),0)</f>
        <v>21.2903918343128</v>
      </c>
      <c r="G8" s="23" cm="1">
        <f t="array" ref="G8">_xlfn.IFERROR(_xlfn.SUMIFS('Total Cases'!F2:F1312,'Total Cases'!A2:A1312,G$3,'Total Cases'!B2:B1312,$A8,'Total Cases'!C2:C1312,"Eastern Visayas"),0)</f>
        <v>0</v>
      </c>
      <c r="H8" s="23" cm="1">
        <f t="array" ref="H8">_xlfn.IFERROR(_xlfn.SUMIFS('Total Cases'!F2:F1312,'Total Cases'!A2:A1312,H$3,'Total Cases'!B2:B1312,$A8,'Total Cases'!C2:C1312,"Eastern Visayas"),0)</f>
        <v>0</v>
      </c>
      <c r="I8" s="23" cm="1">
        <f t="array" ref="I8">_xlfn.IFERROR(_xlfn.SUMIFS('Total Cases'!F2:F1312,'Total Cases'!A2:A1312,I$3,'Total Cases'!B2:B1312,$A8,'Total Cases'!C2:C1312,"Eastern Visayas"),0)</f>
        <v>108.095775471330</v>
      </c>
      <c r="J8" s="23" cm="1">
        <f t="array" ref="J8">_xlfn.IFERROR(_xlfn.SUMIFS('Total Cases'!F2:F1312,'Total Cases'!A2:A1312,J$3,'Total Cases'!B2:B1312,$A8,'Total Cases'!C2:C1312,"Eastern Visayas"),0)</f>
        <v>8.417131655425999</v>
      </c>
      <c r="K8" s="23" cm="1">
        <f t="array" ref="K8">_xlfn.IFERROR(_xlfn.SUMIFS('Total Cases'!F2:F1312,'Total Cases'!A2:A1312,K$3,'Total Cases'!B2:B1312,$A8,'Total Cases'!C2:C1312,"Eastern Visayas"),0)</f>
        <v>44.8583604695056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Cases'!C2:C1312,"Eastern Visayas"),0)</f>
        <v>49.5719541965442</v>
      </c>
      <c r="C9" s="23" cm="1">
        <f t="array" ref="C9">_xlfn.IFERROR(_xlfn.SUMIFS('Total Cases'!F2:F1312,'Total Cases'!A2:A1312,C$3,'Total Cases'!B2:B1312,$A9,'Total Cases'!C2:C1312,"Eastern Visayas"),0)</f>
        <v>14.4774664473327</v>
      </c>
      <c r="D9" s="23" cm="1">
        <f t="array" ref="D9">_xlfn.IFERROR(_xlfn.SUMIFS('Total Cases'!F2:F1312,'Total Cases'!A2:A1312,D$3,'Total Cases'!B2:B1312,$A9,'Total Cases'!C2:C1312,"Eastern Visayas"),0)</f>
        <v>27.5091667514982</v>
      </c>
      <c r="E9" s="23" cm="1">
        <f t="array" ref="E9">_xlfn.IFERROR(_xlfn.SUMIFS('Total Cases'!F2:F1312,'Total Cases'!A2:A1312,E$3,'Total Cases'!B2:B1312,$A9,'Total Cases'!C2:C1312,"Eastern Visayas"),0)</f>
        <v>0</v>
      </c>
      <c r="F9" s="23" cm="1">
        <f t="array" ref="F9">_xlfn.IFERROR(_xlfn.SUMIFS('Total Cases'!F2:F1312,'Total Cases'!A2:A1312,F$3,'Total Cases'!B2:B1312,$A9,'Total Cases'!C2:C1312,"Eastern Visayas"),0)</f>
        <v>79.5171378742009</v>
      </c>
      <c r="G9" s="23" cm="1">
        <f t="array" ref="G9">_xlfn.IFERROR(_xlfn.SUMIFS('Total Cases'!F2:F1312,'Total Cases'!A2:A1312,G$3,'Total Cases'!B2:B1312,$A9,'Total Cases'!C2:C1312,"Eastern Visayas"),0)</f>
        <v>0</v>
      </c>
      <c r="H9" s="23" cm="1">
        <f t="array" ref="H9">_xlfn.IFERROR(_xlfn.SUMIFS('Total Cases'!F2:F1312,'Total Cases'!A2:A1312,H$3,'Total Cases'!B2:B1312,$A9,'Total Cases'!C2:C1312,"Eastern Visayas"),0)</f>
        <v>0</v>
      </c>
      <c r="I9" s="23" cm="1">
        <f t="array" ref="I9">_xlfn.IFERROR(_xlfn.SUMIFS('Total Cases'!F2:F1312,'Total Cases'!A2:A1312,I$3,'Total Cases'!B2:B1312,$A9,'Total Cases'!C2:C1312,"Eastern Visayas"),0)</f>
        <v>154.538537193621</v>
      </c>
      <c r="J9" s="23" cm="1">
        <f t="array" ref="J9">_xlfn.IFERROR(_xlfn.SUMIFS('Total Cases'!F2:F1312,'Total Cases'!A2:A1312,J$3,'Total Cases'!B2:B1312,$A9,'Total Cases'!C2:C1312,"Eastern Visayas"),0)</f>
        <v>13.645655789620</v>
      </c>
      <c r="K9" s="23" cm="1">
        <f t="array" ref="K9">_xlfn.IFERROR(_xlfn.SUMIFS('Total Cases'!F2:F1312,'Total Cases'!A2:A1312,K$3,'Total Cases'!B2:B1312,$A9,'Total Cases'!C2:C1312,"Eastern Visayas"),0)</f>
        <v>61.4351585767799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Cases'!C2:C1312,"Eastern Visayas"),0)</f>
        <v>72.8626526124994</v>
      </c>
      <c r="C10" s="23" cm="1">
        <f t="array" ref="C10">_xlfn.IFERROR(_xlfn.SUMIFS('Total Cases'!F2:F1312,'Total Cases'!A2:A1312,C$3,'Total Cases'!B2:B1312,$A10,'Total Cases'!C2:C1312,"Eastern Visayas"),0)</f>
        <v>0</v>
      </c>
      <c r="D10" s="23" cm="1">
        <f t="array" ref="D10">_xlfn.IFERROR(_xlfn.SUMIFS('Total Cases'!F2:F1312,'Total Cases'!A2:A1312,D$3,'Total Cases'!B2:B1312,$A10,'Total Cases'!C2:C1312,"Eastern Visayas"),0)</f>
        <v>40.4220369617046</v>
      </c>
      <c r="E10" s="23" cm="1">
        <f t="array" ref="E10">_xlfn.IFERROR(_xlfn.SUMIFS('Total Cases'!F2:F1312,'Total Cases'!A2:A1312,E$3,'Total Cases'!B2:B1312,$A10,'Total Cases'!C2:C1312,"Eastern Visayas"),0)</f>
        <v>0</v>
      </c>
      <c r="F10" s="23" cm="1">
        <f t="array" ref="F10">_xlfn.IFERROR(_xlfn.SUMIFS('Total Cases'!F2:F1312,'Total Cases'!A2:A1312,F$3,'Total Cases'!B2:B1312,$A10,'Total Cases'!C2:C1312,"Eastern Visayas"),0)</f>
        <v>94.86602501056601</v>
      </c>
      <c r="G10" s="23" cm="1">
        <f t="array" ref="G10">_xlfn.IFERROR(_xlfn.SUMIFS('Total Cases'!F2:F1312,'Total Cases'!A2:A1312,G$3,'Total Cases'!B2:B1312,$A10,'Total Cases'!C2:C1312,"Eastern Visayas"),0)</f>
        <v>0</v>
      </c>
      <c r="H10" s="23" cm="1">
        <f t="array" ref="H10">_xlfn.IFERROR(_xlfn.SUMIFS('Total Cases'!F2:F1312,'Total Cases'!A2:A1312,H$3,'Total Cases'!B2:B1312,$A10,'Total Cases'!C2:C1312,"Eastern Visayas"),0)</f>
        <v>0</v>
      </c>
      <c r="I10" s="23" cm="1">
        <f t="array" ref="I10">_xlfn.IFERROR(_xlfn.SUMIFS('Total Cases'!F2:F1312,'Total Cases'!A2:A1312,I$3,'Total Cases'!B2:B1312,$A10,'Total Cases'!C2:C1312,"Eastern Visayas"),0)</f>
        <v>259.465510159379</v>
      </c>
      <c r="J10" s="23" cm="1">
        <f t="array" ref="J10">_xlfn.IFERROR(_xlfn.SUMIFS('Total Cases'!F2:F1312,'Total Cases'!A2:A1312,J$3,'Total Cases'!B2:B1312,$A10,'Total Cases'!C2:C1312,"Eastern Visayas"),0)</f>
        <v>47.433012505283</v>
      </c>
      <c r="K10" s="23" cm="1">
        <f t="array" ref="K10">_xlfn.IFERROR(_xlfn.SUMIFS('Total Cases'!F2:F1312,'Total Cases'!A2:A1312,K$3,'Total Cases'!B2:B1312,$A10,'Total Cases'!C2:C1312,"Eastern Visayas"),0)</f>
        <v>42.1648783397693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Cases'!C2:C1312,"Eastern Visayas"),0)</f>
        <v>115.185971077547</v>
      </c>
      <c r="C11" s="23" cm="1">
        <f t="array" ref="C11">_xlfn.IFERROR(_xlfn.SUMIFS('Total Cases'!F2:F1312,'Total Cases'!A2:A1312,C$3,'Total Cases'!B2:B1312,$A11,'Total Cases'!C2:C1312,"Eastern Visayas"),0)</f>
        <v>0</v>
      </c>
      <c r="D11" s="23" cm="1">
        <f t="array" ref="D11">_xlfn.IFERROR(_xlfn.SUMIFS('Total Cases'!F2:F1312,'Total Cases'!A2:A1312,D$3,'Total Cases'!B2:B1312,$A11,'Total Cases'!C2:C1312,"Eastern Visayas"),0)</f>
        <v>39.015880849857</v>
      </c>
      <c r="E11" s="23" cm="1">
        <f t="array" ref="E11">_xlfn.IFERROR(_xlfn.SUMIFS('Total Cases'!F2:F1312,'Total Cases'!A2:A1312,E$3,'Total Cases'!B2:B1312,$A11,'Total Cases'!C2:C1312,"Eastern Visayas"),0)</f>
        <v>0</v>
      </c>
      <c r="F11" s="23" cm="1">
        <f t="array" ref="F11">_xlfn.IFERROR(_xlfn.SUMIFS('Total Cases'!F2:F1312,'Total Cases'!A2:A1312,F$3,'Total Cases'!B2:B1312,$A11,'Total Cases'!C2:C1312,"Eastern Visayas"),0)</f>
        <v>90.68716670634269</v>
      </c>
      <c r="G11" s="23" cm="1">
        <f t="array" ref="G11">_xlfn.IFERROR(_xlfn.SUMIFS('Total Cases'!F2:F1312,'Total Cases'!A2:A1312,G$3,'Total Cases'!B2:B1312,$A11,'Total Cases'!C2:C1312,"Eastern Visayas"),0)</f>
        <v>0</v>
      </c>
      <c r="H11" s="23" cm="1">
        <f t="array" ref="H11">_xlfn.IFERROR(_xlfn.SUMIFS('Total Cases'!F2:F1312,'Total Cases'!A2:A1312,H$3,'Total Cases'!B2:B1312,$A11,'Total Cases'!C2:C1312,"Eastern Visayas"),0)</f>
        <v>0</v>
      </c>
      <c r="I11" s="23" cm="1">
        <f t="array" ref="I11">_xlfn.IFERROR(_xlfn.SUMIFS('Total Cases'!F2:F1312,'Total Cases'!A2:A1312,I$3,'Total Cases'!B2:B1312,$A11,'Total Cases'!C2:C1312,"Eastern Visayas"),0)</f>
        <v>284.558465000378</v>
      </c>
      <c r="J11" s="23" cm="1">
        <f t="array" ref="J11">_xlfn.IFERROR(_xlfn.SUMIFS('Total Cases'!F2:F1312,'Total Cases'!A2:A1312,J$3,'Total Cases'!B2:B1312,$A11,'Total Cases'!C2:C1312,"Eastern Visayas"),0)</f>
        <v>52.5427065455181</v>
      </c>
      <c r="K11" s="23" cm="1">
        <f t="array" ref="K11">_xlfn.IFERROR(_xlfn.SUMIFS('Total Cases'!F2:F1312,'Total Cases'!A2:A1312,K$3,'Total Cases'!B2:B1312,$A11,'Total Cases'!C2:C1312,"Eastern Visayas"),0)</f>
        <v>22.3598626799434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Cases'!C2:C1312,"Eastern Visayas"),0)</f>
        <v>111.423018102180</v>
      </c>
      <c r="C12" s="23" cm="1">
        <f t="array" ref="C12">_xlfn.IFERROR(_xlfn.SUMIFS('Total Cases'!F2:F1312,'Total Cases'!A2:A1312,C$3,'Total Cases'!B2:B1312,$A12,'Total Cases'!C2:C1312,"Eastern Visayas"),0)</f>
        <v>0</v>
      </c>
      <c r="D12" s="23" cm="1">
        <f t="array" ref="D12">_xlfn.IFERROR(_xlfn.SUMIFS('Total Cases'!F2:F1312,'Total Cases'!A2:A1312,D$3,'Total Cases'!B2:B1312,$A12,'Total Cases'!C2:C1312,"Eastern Visayas"),0)</f>
        <v>41.6895579639335</v>
      </c>
      <c r="E12" s="23" cm="1">
        <f t="array" ref="E12">_xlfn.IFERROR(_xlfn.SUMIFS('Total Cases'!F2:F1312,'Total Cases'!A2:A1312,E$3,'Total Cases'!B2:B1312,$A12,'Total Cases'!C2:C1312,"Eastern Visayas"),0)</f>
        <v>0</v>
      </c>
      <c r="F12" s="23" cm="1">
        <f t="array" ref="F12">_xlfn.IFERROR(_xlfn.SUMIFS('Total Cases'!F2:F1312,'Total Cases'!A2:A1312,F$3,'Total Cases'!B2:B1312,$A12,'Total Cases'!C2:C1312,"Eastern Visayas"),0)</f>
        <v>103.223741619012</v>
      </c>
      <c r="G12" s="23" cm="1">
        <f t="array" ref="G12">_xlfn.IFERROR(_xlfn.SUMIFS('Total Cases'!F2:F1312,'Total Cases'!A2:A1312,G$3,'Total Cases'!B2:B1312,$A12,'Total Cases'!C2:C1312,"Eastern Visayas"),0)</f>
        <v>0</v>
      </c>
      <c r="H12" s="23" cm="1">
        <f t="array" ref="H12">_xlfn.IFERROR(_xlfn.SUMIFS('Total Cases'!F2:F1312,'Total Cases'!A2:A1312,H$3,'Total Cases'!B2:B1312,$A12,'Total Cases'!C2:C1312,"Eastern Visayas"),0)</f>
        <v>0</v>
      </c>
      <c r="I12" s="23" cm="1">
        <f t="array" ref="I12">_xlfn.IFERROR(_xlfn.SUMIFS('Total Cases'!F2:F1312,'Total Cases'!A2:A1312,I$3,'Total Cases'!B2:B1312,$A12,'Total Cases'!C2:C1312,"Eastern Visayas"),0)</f>
        <v>319.276657452053</v>
      </c>
      <c r="J12" s="23" cm="1">
        <f t="array" ref="J12">_xlfn.IFERROR(_xlfn.SUMIFS('Total Cases'!F2:F1312,'Total Cases'!A2:A1312,J$3,'Total Cases'!B2:B1312,$A12,'Total Cases'!C2:C1312,"Eastern Visayas"),0)</f>
        <v>48.3638482412948</v>
      </c>
      <c r="K12" s="23" cm="1">
        <f t="array" ref="K12">_xlfn.IFERROR(_xlfn.SUMIFS('Total Cases'!F2:F1312,'Total Cases'!A2:A1312,K$3,'Total Cases'!B2:B1312,$A12,'Total Cases'!C2:C1312,"Eastern Visayas"),0)</f>
        <v>18.9335949707935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Cases'!C2:C1312,"Eastern Visayas"),0)</f>
        <v>120.929425618897</v>
      </c>
      <c r="C13" s="23" cm="1">
        <f t="array" ref="C13">_xlfn.IFERROR(_xlfn.SUMIFS('Total Cases'!F2:F1312,'Total Cases'!A2:A1312,C$3,'Total Cases'!B2:B1312,$A13,'Total Cases'!C2:C1312,"Eastern Visayas"),0)</f>
        <v>0</v>
      </c>
      <c r="D13" s="23" cm="1">
        <f t="array" ref="D13">_xlfn.IFERROR(_xlfn.SUMIFS('Total Cases'!F2:F1312,'Total Cases'!A2:A1312,D$3,'Total Cases'!B2:B1312,$A13,'Total Cases'!C2:C1312,"Eastern Visayas"),0)</f>
        <v>39.8476915075697</v>
      </c>
      <c r="E13" s="23" cm="1">
        <f t="array" ref="E13">_xlfn.IFERROR(_xlfn.SUMIFS('Total Cases'!F2:F1312,'Total Cases'!A2:A1312,E$3,'Total Cases'!B2:B1312,$A13,'Total Cases'!C2:C1312,"Eastern Visayas"),0)</f>
        <v>0</v>
      </c>
      <c r="F13" s="23" cm="1">
        <f t="array" ref="F13">_xlfn.IFERROR(_xlfn.SUMIFS('Total Cases'!F2:F1312,'Total Cases'!A2:A1312,F$3,'Total Cases'!B2:B1312,$A13,'Total Cases'!C2:C1312,"Eastern Visayas"),0)</f>
        <v>129.504997399601</v>
      </c>
      <c r="G13" s="23" cm="1">
        <f t="array" ref="G13">_xlfn.IFERROR(_xlfn.SUMIFS('Total Cases'!F2:F1312,'Total Cases'!A2:A1312,G$3,'Total Cases'!B2:B1312,$A13,'Total Cases'!C2:C1312,"Eastern Visayas"),0)</f>
        <v>0</v>
      </c>
      <c r="H13" s="23" cm="1">
        <f t="array" ref="H13">_xlfn.IFERROR(_xlfn.SUMIFS('Total Cases'!F2:F1312,'Total Cases'!A2:A1312,H$3,'Total Cases'!B2:B1312,$A13,'Total Cases'!C2:C1312,"Eastern Visayas"),0)</f>
        <v>0</v>
      </c>
      <c r="I13" s="23" cm="1">
        <f t="array" ref="I13">_xlfn.IFERROR(_xlfn.SUMIFS('Total Cases'!F2:F1312,'Total Cases'!A2:A1312,I$3,'Total Cases'!B2:B1312,$A13,'Total Cases'!C2:C1312,"Eastern Visayas"),0)</f>
        <v>373.482985312996</v>
      </c>
      <c r="J13" s="23" cm="1">
        <f t="array" ref="J13">_xlfn.IFERROR(_xlfn.SUMIFS('Total Cases'!F2:F1312,'Total Cases'!A2:A1312,J$3,'Total Cases'!B2:B1312,$A13,'Total Cases'!C2:C1312,"Eastern Visayas"),0)</f>
        <v>49.8096143844621</v>
      </c>
      <c r="K13" s="23" cm="1">
        <f t="array" ref="K13">_xlfn.IFERROR(_xlfn.SUMIFS('Total Cases'!F2:F1312,'Total Cases'!A2:A1312,K$3,'Total Cases'!B2:B1312,$A13,'Total Cases'!C2:C1312,"Eastern Visayas"),0)</f>
        <v>25.2910049975977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Cases'!C2:C1312,"Eastern Visayas"),0)</f>
        <v>107.660065126813</v>
      </c>
      <c r="C14" s="23" cm="1">
        <f t="array" ref="C14">_xlfn.IFERROR(_xlfn.SUMIFS('Total Cases'!F2:F1312,'Total Cases'!A2:A1312,C$3,'Total Cases'!B2:B1312,$A14,'Total Cases'!C2:C1312,"Eastern Visayas"),0)</f>
        <v>0</v>
      </c>
      <c r="D14" s="23" cm="1">
        <f t="array" ref="D14">_xlfn.IFERROR(_xlfn.SUMIFS('Total Cases'!F2:F1312,'Total Cases'!A2:A1312,D$3,'Total Cases'!B2:B1312,$A14,'Total Cases'!C2:C1312,"Eastern Visayas"),0)</f>
        <v>36.5798639236984</v>
      </c>
      <c r="E14" s="23" cm="1">
        <f t="array" ref="E14">_xlfn.IFERROR(_xlfn.SUMIFS('Total Cases'!F2:F1312,'Total Cases'!A2:A1312,E$3,'Total Cases'!B2:B1312,$A14,'Total Cases'!C2:C1312,"Eastern Visayas"),0)</f>
        <v>0</v>
      </c>
      <c r="F14" s="23" cm="1">
        <f t="array" ref="F14">_xlfn.IFERROR(_xlfn.SUMIFS('Total Cases'!F2:F1312,'Total Cases'!A2:A1312,F$3,'Total Cases'!B2:B1312,$A14,'Total Cases'!C2:C1312,"Eastern Visayas"),0)</f>
        <v>91.45956231707591</v>
      </c>
      <c r="G14" s="23" cm="1">
        <f t="array" ref="G14">_xlfn.IFERROR(_xlfn.SUMIFS('Total Cases'!F2:F1312,'Total Cases'!A2:A1312,G$3,'Total Cases'!B2:B1312,$A14,'Total Cases'!C2:C1312,"Eastern Visayas"),0)</f>
        <v>0</v>
      </c>
      <c r="H14" s="23" cm="1">
        <f t="array" ref="H14">_xlfn.IFERROR(_xlfn.SUMIFS('Total Cases'!F2:F1312,'Total Cases'!A2:A1312,H$3,'Total Cases'!B2:B1312,$A14,'Total Cases'!C2:C1312,"Eastern Visayas"),0)</f>
        <v>0</v>
      </c>
      <c r="I14" s="23" cm="1">
        <f t="array" ref="I14">_xlfn.IFERROR(_xlfn.SUMIFS('Total Cases'!F2:F1312,'Total Cases'!A2:A1312,I$3,'Total Cases'!B2:B1312,$A14,'Total Cases'!C2:C1312,"Eastern Visayas"),0)</f>
        <v>387.108836086957</v>
      </c>
      <c r="J14" s="23" cm="1">
        <f t="array" ref="J14">_xlfn.IFERROR(_xlfn.SUMIFS('Total Cases'!F2:F1312,'Total Cases'!A2:A1312,J$3,'Total Cases'!B2:B1312,$A14,'Total Cases'!C2:C1312,"Eastern Visayas"),0)</f>
        <v>50.7602551361337</v>
      </c>
      <c r="K14" s="23" cm="1">
        <f t="array" ref="K14">_xlfn.IFERROR(_xlfn.SUMIFS('Total Cases'!F2:F1312,'Total Cases'!A2:A1312,K$3,'Total Cases'!B2:B1312,$A14,'Total Cases'!C2:C1312,"Eastern Visayas"),0)</f>
        <v>20.4387761609403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Cases'!C2:C1312,"Eastern Visayas"),0)</f>
        <v>91.08326701953921</v>
      </c>
      <c r="C15" s="23" cm="1">
        <f t="array" ref="C15">_xlfn.IFERROR(_xlfn.SUMIFS('Total Cases'!F2:F1312,'Total Cases'!A2:A1312,C$3,'Total Cases'!B2:B1312,$A15,'Total Cases'!C2:C1312,"Eastern Visayas"),0)</f>
        <v>0</v>
      </c>
      <c r="D15" s="23" cm="1">
        <f t="array" ref="D15">_xlfn.IFERROR(_xlfn.SUMIFS('Total Cases'!F2:F1312,'Total Cases'!A2:A1312,D$3,'Total Cases'!B2:B1312,$A15,'Total Cases'!C2:C1312,"Eastern Visayas"),0)</f>
        <v>29.2718131452227</v>
      </c>
      <c r="E15" s="23" cm="1">
        <f t="array" ref="E15">_xlfn.IFERROR(_xlfn.SUMIFS('Total Cases'!F2:F1312,'Total Cases'!A2:A1312,E$3,'Total Cases'!B2:B1312,$A15,'Total Cases'!C2:C1312,"Eastern Visayas"),0)</f>
        <v>0</v>
      </c>
      <c r="F15" s="23" cm="1">
        <f t="array" ref="F15">_xlfn.IFERROR(_xlfn.SUMIFS('Total Cases'!F2:F1312,'Total Cases'!A2:A1312,F$3,'Total Cases'!B2:B1312,$A15,'Total Cases'!C2:C1312,"Eastern Visayas"),0)</f>
        <v>92.03390777121091</v>
      </c>
      <c r="G15" s="23" cm="1">
        <f t="array" ref="G15">_xlfn.IFERROR(_xlfn.SUMIFS('Total Cases'!F2:F1312,'Total Cases'!A2:A1312,G$3,'Total Cases'!B2:B1312,$A15,'Total Cases'!C2:C1312,"Eastern Visayas"),0)</f>
        <v>0</v>
      </c>
      <c r="H15" s="23" cm="1">
        <f t="array" ref="H15">_xlfn.IFERROR(_xlfn.SUMIFS('Total Cases'!F2:F1312,'Total Cases'!A2:A1312,H$3,'Total Cases'!B2:B1312,$A15,'Total Cases'!C2:C1312,"Eastern Visayas"),0)</f>
        <v>0</v>
      </c>
      <c r="I15" s="23" cm="1">
        <f t="array" ref="I15">_xlfn.IFERROR(_xlfn.SUMIFS('Total Cases'!F2:F1312,'Total Cases'!A2:A1312,I$3,'Total Cases'!B2:B1312,$A15,'Total Cases'!C2:C1312,"Eastern Visayas"),0)</f>
        <v>300.224232387301</v>
      </c>
      <c r="J15" s="23" cm="1">
        <f t="array" ref="J15">_xlfn.IFERROR(_xlfn.SUMIFS('Total Cases'!F2:F1312,'Total Cases'!A2:A1312,J$3,'Total Cases'!B2:B1312,$A15,'Total Cases'!C2:C1312,"Eastern Visayas"),0)</f>
        <v>21.8251272571281</v>
      </c>
      <c r="K15" s="23" cm="1">
        <f t="array" ref="K15">_xlfn.IFERROR(_xlfn.SUMIFS('Total Cases'!F2:F1312,'Total Cases'!A2:A1312,K$3,'Total Cases'!B2:B1312,$A15,'Total Cases'!C2:C1312,"Eastern Visayas"),0)</f>
        <v>17.8245140938433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</sheetData>
  <mergeCells count="1">
    <mergeCell ref="A1:K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5" customWidth="1"/>
    <col min="2" max="9" width="16" style="65" customWidth="1"/>
    <col min="10" max="10" width="8.67188" style="65" customWidth="1"/>
    <col min="11" max="16384" width="8.67188" style="65" customWidth="1"/>
  </cols>
  <sheetData>
    <row r="1" ht="18.5" customHeight="1">
      <c r="A1" t="s" s="39">
        <v>85</v>
      </c>
      <c r="B1" s="40"/>
      <c r="C1" s="40"/>
      <c r="D1" s="40"/>
      <c r="E1" s="40"/>
      <c r="F1" s="40"/>
      <c r="G1" s="40"/>
      <c r="H1" s="40"/>
      <c r="I1" s="40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53">
        <v>45</v>
      </c>
      <c r="G3" t="s" s="45">
        <v>35</v>
      </c>
      <c r="H3" t="s" s="46">
        <v>30</v>
      </c>
      <c r="I3" t="s" s="48">
        <v>41</v>
      </c>
      <c r="J3" s="49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Cases'!C2:C1312,"Zamboanga Peninsula"),0)</f>
        <v>59.4126046480752</v>
      </c>
      <c r="C4" s="23" cm="1">
        <f t="array" ref="C4">_xlfn.IFERROR(_xlfn.SUMIFS('Total Cases'!F2:F1312,'Total Cases'!A2:A1312,C$3,'Total Cases'!B2:B1312,$A4,'Total Cases'!C2:C1312,"Zamboanga Peninsula"),0)</f>
        <v>0</v>
      </c>
      <c r="D4" s="23" cm="1">
        <f t="array" ref="D4">_xlfn.IFERROR(_xlfn.SUMIFS('Total Cases'!F2:F1312,'Total Cases'!A2:A1312,D$3,'Total Cases'!B2:B1312,$A4,'Total Cases'!C2:C1312,"Zamboanga Peninsula"),0)</f>
        <v>26.7074780169518</v>
      </c>
      <c r="E4" s="23" cm="1">
        <f t="array" ref="E4">_xlfn.IFERROR(_xlfn.SUMIFS('Total Cases'!F2:F1312,'Total Cases'!A2:A1312,E$3,'Total Cases'!B2:B1312,$A4,'Total Cases'!C2:C1312,"Zamboanga Peninsula"),0)</f>
        <v>23.6061298019315</v>
      </c>
      <c r="F4" s="23" cm="1">
        <f t="array" ref="F4">_xlfn.IFERROR(_xlfn.SUMIFS('Total Cases'!F2:F1312,'Total Cases'!A2:A1312,F$3,'Total Cases'!B2:B1312,$A4,'Total Cases'!C2:C1312,"Zamboanga Peninsula"),0)</f>
        <v>22.3245809527496</v>
      </c>
      <c r="G4" s="23" cm="1">
        <f t="array" ref="G4">_xlfn.IFERROR(_xlfn.SUMIFS('Total Cases'!F2:F1312,'Total Cases'!A2:A1312,G$3,'Total Cases'!B2:B1312,$A4,'Total Cases'!C2:C1312,"Zamboanga Peninsula"),0)</f>
        <v>156.041387876394</v>
      </c>
      <c r="H4" s="23" cm="1">
        <f t="array" ref="H4">_xlfn.IFERROR(_xlfn.SUMIFS('Total Cases'!F2:F1312,'Total Cases'!A2:A1312,H$3,'Total Cases'!B2:B1312,$A4,'Total Cases'!C2:C1312,"Zamboanga Peninsula"),0)</f>
        <v>301.497182258545</v>
      </c>
      <c r="I4" s="23" cm="1">
        <f t="array" ref="I4">_xlfn.IFERROR(_xlfn.SUMIFS('Total Cases'!F2:F1312,'Total Cases'!A2:A1312,I$3,'Total Cases'!B2:B1312,$A4,'Total Cases'!C2:C1312,"Zamboanga Peninsula"),0)</f>
        <v>62.1551191853245</v>
      </c>
      <c r="J4" s="49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Cases'!C2:C1312,"Zamboanga Peninsula"),0)</f>
        <v>36.985499787391</v>
      </c>
      <c r="C5" s="23" cm="1">
        <f t="array" ref="C5">_xlfn.IFERROR(_xlfn.SUMIFS('Total Cases'!F2:F1312,'Total Cases'!A2:A1312,C$3,'Total Cases'!B2:B1312,$A5,'Total Cases'!C2:C1312,"Zamboanga Peninsula"),0)</f>
        <v>0</v>
      </c>
      <c r="D5" s="23" cm="1">
        <f t="array" ref="D5">_xlfn.IFERROR(_xlfn.SUMIFS('Total Cases'!F2:F1312,'Total Cases'!A2:A1312,D$3,'Total Cases'!B2:B1312,$A5,'Total Cases'!C2:C1312,"Zamboanga Peninsula"),0)</f>
        <v>20.1459479091402</v>
      </c>
      <c r="E5" s="23" cm="1">
        <f t="array" ref="E5">_xlfn.IFERROR(_xlfn.SUMIFS('Total Cases'!F2:F1312,'Total Cases'!A2:A1312,E$3,'Total Cases'!B2:B1312,$A5,'Total Cases'!C2:C1312,"Zamboanga Peninsula"),0)</f>
        <v>22.1195331368804</v>
      </c>
      <c r="F5" s="23" cm="1">
        <f t="array" ref="F5">_xlfn.IFERROR(_xlfn.SUMIFS('Total Cases'!F2:F1312,'Total Cases'!A2:A1312,F$3,'Total Cases'!B2:B1312,$A5,'Total Cases'!C2:C1312,"Zamboanga Peninsula"),0)</f>
        <v>13.7894656171978</v>
      </c>
      <c r="G5" s="23" cm="1">
        <f t="array" ref="G5">_xlfn.IFERROR(_xlfn.SUMIFS('Total Cases'!F2:F1312,'Total Cases'!A2:A1312,G$3,'Total Cases'!B2:B1312,$A5,'Total Cases'!C2:C1312,"Zamboanga Peninsula"),0)</f>
        <v>104.369338277378</v>
      </c>
      <c r="H5" s="23" cm="1">
        <f t="array" ref="H5">_xlfn.IFERROR(_xlfn.SUMIFS('Total Cases'!F2:F1312,'Total Cases'!A2:A1312,H$3,'Total Cases'!B2:B1312,$A5,'Total Cases'!C2:C1312,"Zamboanga Peninsula"),0)</f>
        <v>149.659274607468</v>
      </c>
      <c r="I5" s="23" cm="1">
        <f t="array" ref="I5">_xlfn.IFERROR(_xlfn.SUMIFS('Total Cases'!F2:F1312,'Total Cases'!A2:A1312,I$3,'Total Cases'!B2:B1312,$A5,'Total Cases'!C2:C1312,"Zamboanga Peninsula"),0)</f>
        <v>31.5773636438432</v>
      </c>
      <c r="J5" s="49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Cases'!C2:C1312,"Zamboanga Peninsula"),0)</f>
        <v>67.5632553288723</v>
      </c>
      <c r="C6" s="23" cm="1">
        <f t="array" ref="C6">_xlfn.IFERROR(_xlfn.SUMIFS('Total Cases'!F2:F1312,'Total Cases'!A2:A1312,C$3,'Total Cases'!B2:B1312,$A6,'Total Cases'!C2:C1312,"Zamboanga Peninsula"),0)</f>
        <v>25.1183574439662</v>
      </c>
      <c r="D6" s="23" cm="1">
        <f t="array" ref="D6">_xlfn.IFERROR(_xlfn.SUMIFS('Total Cases'!F2:F1312,'Total Cases'!A2:A1312,D$3,'Total Cases'!B2:B1312,$A6,'Total Cases'!C2:C1312,"Zamboanga Peninsula"),0)</f>
        <v>21.1199250345185</v>
      </c>
      <c r="E6" s="23" cm="1">
        <f t="array" ref="E6">_xlfn.IFERROR(_xlfn.SUMIFS('Total Cases'!F2:F1312,'Total Cases'!A2:A1312,E$3,'Total Cases'!B2:B1312,$A6,'Total Cases'!C2:C1312,"Zamboanga Peninsula"),0)</f>
        <v>0</v>
      </c>
      <c r="F6" s="23" cm="1">
        <f t="array" ref="F6">_xlfn.IFERROR(_xlfn.SUMIFS('Total Cases'!F2:F1312,'Total Cases'!A2:A1312,F$3,'Total Cases'!B2:B1312,$A6,'Total Cases'!C2:C1312,"Zamboanga Peninsula"),0)</f>
        <v>0</v>
      </c>
      <c r="G6" s="23" cm="1">
        <f t="array" ref="G6">_xlfn.IFERROR(_xlfn.SUMIFS('Total Cases'!F2:F1312,'Total Cases'!A2:A1312,G$3,'Total Cases'!B2:B1312,$A6,'Total Cases'!C2:C1312,"Zamboanga Peninsula"),0)</f>
        <v>73.5096419890766</v>
      </c>
      <c r="H6" s="23" cm="1">
        <f t="array" ref="H6">_xlfn.IFERROR(_xlfn.SUMIFS('Total Cases'!F2:F1312,'Total Cases'!A2:A1312,H$3,'Total Cases'!B2:B1312,$A6,'Total Cases'!C2:C1312,"Zamboanga Peninsula"),0)</f>
        <v>329.614364009597</v>
      </c>
      <c r="I6" s="23" cm="1">
        <f t="array" ref="I6">_xlfn.IFERROR(_xlfn.SUMIFS('Total Cases'!F2:F1312,'Total Cases'!A2:A1312,I$3,'Total Cases'!B2:B1312,$A6,'Total Cases'!C2:C1312,"Zamboanga Peninsula"),0)</f>
        <v>0</v>
      </c>
      <c r="J6" s="49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Cases'!C2:C1312,"Zamboanga Peninsula"),0)</f>
        <v>546.324274406265</v>
      </c>
      <c r="C7" s="23" cm="1">
        <f t="array" ref="C7">_xlfn.IFERROR(_xlfn.SUMIFS('Total Cases'!F2:F1312,'Total Cases'!A2:A1312,C$3,'Total Cases'!B2:B1312,$A7,'Total Cases'!C2:C1312,"Zamboanga Peninsula"),0)</f>
        <v>0</v>
      </c>
      <c r="D7" s="23" cm="1">
        <f t="array" ref="D7">_xlfn.IFERROR(_xlfn.SUMIFS('Total Cases'!F2:F1312,'Total Cases'!A2:A1312,D$3,'Total Cases'!B2:B1312,$A7,'Total Cases'!C2:C1312,"Zamboanga Peninsula"),0)</f>
        <v>183.389640317937</v>
      </c>
      <c r="E7" s="23" cm="1">
        <f t="array" ref="E7">_xlfn.IFERROR(_xlfn.SUMIFS('Total Cases'!F2:F1312,'Total Cases'!A2:A1312,E$3,'Total Cases'!B2:B1312,$A7,'Total Cases'!C2:C1312,"Zamboanga Peninsula"),0)</f>
        <v>0</v>
      </c>
      <c r="F7" s="23" cm="1">
        <f t="array" ref="F7">_xlfn.IFERROR(_xlfn.SUMIFS('Total Cases'!F2:F1312,'Total Cases'!A2:A1312,F$3,'Total Cases'!B2:B1312,$A7,'Total Cases'!C2:C1312,"Zamboanga Peninsula"),0)</f>
        <v>374.084109076211</v>
      </c>
      <c r="G7" s="23" cm="1">
        <f t="array" ref="G7">_xlfn.IFERROR(_xlfn.SUMIFS('Total Cases'!F2:F1312,'Total Cases'!A2:A1312,G$3,'Total Cases'!B2:B1312,$A7,'Total Cases'!C2:C1312,"Zamboanga Peninsula"),0)</f>
        <v>619.757023464390</v>
      </c>
      <c r="H7" s="23" cm="1">
        <f t="array" ref="H7">_xlfn.IFERROR(_xlfn.SUMIFS('Total Cases'!F2:F1312,'Total Cases'!A2:A1312,H$3,'Total Cases'!B2:B1312,$A7,'Total Cases'!C2:C1312,"Zamboanga Peninsula"),0)</f>
        <v>1243.743158131080</v>
      </c>
      <c r="I7" s="23" cm="1">
        <f t="array" ref="I7">_xlfn.IFERROR(_xlfn.SUMIFS('Total Cases'!F2:F1312,'Total Cases'!A2:A1312,I$3,'Total Cases'!B2:B1312,$A7,'Total Cases'!C2:C1312,"Zamboanga Peninsula"),0)</f>
        <v>539.403910620682</v>
      </c>
      <c r="J7" s="49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Cases'!C2:C1312,"Zamboanga Peninsula"),0)</f>
        <v>37.3699644421456</v>
      </c>
      <c r="C8" s="23" cm="1">
        <f t="array" ref="C8">_xlfn.IFERROR(_xlfn.SUMIFS('Total Cases'!F2:F1312,'Total Cases'!A2:A1312,C$3,'Total Cases'!B2:B1312,$A8,'Total Cases'!C2:C1312,"Zamboanga Peninsula"),0)</f>
        <v>0</v>
      </c>
      <c r="D8" s="23" cm="1">
        <f t="array" ref="D8">_xlfn.IFERROR(_xlfn.SUMIFS('Total Cases'!F2:F1312,'Total Cases'!A2:A1312,D$3,'Total Cases'!B2:B1312,$A8,'Total Cases'!C2:C1312,"Zamboanga Peninsula"),0)</f>
        <v>36.703559040571</v>
      </c>
      <c r="E8" s="23" cm="1">
        <f t="array" ref="E8">_xlfn.IFERROR(_xlfn.SUMIFS('Total Cases'!F2:F1312,'Total Cases'!A2:A1312,E$3,'Total Cases'!B2:B1312,$A8,'Total Cases'!C2:C1312,"Zamboanga Peninsula"),0)</f>
        <v>0</v>
      </c>
      <c r="F8" s="23" cm="1">
        <f t="array" ref="F8">_xlfn.IFERROR(_xlfn.SUMIFS('Total Cases'!F2:F1312,'Total Cases'!A2:A1312,F$3,'Total Cases'!B2:B1312,$A8,'Total Cases'!C2:C1312,"Zamboanga Peninsula"),0)</f>
        <v>27.7070861193137</v>
      </c>
      <c r="G8" s="23" cm="1">
        <f t="array" ref="G8">_xlfn.IFERROR(_xlfn.SUMIFS('Total Cases'!F2:F1312,'Total Cases'!A2:A1312,G$3,'Total Cases'!B2:B1312,$A8,'Total Cases'!C2:C1312,"Zamboanga Peninsula"),0)</f>
        <v>28.5016464058065</v>
      </c>
      <c r="H8" s="23" cm="1">
        <f t="array" ref="H8">_xlfn.IFERROR(_xlfn.SUMIFS('Total Cases'!F2:F1312,'Total Cases'!A2:A1312,H$3,'Total Cases'!B2:B1312,$A8,'Total Cases'!C2:C1312,"Zamboanga Peninsula"),0)</f>
        <v>84.6591169769595</v>
      </c>
      <c r="I8" s="23" cm="1">
        <f t="array" ref="I8">_xlfn.IFERROR(_xlfn.SUMIFS('Total Cases'!F2:F1312,'Total Cases'!A2:A1312,I$3,'Total Cases'!B2:B1312,$A8,'Total Cases'!C2:C1312,"Zamboanga Peninsula"),0)</f>
        <v>42.9575174245789</v>
      </c>
      <c r="J8" s="49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Cases'!C2:C1312,"Zamboanga Peninsula"),0)</f>
        <v>44.085280411859</v>
      </c>
      <c r="C9" s="23" cm="1">
        <f t="array" ref="C9">_xlfn.IFERROR(_xlfn.SUMIFS('Total Cases'!F2:F1312,'Total Cases'!A2:A1312,C$3,'Total Cases'!B2:B1312,$A9,'Total Cases'!C2:C1312,"Zamboanga Peninsula"),0)</f>
        <v>0</v>
      </c>
      <c r="D9" s="23" cm="1">
        <f t="array" ref="D9">_xlfn.IFERROR(_xlfn.SUMIFS('Total Cases'!F2:F1312,'Total Cases'!A2:A1312,D$3,'Total Cases'!B2:B1312,$A9,'Total Cases'!C2:C1312,"Zamboanga Peninsula"),0)</f>
        <v>38.4208344984748</v>
      </c>
      <c r="E9" s="23" cm="1">
        <f t="array" ref="E9">_xlfn.IFERROR(_xlfn.SUMIFS('Total Cases'!F2:F1312,'Total Cases'!A2:A1312,E$3,'Total Cases'!B2:B1312,$A9,'Total Cases'!C2:C1312,"Zamboanga Peninsula"),0)</f>
        <v>0</v>
      </c>
      <c r="F9" s="23" cm="1">
        <f t="array" ref="F9">_xlfn.IFERROR(_xlfn.SUMIFS('Total Cases'!F2:F1312,'Total Cases'!A2:A1312,F$3,'Total Cases'!B2:B1312,$A9,'Total Cases'!C2:C1312,"Zamboanga Peninsula"),0)</f>
        <v>24.5288449733425</v>
      </c>
      <c r="G9" s="23" cm="1">
        <f t="array" ref="G9">_xlfn.IFERROR(_xlfn.SUMIFS('Total Cases'!F2:F1312,'Total Cases'!A2:A1312,G$3,'Total Cases'!B2:B1312,$A9,'Total Cases'!C2:C1312,"Zamboanga Peninsula"),0)</f>
        <v>60.7966774051917</v>
      </c>
      <c r="H9" s="23" cm="1">
        <f t="array" ref="H9">_xlfn.IFERROR(_xlfn.SUMIFS('Total Cases'!F2:F1312,'Total Cases'!A2:A1312,H$3,'Total Cases'!B2:B1312,$A9,'Total Cases'!C2:C1312,"Zamboanga Peninsula"),0)</f>
        <v>117.953756078707</v>
      </c>
      <c r="I9" s="23" cm="1">
        <f t="array" ref="I9">_xlfn.IFERROR(_xlfn.SUMIFS('Total Cases'!F2:F1312,'Total Cases'!A2:A1312,I$3,'Total Cases'!B2:B1312,$A9,'Total Cases'!C2:C1312,"Zamboanga Peninsula"),0)</f>
        <v>47.853034028454</v>
      </c>
      <c r="J9" s="49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Cases'!C2:C1312,"Zamboanga Peninsula"),0)</f>
        <v>38.4464654754585</v>
      </c>
      <c r="C10" s="23" cm="1">
        <f t="array" ref="C10">_xlfn.IFERROR(_xlfn.SUMIFS('Total Cases'!F2:F1312,'Total Cases'!A2:A1312,C$3,'Total Cases'!B2:B1312,$A10,'Total Cases'!C2:C1312,"Zamboanga Peninsula"),0)</f>
        <v>0</v>
      </c>
      <c r="D10" s="23" cm="1">
        <f t="array" ref="D10">_xlfn.IFERROR(_xlfn.SUMIFS('Total Cases'!F2:F1312,'Total Cases'!A2:A1312,D$3,'Total Cases'!B2:B1312,$A10,'Total Cases'!C2:C1312,"Zamboanga Peninsula"),0)</f>
        <v>18.1467317044164</v>
      </c>
      <c r="E10" s="23" cm="1">
        <f t="array" ref="E10">_xlfn.IFERROR(_xlfn.SUMIFS('Total Cases'!F2:F1312,'Total Cases'!A2:A1312,E$3,'Total Cases'!B2:B1312,$A10,'Total Cases'!C2:C1312,"Zamboanga Peninsula"),0)</f>
        <v>0</v>
      </c>
      <c r="F10" s="23" cm="1">
        <f t="array" ref="F10">_xlfn.IFERROR(_xlfn.SUMIFS('Total Cases'!F2:F1312,'Total Cases'!A2:A1312,F$3,'Total Cases'!B2:B1312,$A10,'Total Cases'!C2:C1312,"Zamboanga Peninsula"),0)</f>
        <v>0</v>
      </c>
      <c r="G10" s="23" cm="1">
        <f t="array" ref="G10">_xlfn.IFERROR(_xlfn.SUMIFS('Total Cases'!F2:F1312,'Total Cases'!A2:A1312,G$3,'Total Cases'!B2:B1312,$A10,'Total Cases'!C2:C1312,"Zamboanga Peninsula"),0)</f>
        <v>72.84323658750201</v>
      </c>
      <c r="H10" s="23" cm="1">
        <f t="array" ref="H10">_xlfn.IFERROR(_xlfn.SUMIFS('Total Cases'!F2:F1312,'Total Cases'!A2:A1312,H$3,'Total Cases'!B2:B1312,$A10,'Total Cases'!C2:C1312,"Zamboanga Peninsula"),0)</f>
        <v>210.174011265840</v>
      </c>
      <c r="I10" s="23" cm="1">
        <f t="array" ref="I10">_xlfn.IFERROR(_xlfn.SUMIFS('Total Cases'!F2:F1312,'Total Cases'!A2:A1312,I$3,'Total Cases'!B2:B1312,$A10,'Total Cases'!C2:C1312,"Zamboanga Peninsula"),0)</f>
        <v>55.0809695378402</v>
      </c>
      <c r="J10" s="49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Cases'!C2:C1312,"Zamboanga Peninsula"),0)</f>
        <v>16.8139209012672</v>
      </c>
      <c r="C11" s="23" cm="1">
        <f t="array" ref="C11">_xlfn.IFERROR(_xlfn.SUMIFS('Total Cases'!F2:F1312,'Total Cases'!A2:A1312,C$3,'Total Cases'!B2:B1312,$A11,'Total Cases'!C2:C1312,"Zamboanga Peninsula"),0)</f>
        <v>0</v>
      </c>
      <c r="D11" s="23" cm="1">
        <f t="array" ref="D11">_xlfn.IFERROR(_xlfn.SUMIFS('Total Cases'!F2:F1312,'Total Cases'!A2:A1312,D$3,'Total Cases'!B2:B1312,$A11,'Total Cases'!C2:C1312,"Zamboanga Peninsula"),0)</f>
        <v>25.912917730459</v>
      </c>
      <c r="E11" s="23" cm="1">
        <f t="array" ref="E11">_xlfn.IFERROR(_xlfn.SUMIFS('Total Cases'!F2:F1312,'Total Cases'!A2:A1312,E$3,'Total Cases'!B2:B1312,$A11,'Total Cases'!C2:C1312,"Zamboanga Peninsula"),0)</f>
        <v>0</v>
      </c>
      <c r="F11" s="23" cm="1">
        <f t="array" ref="F11">_xlfn.IFERROR(_xlfn.SUMIFS('Total Cases'!F2:F1312,'Total Cases'!A2:A1312,F$3,'Total Cases'!B2:B1312,$A11,'Total Cases'!C2:C1312,"Zamboanga Peninsula"),0)</f>
        <v>6.9716257395498</v>
      </c>
      <c r="G11" s="23" cm="1">
        <f t="array" ref="G11">_xlfn.IFERROR(_xlfn.SUMIFS('Total Cases'!F2:F1312,'Total Cases'!A2:A1312,G$3,'Total Cases'!B2:B1312,$A11,'Total Cases'!C2:C1312,"Zamboanga Peninsula"),0)</f>
        <v>44.0340184578918</v>
      </c>
      <c r="H11" s="23" cm="1">
        <f t="array" ref="H11">_xlfn.IFERROR(_xlfn.SUMIFS('Total Cases'!F2:F1312,'Total Cases'!A2:A1312,H$3,'Total Cases'!B2:B1312,$A11,'Total Cases'!C2:C1312,"Zamboanga Peninsula"),0)</f>
        <v>59.6432834409279</v>
      </c>
      <c r="I11" s="23" cm="1">
        <f t="array" ref="I11">_xlfn.IFERROR(_xlfn.SUMIFS('Total Cases'!F2:F1312,'Total Cases'!A2:A1312,I$3,'Total Cases'!B2:B1312,$A11,'Total Cases'!C2:C1312,"Zamboanga Peninsula"),0)</f>
        <v>10.4830695863083</v>
      </c>
      <c r="J11" s="49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Cases'!C2:C1312,"Zamboanga Peninsula"),0)</f>
        <v>50.9543822434743</v>
      </c>
      <c r="C12" s="23" cm="1">
        <f t="array" ref="C12">_xlfn.IFERROR(_xlfn.SUMIFS('Total Cases'!F2:F1312,'Total Cases'!A2:A1312,C$3,'Total Cases'!B2:B1312,$A12,'Total Cases'!C2:C1312,"Zamboanga Peninsula"),0)</f>
        <v>0</v>
      </c>
      <c r="D12" s="23" cm="1">
        <f t="array" ref="D12">_xlfn.IFERROR(_xlfn.SUMIFS('Total Cases'!F2:F1312,'Total Cases'!A2:A1312,D$3,'Total Cases'!B2:B1312,$A12,'Total Cases'!C2:C1312,"Zamboanga Peninsula"),0)</f>
        <v>16.2756703846108</v>
      </c>
      <c r="E12" s="23" cm="1">
        <f t="array" ref="E12">_xlfn.IFERROR(_xlfn.SUMIFS('Total Cases'!F2:F1312,'Total Cases'!A2:A1312,E$3,'Total Cases'!B2:B1312,$A12,'Total Cases'!C2:C1312,"Zamboanga Peninsula"),0)</f>
        <v>0</v>
      </c>
      <c r="F12" s="23" cm="1">
        <f t="array" ref="F12">_xlfn.IFERROR(_xlfn.SUMIFS('Total Cases'!F2:F1312,'Total Cases'!A2:A1312,F$3,'Total Cases'!B2:B1312,$A12,'Total Cases'!C2:C1312,"Zamboanga Peninsula"),0)</f>
        <v>0</v>
      </c>
      <c r="G12" s="23" cm="1">
        <f t="array" ref="G12">_xlfn.IFERROR(_xlfn.SUMIFS('Total Cases'!F2:F1312,'Total Cases'!A2:A1312,G$3,'Total Cases'!B2:B1312,$A12,'Total Cases'!C2:C1312,"Zamboanga Peninsula"),0)</f>
        <v>64.64132395273749</v>
      </c>
      <c r="H12" s="23" cm="1">
        <f t="array" ref="H12">_xlfn.IFERROR(_xlfn.SUMIFS('Total Cases'!F2:F1312,'Total Cases'!A2:A1312,H$3,'Total Cases'!B2:B1312,$A12,'Total Cases'!C2:C1312,"Zamboanga Peninsula"),0)</f>
        <v>239.444586981155</v>
      </c>
      <c r="I12" s="23" cm="1">
        <f t="array" ref="I12">_xlfn.IFERROR(_xlfn.SUMIFS('Total Cases'!F2:F1312,'Total Cases'!A2:A1312,I$3,'Total Cases'!B2:B1312,$A12,'Total Cases'!C2:C1312,"Zamboanga Peninsula"),0)</f>
        <v>81.8909714627265</v>
      </c>
      <c r="J12" s="49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Cases'!C2:C1312,"Zamboanga Peninsula"),0)</f>
        <v>51.3901088521962</v>
      </c>
      <c r="C13" s="23" cm="1">
        <f t="array" ref="C13">_xlfn.IFERROR(_xlfn.SUMIFS('Total Cases'!F2:F1312,'Total Cases'!A2:A1312,C$3,'Total Cases'!B2:B1312,$A13,'Total Cases'!C2:C1312,"Zamboanga Peninsula"),0)</f>
        <v>0</v>
      </c>
      <c r="D13" s="23" cm="1">
        <f t="array" ref="D13">_xlfn.IFERROR(_xlfn.SUMIFS('Total Cases'!F2:F1312,'Total Cases'!A2:A1312,D$3,'Total Cases'!B2:B1312,$A13,'Total Cases'!C2:C1312,"Zamboanga Peninsula"),0)</f>
        <v>24.2212732495388</v>
      </c>
      <c r="E13" s="23" cm="1">
        <f t="array" ref="E13">_xlfn.IFERROR(_xlfn.SUMIFS('Total Cases'!F2:F1312,'Total Cases'!A2:A1312,E$3,'Total Cases'!B2:B1312,$A13,'Total Cases'!C2:C1312,"Zamboanga Peninsula"),0)</f>
        <v>0</v>
      </c>
      <c r="F13" s="23" cm="1">
        <f t="array" ref="F13">_xlfn.IFERROR(_xlfn.SUMIFS('Total Cases'!F2:F1312,'Total Cases'!A2:A1312,F$3,'Total Cases'!B2:B1312,$A13,'Total Cases'!C2:C1312,"Zamboanga Peninsula"),0)</f>
        <v>0</v>
      </c>
      <c r="G13" s="23" cm="1">
        <f t="array" ref="G13">_xlfn.IFERROR(_xlfn.SUMIFS('Total Cases'!F2:F1312,'Total Cases'!A2:A1312,G$3,'Total Cases'!B2:B1312,$A13,'Total Cases'!C2:C1312,"Zamboanga Peninsula"),0)</f>
        <v>75.1756554930131</v>
      </c>
      <c r="H13" s="23" cm="1">
        <f t="array" ref="H13">_xlfn.IFERROR(_xlfn.SUMIFS('Total Cases'!F2:F1312,'Total Cases'!A2:A1312,H$3,'Total Cases'!B2:B1312,$A13,'Total Cases'!C2:C1312,"Zamboanga Peninsula"),0)</f>
        <v>276.891444354252</v>
      </c>
      <c r="I13" s="23" cm="1">
        <f t="array" ref="I13">_xlfn.IFERROR(_xlfn.SUMIFS('Total Cases'!F2:F1312,'Total Cases'!A2:A1312,I$3,'Total Cases'!B2:B1312,$A13,'Total Cases'!C2:C1312,"Zamboanga Peninsula"),0)</f>
        <v>81.17330410718461</v>
      </c>
      <c r="J13" s="49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Cases'!C2:C1312,"Zamboanga Peninsula"),0)</f>
        <v>25.4771911217371</v>
      </c>
      <c r="C14" s="23" cm="1">
        <f t="array" ref="C14">_xlfn.IFERROR(_xlfn.SUMIFS('Total Cases'!F2:F1312,'Total Cases'!A2:A1312,C$3,'Total Cases'!B2:B1312,$A14,'Total Cases'!C2:C1312,"Zamboanga Peninsula"),0)</f>
        <v>7.68929309509169</v>
      </c>
      <c r="D14" s="23" cm="1">
        <f t="array" ref="D14">_xlfn.IFERROR(_xlfn.SUMIFS('Total Cases'!F2:F1312,'Total Cases'!A2:A1312,D$3,'Total Cases'!B2:B1312,$A14,'Total Cases'!C2:C1312,"Zamboanga Peninsula"),0)</f>
        <v>30.6802794494159</v>
      </c>
      <c r="E14" s="23" cm="1">
        <f t="array" ref="E14">_xlfn.IFERROR(_xlfn.SUMIFS('Total Cases'!F2:F1312,'Total Cases'!A2:A1312,E$3,'Total Cases'!B2:B1312,$A14,'Total Cases'!C2:C1312,"Zamboanga Peninsula"),0)</f>
        <v>0</v>
      </c>
      <c r="F14" s="23" cm="1">
        <f t="array" ref="F14">_xlfn.IFERROR(_xlfn.SUMIFS('Total Cases'!F2:F1312,'Total Cases'!A2:A1312,F$3,'Total Cases'!B2:B1312,$A14,'Total Cases'!C2:C1312,"Zamboanga Peninsula"),0)</f>
        <v>7.99686481889536</v>
      </c>
      <c r="G14" s="23" cm="1">
        <f t="array" ref="G14">_xlfn.IFERROR(_xlfn.SUMIFS('Total Cases'!F2:F1312,'Total Cases'!A2:A1312,G$3,'Total Cases'!B2:B1312,$A14,'Total Cases'!C2:C1312,"Zamboanga Peninsula"),0)</f>
        <v>41.4965517365115</v>
      </c>
      <c r="H14" s="23" cm="1">
        <f t="array" ref="H14">_xlfn.IFERROR(_xlfn.SUMIFS('Total Cases'!F2:F1312,'Total Cases'!A2:A1312,H$3,'Total Cases'!B2:B1312,$A14,'Total Cases'!C2:C1312,"Zamboanga Peninsula"),0)</f>
        <v>121.106366247694</v>
      </c>
      <c r="I14" s="23" cm="1">
        <f t="array" ref="I14">_xlfn.IFERROR(_xlfn.SUMIFS('Total Cases'!F2:F1312,'Total Cases'!A2:A1312,I$3,'Total Cases'!B2:B1312,$A14,'Total Cases'!C2:C1312,"Zamboanga Peninsula"),0)</f>
        <v>0</v>
      </c>
      <c r="J14" s="49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Cases'!C2:C1312,"Zamboanga Peninsula"),0)</f>
        <v>22.7603075614714</v>
      </c>
      <c r="C15" s="23" cm="1">
        <f t="array" ref="C15">_xlfn.IFERROR(_xlfn.SUMIFS('Total Cases'!F2:F1312,'Total Cases'!A2:A1312,C$3,'Total Cases'!B2:B1312,$A15,'Total Cases'!C2:C1312,"Zamboanga Peninsula"),0)</f>
        <v>0</v>
      </c>
      <c r="D15" s="23" cm="1">
        <f t="array" ref="D15">_xlfn.IFERROR(_xlfn.SUMIFS('Total Cases'!F2:F1312,'Total Cases'!A2:A1312,D$3,'Total Cases'!B2:B1312,$A15,'Total Cases'!C2:C1312,"Zamboanga Peninsula"),0)</f>
        <v>31.1416370351214</v>
      </c>
      <c r="E15" s="23" cm="1">
        <f t="array" ref="E15">_xlfn.IFERROR(_xlfn.SUMIFS('Total Cases'!F2:F1312,'Total Cases'!A2:A1312,E$3,'Total Cases'!B2:B1312,$A15,'Total Cases'!C2:C1312,"Zamboanga Peninsula"),0)</f>
        <v>0</v>
      </c>
      <c r="F15" s="23" cm="1">
        <f t="array" ref="F15">_xlfn.IFERROR(_xlfn.SUMIFS('Total Cases'!F2:F1312,'Total Cases'!A2:A1312,F$3,'Total Cases'!B2:B1312,$A15,'Total Cases'!C2:C1312,"Zamboanga Peninsula"),0)</f>
        <v>9.09899682919184</v>
      </c>
      <c r="G15" s="23" cm="1">
        <f t="array" ref="G15">_xlfn.IFERROR(_xlfn.SUMIFS('Total Cases'!F2:F1312,'Total Cases'!A2:A1312,G$3,'Total Cases'!B2:B1312,$A15,'Total Cases'!C2:C1312,"Zamboanga Peninsula"),0)</f>
        <v>54.5683499981674</v>
      </c>
      <c r="H15" s="23" cm="1">
        <f t="array" ref="H15">_xlfn.IFERROR(_xlfn.SUMIFS('Total Cases'!F2:F1312,'Total Cases'!A2:A1312,H$3,'Total Cases'!B2:B1312,$A15,'Total Cases'!C2:C1312,"Zamboanga Peninsula"),0)</f>
        <v>113.058239474832</v>
      </c>
      <c r="I15" s="23" cm="1">
        <f t="array" ref="I15">_xlfn.IFERROR(_xlfn.SUMIFS('Total Cases'!F2:F1312,'Total Cases'!A2:A1312,I$3,'Total Cases'!B2:B1312,$A15,'Total Cases'!C2:C1312,"Zamboanga Peninsula"),0)</f>
        <v>31.2441609430559</v>
      </c>
      <c r="J15" s="49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4"/>
    </row>
  </sheetData>
  <mergeCells count="1">
    <mergeCell ref="A1:I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6" customWidth="1"/>
    <col min="2" max="10" width="16" style="66" customWidth="1"/>
    <col min="11" max="16384" width="8.67188" style="66" customWidth="1"/>
  </cols>
  <sheetData>
    <row r="1" ht="18.5" customHeight="1">
      <c r="A1" t="s" s="39">
        <v>86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2">
        <v>40</v>
      </c>
      <c r="F3" t="s" s="53">
        <v>45</v>
      </c>
      <c r="G3" t="s" s="45">
        <v>35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Cases'!C2:C1312,"Northern Mindanao"),0)</f>
        <v>68.3024360570115</v>
      </c>
      <c r="C4" s="23" cm="1">
        <f t="array" ref="C4">_xlfn.IFERROR(_xlfn.SUMIFS('Total Cases'!F2:F1312,'Total Cases'!A2:A1312,C$3,'Total Cases'!B2:B1312,$A4,'Total Cases'!C2:C1312,"Northern Mindanao"),0)</f>
        <v>18.6968911583046</v>
      </c>
      <c r="D4" s="23" cm="1">
        <f t="array" ref="D4">_xlfn.IFERROR(_xlfn.SUMIFS('Total Cases'!F2:F1312,'Total Cases'!A2:A1312,D$3,'Total Cases'!B2:B1312,$A4,'Total Cases'!C2:C1312,"Northern Mindanao"),0)</f>
        <v>43.6324001574635</v>
      </c>
      <c r="E4" s="23" cm="1">
        <f t="array" ref="E4">_xlfn.IFERROR(_xlfn.SUMIFS('Total Cases'!F2:F1312,'Total Cases'!A2:A1312,E$3,'Total Cases'!B2:B1312,$A4,'Total Cases'!C2:C1312,"Northern Mindanao"),0)</f>
        <v>33.8098954718633</v>
      </c>
      <c r="F4" s="23" cm="1">
        <f t="array" ref="F4">_xlfn.IFERROR(_xlfn.SUMIFS('Total Cases'!F2:F1312,'Total Cases'!A2:A1312,F$3,'Total Cases'!B2:B1312,$A4,'Total Cases'!C2:C1312,"Northern Mindanao"),0)</f>
        <v>0</v>
      </c>
      <c r="G4" s="23" cm="1">
        <f t="array" ref="G4">_xlfn.IFERROR(_xlfn.SUMIFS('Total Cases'!F2:F1312,'Total Cases'!A2:A1312,G$3,'Total Cases'!B2:B1312,$A4,'Total Cases'!C2:C1312,"Northern Mindanao"),0)</f>
        <v>197.701609753027</v>
      </c>
      <c r="H4" s="23" cm="1">
        <f t="array" ref="H4">_xlfn.IFERROR(_xlfn.SUMIFS('Total Cases'!F2:F1312,'Total Cases'!A2:A1312,H$3,'Total Cases'!B2:B1312,$A4,'Total Cases'!C2:C1312,"Northern Mindanao"),0)</f>
        <v>222.428532745348</v>
      </c>
      <c r="I4" s="23" cm="1">
        <f t="array" ref="I4">_xlfn.IFERROR(_xlfn.SUMIFS('Total Cases'!F2:F1312,'Total Cases'!A2:A1312,I$3,'Total Cases'!B2:B1312,$A4,'Total Cases'!C2:C1312,"Northern Mindanao"),0)</f>
        <v>24.0442778790368</v>
      </c>
      <c r="J4" s="23" cm="1">
        <f t="array" ref="J4">_xlfn.IFERROR(_xlfn.SUMIFS('Total Cases'!F2:F1312,'Total Cases'!A2:A1312,J$3,'Total Cases'!B2:B1312,$A4,'Total Cases'!C2:C1312,"Northern Mindanao"),0)</f>
        <v>25.2578691915434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Cases'!C2:C1312,"Northern Mindanao"),0)</f>
        <v>44.5615560061013</v>
      </c>
      <c r="C5" s="23" cm="1">
        <f t="array" ref="C5">_xlfn.IFERROR(_xlfn.SUMIFS('Total Cases'!F2:F1312,'Total Cases'!A2:A1312,C$3,'Total Cases'!B2:B1312,$A5,'Total Cases'!C2:C1312,"Northern Mindanao"),0)</f>
        <v>0</v>
      </c>
      <c r="D5" s="23" cm="1">
        <f t="array" ref="D5">_xlfn.IFERROR(_xlfn.SUMIFS('Total Cases'!F2:F1312,'Total Cases'!A2:A1312,D$3,'Total Cases'!B2:B1312,$A5,'Total Cases'!C2:C1312,"Northern Mindanao"),0)</f>
        <v>37.1851963097722</v>
      </c>
      <c r="E5" s="23" cm="1">
        <f t="array" ref="E5">_xlfn.IFERROR(_xlfn.SUMIFS('Total Cases'!F2:F1312,'Total Cases'!A2:A1312,E$3,'Total Cases'!B2:B1312,$A5,'Total Cases'!C2:C1312,"Northern Mindanao"),0)</f>
        <v>0</v>
      </c>
      <c r="F5" s="23" cm="1">
        <f t="array" ref="F5">_xlfn.IFERROR(_xlfn.SUMIFS('Total Cases'!F2:F1312,'Total Cases'!A2:A1312,F$3,'Total Cases'!B2:B1312,$A5,'Total Cases'!C2:C1312,"Northern Mindanao"),0)</f>
        <v>14.1459237364049</v>
      </c>
      <c r="G5" s="23" cm="1">
        <f t="array" ref="G5">_xlfn.IFERROR(_xlfn.SUMIFS('Total Cases'!F2:F1312,'Total Cases'!A2:A1312,G$3,'Total Cases'!B2:B1312,$A5,'Total Cases'!C2:C1312,"Northern Mindanao"),0)</f>
        <v>124.658582631536</v>
      </c>
      <c r="H5" s="23" cm="1">
        <f t="array" ref="H5">_xlfn.IFERROR(_xlfn.SUMIFS('Total Cases'!F2:F1312,'Total Cases'!A2:A1312,H$3,'Total Cases'!B2:B1312,$A5,'Total Cases'!C2:C1312,"Northern Mindanao"),0)</f>
        <v>176.899896162093</v>
      </c>
      <c r="I5" s="23" cm="1">
        <f t="array" ref="I5">_xlfn.IFERROR(_xlfn.SUMIFS('Total Cases'!F2:F1312,'Total Cases'!A2:A1312,I$3,'Total Cases'!B2:B1312,$A5,'Total Cases'!C2:C1312,"Northern Mindanao"),0)</f>
        <v>31.3258257540763</v>
      </c>
      <c r="J5" s="23" cm="1">
        <f t="array" ref="J5">_xlfn.IFERROR(_xlfn.SUMIFS('Total Cases'!F2:F1312,'Total Cases'!A2:A1312,J$3,'Total Cases'!B2:B1312,$A5,'Total Cases'!C2:C1312,"Northern Mindanao"),0)</f>
        <v>14.7147946641424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Cases'!C2:C1312,"Northern Mindanao"),0)</f>
        <v>51.2173458606297</v>
      </c>
      <c r="C6" s="23" cm="1">
        <f t="array" ref="C6">_xlfn.IFERROR(_xlfn.SUMIFS('Total Cases'!F2:F1312,'Total Cases'!A2:A1312,C$3,'Total Cases'!B2:B1312,$A6,'Total Cases'!C2:C1312,"Northern Mindanao"),0)</f>
        <v>0</v>
      </c>
      <c r="D6" s="23" cm="1">
        <f t="array" ref="D6">_xlfn.IFERROR(_xlfn.SUMIFS('Total Cases'!F2:F1312,'Total Cases'!A2:A1312,D$3,'Total Cases'!B2:B1312,$A6,'Total Cases'!C2:C1312,"Northern Mindanao"),0)</f>
        <v>14.4303592002737</v>
      </c>
      <c r="E6" s="23" cm="1">
        <f t="array" ref="E6">_xlfn.IFERROR(_xlfn.SUMIFS('Total Cases'!F2:F1312,'Total Cases'!A2:A1312,E$3,'Total Cases'!B2:B1312,$A6,'Total Cases'!C2:C1312,"Northern Mindanao"),0)</f>
        <v>0</v>
      </c>
      <c r="F6" s="23" cm="1">
        <f t="array" ref="F6">_xlfn.IFERROR(_xlfn.SUMIFS('Total Cases'!F2:F1312,'Total Cases'!A2:A1312,F$3,'Total Cases'!B2:B1312,$A6,'Total Cases'!C2:C1312,"Northern Mindanao"),0)</f>
        <v>35.1562233341753</v>
      </c>
      <c r="G6" s="23" cm="1">
        <f t="array" ref="G6">_xlfn.IFERROR(_xlfn.SUMIFS('Total Cases'!F2:F1312,'Total Cases'!A2:A1312,G$3,'Total Cases'!B2:B1312,$A6,'Total Cases'!C2:C1312,"Northern Mindanao"),0)</f>
        <v>56.2234100247193</v>
      </c>
      <c r="H6" s="23" cm="1">
        <f t="array" ref="H6">_xlfn.IFERROR(_xlfn.SUMIFS('Total Cases'!F2:F1312,'Total Cases'!A2:A1312,H$3,'Total Cases'!B2:B1312,$A6,'Total Cases'!C2:C1312,"Northern Mindanao"),0)</f>
        <v>209.647899235513</v>
      </c>
      <c r="I6" s="23" cm="1">
        <f t="array" ref="I6">_xlfn.IFERROR(_xlfn.SUMIFS('Total Cases'!F2:F1312,'Total Cases'!A2:A1312,I$3,'Total Cases'!B2:B1312,$A6,'Total Cases'!C2:C1312,"Northern Mindanao"),0)</f>
        <v>0</v>
      </c>
      <c r="J6" s="23" cm="1">
        <f t="array" ref="J6">_xlfn.IFERROR(_xlfn.SUMIFS('Total Cases'!F2:F1312,'Total Cases'!A2:A1312,J$3,'Total Cases'!B2:B1312,$A6,'Total Cases'!C2:C1312,"Northern Mindanao"),0)</f>
        <v>0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Cases'!C2:C1312,"Northern Mindanao"),0)</f>
        <v>853.5908270700641</v>
      </c>
      <c r="C7" s="23" cm="1">
        <f t="array" ref="C7">_xlfn.IFERROR(_xlfn.SUMIFS('Total Cases'!F2:F1312,'Total Cases'!A2:A1312,C$3,'Total Cases'!B2:B1312,$A7,'Total Cases'!C2:C1312,"Northern Mindanao"),0)</f>
        <v>203.086921202275</v>
      </c>
      <c r="D7" s="23" cm="1">
        <f t="array" ref="D7">_xlfn.IFERROR(_xlfn.SUMIFS('Total Cases'!F2:F1312,'Total Cases'!A2:A1312,D$3,'Total Cases'!B2:B1312,$A7,'Total Cases'!C2:C1312,"Northern Mindanao"),0)</f>
        <v>525.921172693285</v>
      </c>
      <c r="E7" s="23" cm="1">
        <f t="array" ref="E7">_xlfn.IFERROR(_xlfn.SUMIFS('Total Cases'!F2:F1312,'Total Cases'!A2:A1312,E$3,'Total Cases'!B2:B1312,$A7,'Total Cases'!C2:C1312,"Northern Mindanao"),0)</f>
        <v>0</v>
      </c>
      <c r="F7" s="23" cm="1">
        <f t="array" ref="F7">_xlfn.IFERROR(_xlfn.SUMIFS('Total Cases'!F2:F1312,'Total Cases'!A2:A1312,F$3,'Total Cases'!B2:B1312,$A7,'Total Cases'!C2:C1312,"Northern Mindanao"),0)</f>
        <v>0</v>
      </c>
      <c r="G7" s="23" cm="1">
        <f t="array" ref="G7">_xlfn.IFERROR(_xlfn.SUMIFS('Total Cases'!F2:F1312,'Total Cases'!A2:A1312,G$3,'Total Cases'!B2:B1312,$A7,'Total Cases'!C2:C1312,"Northern Mindanao"),0)</f>
        <v>2156.305251588860</v>
      </c>
      <c r="H7" s="23" cm="1">
        <f t="array" ref="H7">_xlfn.IFERROR(_xlfn.SUMIFS('Total Cases'!F2:F1312,'Total Cases'!A2:A1312,H$3,'Total Cases'!B2:B1312,$A7,'Total Cases'!C2:C1312,"Northern Mindanao"),0)</f>
        <v>2380.724832581290</v>
      </c>
      <c r="I7" s="23" cm="1">
        <f t="array" ref="I7">_xlfn.IFERROR(_xlfn.SUMIFS('Total Cases'!F2:F1312,'Total Cases'!A2:A1312,I$3,'Total Cases'!B2:B1312,$A7,'Total Cases'!C2:C1312,"Northern Mindanao"),0)</f>
        <v>733.274625853591</v>
      </c>
      <c r="J7" s="23" cm="1">
        <f t="array" ref="J7">_xlfn.IFERROR(_xlfn.SUMIFS('Total Cases'!F2:F1312,'Total Cases'!A2:A1312,J$3,'Total Cases'!B2:B1312,$A7,'Total Cases'!C2:C1312,"Northern Mindanao"),0)</f>
        <v>375.170376842857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Cases'!C2:C1312,"Northern Mindanao"),0)</f>
        <v>41.6603142746403</v>
      </c>
      <c r="C8" s="23" cm="1">
        <f t="array" ref="C8">_xlfn.IFERROR(_xlfn.SUMIFS('Total Cases'!F2:F1312,'Total Cases'!A2:A1312,C$3,'Total Cases'!B2:B1312,$A8,'Total Cases'!C2:C1312,"Northern Mindanao"),0)</f>
        <v>10.543074527401</v>
      </c>
      <c r="D8" s="23" cm="1">
        <f t="array" ref="D8">_xlfn.IFERROR(_xlfn.SUMIFS('Total Cases'!F2:F1312,'Total Cases'!A2:A1312,D$3,'Total Cases'!B2:B1312,$A8,'Total Cases'!C2:C1312,"Northern Mindanao"),0)</f>
        <v>20.6120899483541</v>
      </c>
      <c r="E8" s="23" cm="1">
        <f t="array" ref="E8">_xlfn.IFERROR(_xlfn.SUMIFS('Total Cases'!F2:F1312,'Total Cases'!A2:A1312,E$3,'Total Cases'!B2:B1312,$A8,'Total Cases'!C2:C1312,"Northern Mindanao"),0)</f>
        <v>0</v>
      </c>
      <c r="F8" s="23" cm="1">
        <f t="array" ref="F8">_xlfn.IFERROR(_xlfn.SUMIFS('Total Cases'!F2:F1312,'Total Cases'!A2:A1312,F$3,'Total Cases'!B2:B1312,$A8,'Total Cases'!C2:C1312,"Northern Mindanao"),0)</f>
        <v>11.434305647523</v>
      </c>
      <c r="G8" s="23" cm="1">
        <f t="array" ref="G8">_xlfn.IFERROR(_xlfn.SUMIFS('Total Cases'!F2:F1312,'Total Cases'!A2:A1312,G$3,'Total Cases'!B2:B1312,$A8,'Total Cases'!C2:C1312,"Northern Mindanao"),0)</f>
        <v>147.565118655098</v>
      </c>
      <c r="H8" s="23" cm="1">
        <f t="array" ref="H8">_xlfn.IFERROR(_xlfn.SUMIFS('Total Cases'!F2:F1312,'Total Cases'!A2:A1312,H$3,'Total Cases'!B2:B1312,$A8,'Total Cases'!C2:C1312,"Northern Mindanao"),0)</f>
        <v>149.195881981279</v>
      </c>
      <c r="I8" s="23" cm="1">
        <f t="array" ref="I8">_xlfn.IFERROR(_xlfn.SUMIFS('Total Cases'!F2:F1312,'Total Cases'!A2:A1312,I$3,'Total Cases'!B2:B1312,$A8,'Total Cases'!C2:C1312,"Northern Mindanao"),0)</f>
        <v>41.0155938898711</v>
      </c>
      <c r="J8" s="23" cm="1">
        <f t="array" ref="J8">_xlfn.IFERROR(_xlfn.SUMIFS('Total Cases'!F2:F1312,'Total Cases'!A2:A1312,J$3,'Total Cases'!B2:B1312,$A8,'Total Cases'!C2:C1312,"Northern Mindanao"),0)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Cases'!C2:C1312,"Northern Mindanao"),0)</f>
        <v>59.9589957835287</v>
      </c>
      <c r="C9" s="23" cm="1">
        <f t="array" ref="C9">_xlfn.IFERROR(_xlfn.SUMIFS('Total Cases'!F2:F1312,'Total Cases'!A2:A1312,C$3,'Total Cases'!B2:B1312,$A9,'Total Cases'!C2:C1312,"Northern Mindanao"),0)</f>
        <v>0</v>
      </c>
      <c r="D9" s="23" cm="1">
        <f t="array" ref="D9">_xlfn.IFERROR(_xlfn.SUMIFS('Total Cases'!F2:F1312,'Total Cases'!A2:A1312,D$3,'Total Cases'!B2:B1312,$A9,'Total Cases'!C2:C1312,"Northern Mindanao"),0)</f>
        <v>27.0782561603033</v>
      </c>
      <c r="E9" s="23" cm="1">
        <f t="array" ref="E9">_xlfn.IFERROR(_xlfn.SUMIFS('Total Cases'!F2:F1312,'Total Cases'!A2:A1312,E$3,'Total Cases'!B2:B1312,$A9,'Total Cases'!C2:C1312,"Northern Mindanao"),0)</f>
        <v>0</v>
      </c>
      <c r="F9" s="23" cm="1">
        <f t="array" ref="F9">_xlfn.IFERROR(_xlfn.SUMIFS('Total Cases'!F2:F1312,'Total Cases'!A2:A1312,F$3,'Total Cases'!B2:B1312,$A9,'Total Cases'!C2:C1312,"Northern Mindanao"),0)</f>
        <v>19.5691599141688</v>
      </c>
      <c r="G9" s="23" cm="1">
        <f t="array" ref="G9">_xlfn.IFERROR(_xlfn.SUMIFS('Total Cases'!F2:F1312,'Total Cases'!A2:A1312,G$3,'Total Cases'!B2:B1312,$A9,'Total Cases'!C2:C1312,"Northern Mindanao"),0)</f>
        <v>238.508617636061</v>
      </c>
      <c r="H9" s="23" cm="1">
        <f t="array" ref="H9">_xlfn.IFERROR(_xlfn.SUMIFS('Total Cases'!F2:F1312,'Total Cases'!A2:A1312,H$3,'Total Cases'!B2:B1312,$A9,'Total Cases'!C2:C1312,"Northern Mindanao"),0)</f>
        <v>180.483783006839</v>
      </c>
      <c r="I9" s="23" cm="1">
        <f t="array" ref="I9">_xlfn.IFERROR(_xlfn.SUMIFS('Total Cases'!F2:F1312,'Total Cases'!A2:A1312,I$3,'Total Cases'!B2:B1312,$A9,'Total Cases'!C2:C1312,"Northern Mindanao"),0)</f>
        <v>49.4917707131593</v>
      </c>
      <c r="J9" s="23" cm="1">
        <f t="array" ref="J9">_xlfn.IFERROR(_xlfn.SUMIFS('Total Cases'!F2:F1312,'Total Cases'!A2:A1312,J$3,'Total Cases'!B2:B1312,$A9,'Total Cases'!C2:C1312,"Northern Mindanao"),0)</f>
        <v>30.1880838986014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Cases'!C2:C1312,"Northern Mindanao"),0)</f>
        <v>70.99509178163549</v>
      </c>
      <c r="C10" s="23" cm="1">
        <f t="array" ref="C10">_xlfn.IFERROR(_xlfn.SUMIFS('Total Cases'!F2:F1312,'Total Cases'!A2:A1312,C$3,'Total Cases'!B2:B1312,$A10,'Total Cases'!C2:C1312,"Northern Mindanao"),0)</f>
        <v>0</v>
      </c>
      <c r="D10" s="23" cm="1">
        <f t="array" ref="D10">_xlfn.IFERROR(_xlfn.SUMIFS('Total Cases'!F2:F1312,'Total Cases'!A2:A1312,D$3,'Total Cases'!B2:B1312,$A10,'Total Cases'!C2:C1312,"Northern Mindanao"),0)</f>
        <v>43.3100399650789</v>
      </c>
      <c r="E10" s="23" cm="1">
        <f t="array" ref="E10">_xlfn.IFERROR(_xlfn.SUMIFS('Total Cases'!F2:F1312,'Total Cases'!A2:A1312,E$3,'Total Cases'!B2:B1312,$A10,'Total Cases'!C2:C1312,"Northern Mindanao"),0)</f>
        <v>0</v>
      </c>
      <c r="F10" s="23" cm="1">
        <f t="array" ref="F10">_xlfn.IFERROR(_xlfn.SUMIFS('Total Cases'!F2:F1312,'Total Cases'!A2:A1312,F$3,'Total Cases'!B2:B1312,$A10,'Total Cases'!C2:C1312,"Northern Mindanao"),0)</f>
        <v>0</v>
      </c>
      <c r="G10" s="23" cm="1">
        <f t="array" ref="G10">_xlfn.IFERROR(_xlfn.SUMIFS('Total Cases'!F2:F1312,'Total Cases'!A2:A1312,G$3,'Total Cases'!B2:B1312,$A10,'Total Cases'!C2:C1312,"Northern Mindanao"),0)</f>
        <v>166.906730198172</v>
      </c>
      <c r="H10" s="23" cm="1">
        <f t="array" ref="H10">_xlfn.IFERROR(_xlfn.SUMIFS('Total Cases'!F2:F1312,'Total Cases'!A2:A1312,H$3,'Total Cases'!B2:B1312,$A10,'Total Cases'!C2:C1312,"Northern Mindanao"),0)</f>
        <v>238.622391821608</v>
      </c>
      <c r="I10" s="23" cm="1">
        <f t="array" ref="I10">_xlfn.IFERROR(_xlfn.SUMIFS('Total Cases'!F2:F1312,'Total Cases'!A2:A1312,I$3,'Total Cases'!B2:B1312,$A10,'Total Cases'!C2:C1312,"Northern Mindanao"),0)</f>
        <v>47.3110988234991</v>
      </c>
      <c r="J10" s="23" cm="1">
        <f t="array" ref="J10">_xlfn.IFERROR(_xlfn.SUMIFS('Total Cases'!F2:F1312,'Total Cases'!A2:A1312,J$3,'Total Cases'!B2:B1312,$A10,'Total Cases'!C2:C1312,"Northern Mindanao"),0)</f>
        <v>21.0102995977703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Cases'!C2:C1312,"Northern Mindanao"),0)</f>
        <v>79.07305895550751</v>
      </c>
      <c r="C11" s="23" cm="1">
        <f t="array" ref="C11">_xlfn.IFERROR(_xlfn.SUMIFS('Total Cases'!F2:F1312,'Total Cases'!A2:A1312,C$3,'Total Cases'!B2:B1312,$A11,'Total Cases'!C2:C1312,"Northern Mindanao"),0)</f>
        <v>18.8106653438521</v>
      </c>
      <c r="D11" s="23" cm="1">
        <f t="array" ref="D11">_xlfn.IFERROR(_xlfn.SUMIFS('Total Cases'!F2:F1312,'Total Cases'!A2:A1312,D$3,'Total Cases'!B2:B1312,$A11,'Total Cases'!C2:C1312,"Northern Mindanao"),0)</f>
        <v>21.2378479688653</v>
      </c>
      <c r="E11" s="23" cm="1">
        <f t="array" ref="E11">_xlfn.IFERROR(_xlfn.SUMIFS('Total Cases'!F2:F1312,'Total Cases'!A2:A1312,E$3,'Total Cases'!B2:B1312,$A11,'Total Cases'!C2:C1312,"Northern Mindanao"),0)</f>
        <v>0</v>
      </c>
      <c r="F11" s="23" cm="1">
        <f t="array" ref="F11">_xlfn.IFERROR(_xlfn.SUMIFS('Total Cases'!F2:F1312,'Total Cases'!A2:A1312,F$3,'Total Cases'!B2:B1312,$A11,'Total Cases'!C2:C1312,"Northern Mindanao"),0)</f>
        <v>20.9723748692545</v>
      </c>
      <c r="G11" s="23" cm="1">
        <f t="array" ref="G11">_xlfn.IFERROR(_xlfn.SUMIFS('Total Cases'!F2:F1312,'Total Cases'!A2:A1312,G$3,'Total Cases'!B2:B1312,$A11,'Total Cases'!C2:C1312,"Northern Mindanao"),0)</f>
        <v>142.160844841592</v>
      </c>
      <c r="H11" s="23" cm="1">
        <f t="array" ref="H11">_xlfn.IFERROR(_xlfn.SUMIFS('Total Cases'!F2:F1312,'Total Cases'!A2:A1312,H$3,'Total Cases'!B2:B1312,$A11,'Total Cases'!C2:C1312,"Northern Mindanao"),0)</f>
        <v>205.722689834125</v>
      </c>
      <c r="I11" s="23" cm="1">
        <f t="array" ref="I11">_xlfn.IFERROR(_xlfn.SUMIFS('Total Cases'!F2:F1312,'Total Cases'!A2:A1312,I$3,'Total Cases'!B2:B1312,$A11,'Total Cases'!C2:C1312,"Northern Mindanao"),0)</f>
        <v>39.1572821925954</v>
      </c>
      <c r="J11" s="23" cm="1">
        <f t="array" ref="J11">_xlfn.IFERROR(_xlfn.SUMIFS('Total Cases'!F2:F1312,'Total Cases'!A2:A1312,J$3,'Total Cases'!B2:B1312,$A11,'Total Cases'!C2:C1312,"Northern Mindanao"),0)</f>
        <v>0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Cases'!C2:C1312,"Northern Mindanao"),0)</f>
        <v>41.3758788107715</v>
      </c>
      <c r="C12" s="23" cm="1">
        <f t="array" ref="C12">_xlfn.IFERROR(_xlfn.SUMIFS('Total Cases'!F2:F1312,'Total Cases'!A2:A1312,C$3,'Total Cases'!B2:B1312,$A12,'Total Cases'!C2:C1312,"Northern Mindanao"),0)</f>
        <v>0</v>
      </c>
      <c r="D12" s="23" cm="1">
        <f t="array" ref="D12">_xlfn.IFERROR(_xlfn.SUMIFS('Total Cases'!F2:F1312,'Total Cases'!A2:A1312,D$3,'Total Cases'!B2:B1312,$A12,'Total Cases'!C2:C1312,"Northern Mindanao"),0)</f>
        <v>18.1849073233409</v>
      </c>
      <c r="E12" s="23" cm="1">
        <f t="array" ref="E12">_xlfn.IFERROR(_xlfn.SUMIFS('Total Cases'!F2:F1312,'Total Cases'!A2:A1312,E$3,'Total Cases'!B2:B1312,$A12,'Total Cases'!C2:C1312,"Northern Mindanao"),0)</f>
        <v>0</v>
      </c>
      <c r="F12" s="23" cm="1">
        <f t="array" ref="F12">_xlfn.IFERROR(_xlfn.SUMIFS('Total Cases'!F2:F1312,'Total Cases'!A2:A1312,F$3,'Total Cases'!B2:B1312,$A12,'Total Cases'!C2:C1312,"Northern Mindanao"),0)</f>
        <v>16.4024450830969</v>
      </c>
      <c r="G12" s="23" cm="1">
        <f t="array" ref="G12">_xlfn.IFERROR(_xlfn.SUMIFS('Total Cases'!F2:F1312,'Total Cases'!A2:A1312,G$3,'Total Cases'!B2:B1312,$A12,'Total Cases'!C2:C1312,"Northern Mindanao"),0)</f>
        <v>137.723651605240</v>
      </c>
      <c r="H12" s="23" cm="1">
        <f t="array" ref="H12">_xlfn.IFERROR(_xlfn.SUMIFS('Total Cases'!F2:F1312,'Total Cases'!A2:A1312,H$3,'Total Cases'!B2:B1312,$A12,'Total Cases'!C2:C1312,"Northern Mindanao"),0)</f>
        <v>209.420350864418</v>
      </c>
      <c r="I12" s="23" cm="1">
        <f t="array" ref="I12">_xlfn.IFERROR(_xlfn.SUMIFS('Total Cases'!F2:F1312,'Total Cases'!A2:A1312,I$3,'Total Cases'!B2:B1312,$A12,'Total Cases'!C2:C1312,"Northern Mindanao"),0)</f>
        <v>46.7232655315037</v>
      </c>
      <c r="J12" s="23" cm="1">
        <f t="array" ref="J12">_xlfn.IFERROR(_xlfn.SUMIFS('Total Cases'!F2:F1312,'Total Cases'!A2:A1312,J$3,'Total Cases'!B2:B1312,$A12,'Total Cases'!C2:C1312,"Northern Mindanao"),0)</f>
        <v>24.0253155147789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Cases'!C2:C1312,"Northern Mindanao"),0)</f>
        <v>62.9740117005372</v>
      </c>
      <c r="C13" s="23" cm="1">
        <f t="array" ref="C13">_xlfn.IFERROR(_xlfn.SUMIFS('Total Cases'!F2:F1312,'Total Cases'!A2:A1312,C$3,'Total Cases'!B2:B1312,$A13,'Total Cases'!C2:C1312,"Northern Mindanao"),0)</f>
        <v>0</v>
      </c>
      <c r="D13" s="23" cm="1">
        <f t="array" ref="D13">_xlfn.IFERROR(_xlfn.SUMIFS('Total Cases'!F2:F1312,'Total Cases'!A2:A1312,D$3,'Total Cases'!B2:B1312,$A13,'Total Cases'!C2:C1312,"Northern Mindanao"),0)</f>
        <v>27.590239995267</v>
      </c>
      <c r="E13" s="23" cm="1">
        <f t="array" ref="E13">_xlfn.IFERROR(_xlfn.SUMIFS('Total Cases'!F2:F1312,'Total Cases'!A2:A1312,E$3,'Total Cases'!B2:B1312,$A13,'Total Cases'!C2:C1312,"Northern Mindanao"),0)</f>
        <v>0</v>
      </c>
      <c r="F13" s="23" cm="1">
        <f t="array" ref="F13">_xlfn.IFERROR(_xlfn.SUMIFS('Total Cases'!F2:F1312,'Total Cases'!A2:A1312,F$3,'Total Cases'!B2:B1312,$A13,'Total Cases'!C2:C1312,"Northern Mindanao"),0)</f>
        <v>20.2707673917116</v>
      </c>
      <c r="G13" s="23" cm="1">
        <f t="array" ref="G13">_xlfn.IFERROR(_xlfn.SUMIFS('Total Cases'!F2:F1312,'Total Cases'!A2:A1312,G$3,'Total Cases'!B2:B1312,$A13,'Total Cases'!C2:C1312,"Northern Mindanao"),0)</f>
        <v>170.642315956981</v>
      </c>
      <c r="H13" s="23" cm="1">
        <f t="array" ref="H13">_xlfn.IFERROR(_xlfn.SUMIFS('Total Cases'!F2:F1312,'Total Cases'!A2:A1312,H$3,'Total Cases'!B2:B1312,$A13,'Total Cases'!C2:C1312,"Northern Mindanao"),0)</f>
        <v>291.015404266229</v>
      </c>
      <c r="I13" s="23" cm="1">
        <f t="array" ref="I13">_xlfn.IFERROR(_xlfn.SUMIFS('Total Cases'!F2:F1312,'Total Cases'!A2:A1312,I$3,'Total Cases'!B2:B1312,$A13,'Total Cases'!C2:C1312,"Northern Mindanao"),0)</f>
        <v>44.9597656555176</v>
      </c>
      <c r="J13" s="23" cm="1">
        <f t="array" ref="J13">_xlfn.IFERROR(_xlfn.SUMIFS('Total Cases'!F2:F1312,'Total Cases'!A2:A1312,J$3,'Total Cases'!B2:B1312,$A13,'Total Cases'!C2:C1312,"Northern Mindanao"),0)</f>
        <v>0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Cases'!C2:C1312,"Northern Mindanao"),0)</f>
        <v>45.6234484045446</v>
      </c>
      <c r="C14" s="23" cm="1">
        <f t="array" ref="C14">_xlfn.IFERROR(_xlfn.SUMIFS('Total Cases'!F2:F1312,'Total Cases'!A2:A1312,C$3,'Total Cases'!B2:B1312,$A14,'Total Cases'!C2:C1312,"Northern Mindanao"),0)</f>
        <v>0</v>
      </c>
      <c r="D14" s="23" cm="1">
        <f t="array" ref="D14">_xlfn.IFERROR(_xlfn.SUMIFS('Total Cases'!F2:F1312,'Total Cases'!A2:A1312,D$3,'Total Cases'!B2:B1312,$A14,'Total Cases'!C2:C1312,"Northern Mindanao"),0)</f>
        <v>19.5881222784267</v>
      </c>
      <c r="E14" s="23" cm="1">
        <f t="array" ref="E14">_xlfn.IFERROR(_xlfn.SUMIFS('Total Cases'!F2:F1312,'Total Cases'!A2:A1312,E$3,'Total Cases'!B2:B1312,$A14,'Total Cases'!C2:C1312,"Northern Mindanao"),0)</f>
        <v>0</v>
      </c>
      <c r="F14" s="23" cm="1">
        <f t="array" ref="F14">_xlfn.IFERROR(_xlfn.SUMIFS('Total Cases'!F2:F1312,'Total Cases'!A2:A1312,F$3,'Total Cases'!B2:B1312,$A14,'Total Cases'!C2:C1312,"Northern Mindanao"),0)</f>
        <v>16.8006547325131</v>
      </c>
      <c r="G14" s="23" cm="1">
        <f t="array" ref="G14">_xlfn.IFERROR(_xlfn.SUMIFS('Total Cases'!F2:F1312,'Total Cases'!A2:A1312,G$3,'Total Cases'!B2:B1312,$A14,'Total Cases'!C2:C1312,"Northern Mindanao"),0)</f>
        <v>128.716528582730</v>
      </c>
      <c r="H14" s="23" cm="1">
        <f t="array" ref="H14">_xlfn.IFERROR(_xlfn.SUMIFS('Total Cases'!F2:F1312,'Total Cases'!A2:A1312,H$3,'Total Cases'!B2:B1312,$A14,'Total Cases'!C2:C1312,"Northern Mindanao"),0)</f>
        <v>249.999810376357</v>
      </c>
      <c r="I14" s="23" cm="1">
        <f t="array" ref="I14">_xlfn.IFERROR(_xlfn.SUMIFS('Total Cases'!F2:F1312,'Total Cases'!A2:A1312,I$3,'Total Cases'!B2:B1312,$A14,'Total Cases'!C2:C1312,"Northern Mindanao"),0)</f>
        <v>17.5212245743139</v>
      </c>
      <c r="J14" s="23" cm="1">
        <f t="array" ref="J14">_xlfn.IFERROR(_xlfn.SUMIFS('Total Cases'!F2:F1312,'Total Cases'!A2:A1312,J$3,'Total Cases'!B2:B1312,$A14,'Total Cases'!C2:C1312,"Northern Mindanao"),0)</f>
        <v>30.946578468918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Cases'!C2:C1312,"Northern Mindanao"),0)</f>
        <v>25.1820197345117</v>
      </c>
      <c r="C15" s="23" cm="1">
        <f t="array" ref="C15">_xlfn.IFERROR(_xlfn.SUMIFS('Total Cases'!F2:F1312,'Total Cases'!A2:A1312,C$3,'Total Cases'!B2:B1312,$A15,'Total Cases'!C2:C1312,"Northern Mindanao"),0)</f>
        <v>0</v>
      </c>
      <c r="D15" s="23" cm="1">
        <f t="array" ref="D15">_xlfn.IFERROR(_xlfn.SUMIFS('Total Cases'!F2:F1312,'Total Cases'!A2:A1312,D$3,'Total Cases'!B2:B1312,$A15,'Total Cases'!C2:C1312,"Northern Mindanao"),0)</f>
        <v>19.7587835567479</v>
      </c>
      <c r="E15" s="23" cm="1">
        <f t="array" ref="E15">_xlfn.IFERROR(_xlfn.SUMIFS('Total Cases'!F2:F1312,'Total Cases'!A2:A1312,E$3,'Total Cases'!B2:B1312,$A15,'Total Cases'!C2:C1312,"Northern Mindanao"),0)</f>
        <v>0</v>
      </c>
      <c r="F15" s="23" cm="1">
        <f t="array" ref="F15">_xlfn.IFERROR(_xlfn.SUMIFS('Total Cases'!F2:F1312,'Total Cases'!A2:A1312,F$3,'Total Cases'!B2:B1312,$A15,'Total Cases'!C2:C1312,"Northern Mindanao"),0)</f>
        <v>0</v>
      </c>
      <c r="G15" s="23" cm="1">
        <f t="array" ref="G15">_xlfn.IFERROR(_xlfn.SUMIFS('Total Cases'!F2:F1312,'Total Cases'!A2:A1312,G$3,'Total Cases'!B2:B1312,$A15,'Total Cases'!C2:C1312,"Northern Mindanao"),0)</f>
        <v>146.408414435365</v>
      </c>
      <c r="H15" s="23" cm="1">
        <f t="array" ref="H15">_xlfn.IFERROR(_xlfn.SUMIFS('Total Cases'!F2:F1312,'Total Cases'!A2:A1312,H$3,'Total Cases'!B2:B1312,$A15,'Total Cases'!C2:C1312,"Northern Mindanao"),0)</f>
        <v>204.205700693492</v>
      </c>
      <c r="I15" s="23" cm="1">
        <f t="array" ref="I15">_xlfn.IFERROR(_xlfn.SUMIFS('Total Cases'!F2:F1312,'Total Cases'!A2:A1312,I$3,'Total Cases'!B2:B1312,$A15,'Total Cases'!C2:C1312,"Northern Mindanao"),0)</f>
        <v>13.5960151729254</v>
      </c>
      <c r="J15" s="23" cm="1">
        <f t="array" ref="J15">_xlfn.IFERROR(_xlfn.SUMIFS('Total Cases'!F2:F1312,'Total Cases'!A2:A1312,J$3,'Total Cases'!B2:B1312,$A15,'Total Cases'!C2:C1312,"Northern Mindanao"),0)</f>
        <v>23.5702187725889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7" customWidth="1"/>
    <col min="2" max="9" width="16" style="67" customWidth="1"/>
    <col min="10" max="10" width="8.67188" style="67" customWidth="1"/>
    <col min="11" max="16384" width="8.67188" style="67" customWidth="1"/>
  </cols>
  <sheetData>
    <row r="1" ht="18.5" customHeight="1">
      <c r="A1" t="s" s="39">
        <v>87</v>
      </c>
      <c r="B1" s="40"/>
      <c r="C1" s="40"/>
      <c r="D1" s="40"/>
      <c r="E1" s="40"/>
      <c r="F1" s="40"/>
      <c r="G1" s="40"/>
      <c r="H1" s="40"/>
      <c r="I1" s="40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46">
        <v>30</v>
      </c>
      <c r="H3" t="s" s="47">
        <v>36</v>
      </c>
      <c r="I3" t="s" s="48">
        <v>41</v>
      </c>
      <c r="J3" s="49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Cases'!C2:C1312,"Davao"),0)</f>
        <v>25.4955779844015</v>
      </c>
      <c r="C4" s="23" cm="1">
        <f t="array" ref="C4">_xlfn.IFERROR(_xlfn.SUMIFS('Total Cases'!F2:F1312,'Total Cases'!A2:A1312,C$3,'Total Cases'!B2:B1312,$A4,'Total Cases'!C2:C1312,"Davao"),0)</f>
        <v>8.25838845807629</v>
      </c>
      <c r="D4" s="23" cm="1">
        <f t="array" ref="D4">_xlfn.IFERROR(_xlfn.SUMIFS('Total Cases'!F2:F1312,'Total Cases'!A2:A1312,D$3,'Total Cases'!B2:B1312,$A4,'Total Cases'!C2:C1312,"Davao"),0)</f>
        <v>10.7007629169542</v>
      </c>
      <c r="E4" s="23" cm="1">
        <f t="array" ref="E4">_xlfn.IFERROR(_xlfn.SUMIFS('Total Cases'!F2:F1312,'Total Cases'!A2:A1312,E$3,'Total Cases'!B2:B1312,$A4,'Total Cases'!C2:C1312,"Davao"),0)</f>
        <v>0</v>
      </c>
      <c r="F4" s="23" cm="1">
        <f t="array" ref="F4">_xlfn.IFERROR(_xlfn.SUMIFS('Total Cases'!F2:F1312,'Total Cases'!A2:A1312,F$3,'Total Cases'!B2:B1312,$A4,'Total Cases'!C2:C1312,"Davao"),0)</f>
        <v>27.6568158149193</v>
      </c>
      <c r="G4" s="23" cm="1">
        <f t="array" ref="G4">_xlfn.IFERROR(_xlfn.SUMIFS('Total Cases'!F2:F1312,'Total Cases'!A2:A1312,G$3,'Total Cases'!B2:B1312,$A4,'Total Cases'!C2:C1312,"Davao"),0)</f>
        <v>104.073265611034</v>
      </c>
      <c r="H4" s="23" cm="1">
        <f t="array" ref="H4">_xlfn.IFERROR(_xlfn.SUMIFS('Total Cases'!F2:F1312,'Total Cases'!A2:A1312,H$3,'Total Cases'!B2:B1312,$A4,'Total Cases'!C2:C1312,"Davao"),0)</f>
        <v>9.365363932243961</v>
      </c>
      <c r="I4" s="23" cm="1">
        <f t="array" ref="I4">_xlfn.IFERROR(_xlfn.SUMIFS('Total Cases'!F2:F1312,'Total Cases'!A2:A1312,I$3,'Total Cases'!B2:B1312,$A4,'Total Cases'!C2:C1312,"Davao"),0)</f>
        <v>18.0981704506778</v>
      </c>
      <c r="J4" s="49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Cases'!C2:C1312,"Davao"),0)</f>
        <v>0</v>
      </c>
      <c r="C5" s="23" cm="1">
        <f t="array" ref="C5">_xlfn.IFERROR(_xlfn.SUMIFS('Total Cases'!F2:F1312,'Total Cases'!A2:A1312,C$3,'Total Cases'!B2:B1312,$A5,'Total Cases'!C2:C1312,"Davao"),0)</f>
        <v>11.3860334485818</v>
      </c>
      <c r="D5" s="23" cm="1">
        <f t="array" ref="D5">_xlfn.IFERROR(_xlfn.SUMIFS('Total Cases'!F2:F1312,'Total Cases'!A2:A1312,D$3,'Total Cases'!B2:B1312,$A5,'Total Cases'!C2:C1312,"Davao"),0)</f>
        <v>10.8940443489517</v>
      </c>
      <c r="E5" s="23" cm="1">
        <f t="array" ref="E5">_xlfn.IFERROR(_xlfn.SUMIFS('Total Cases'!F2:F1312,'Total Cases'!A2:A1312,E$3,'Total Cases'!B2:B1312,$A5,'Total Cases'!C2:C1312,"Davao"),0)</f>
        <v>0</v>
      </c>
      <c r="F5" s="23" cm="1">
        <f t="array" ref="F5">_xlfn.IFERROR(_xlfn.SUMIFS('Total Cases'!F2:F1312,'Total Cases'!A2:A1312,F$3,'Total Cases'!B2:B1312,$A5,'Total Cases'!C2:C1312,"Davao"),0)</f>
        <v>37.5844530038834</v>
      </c>
      <c r="G5" s="23" cm="1">
        <f t="array" ref="G5">_xlfn.IFERROR(_xlfn.SUMIFS('Total Cases'!F2:F1312,'Total Cases'!A2:A1312,G$3,'Total Cases'!B2:B1312,$A5,'Total Cases'!C2:C1312,"Davao"),0)</f>
        <v>87.13478375234109</v>
      </c>
      <c r="H5" s="23" cm="1">
        <f t="array" ref="H5">_xlfn.IFERROR(_xlfn.SUMIFS('Total Cases'!F2:F1312,'Total Cases'!A2:A1312,H$3,'Total Cases'!B2:B1312,$A5,'Total Cases'!C2:C1312,"Davao"),0)</f>
        <v>0</v>
      </c>
      <c r="I5" s="23" cm="1">
        <f t="array" ref="I5">_xlfn.IFERROR(_xlfn.SUMIFS('Total Cases'!F2:F1312,'Total Cases'!A2:A1312,I$3,'Total Cases'!B2:B1312,$A5,'Total Cases'!C2:C1312,"Davao"),0)</f>
        <v>34.5622342490129</v>
      </c>
      <c r="J5" s="49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Cases'!C2:C1312,"Davao"),0)</f>
        <v>105.268096281564</v>
      </c>
      <c r="C6" s="23" cm="1">
        <f t="array" ref="C6">_xlfn.IFERROR(_xlfn.SUMIFS('Total Cases'!F2:F1312,'Total Cases'!A2:A1312,C$3,'Total Cases'!B2:B1312,$A6,'Total Cases'!C2:C1312,"Davao"),0)</f>
        <v>33.0511248715777</v>
      </c>
      <c r="D6" s="23" cm="1">
        <f t="array" ref="D6">_xlfn.IFERROR(_xlfn.SUMIFS('Total Cases'!F2:F1312,'Total Cases'!A2:A1312,D$3,'Total Cases'!B2:B1312,$A6,'Total Cases'!C2:C1312,"Davao"),0)</f>
        <v>24.7400232956839</v>
      </c>
      <c r="E6" s="23" cm="1">
        <f t="array" ref="E6">_xlfn.IFERROR(_xlfn.SUMIFS('Total Cases'!F2:F1312,'Total Cases'!A2:A1312,E$3,'Total Cases'!B2:B1312,$A6,'Total Cases'!C2:C1312,"Davao"),0)</f>
        <v>24.6345970600489</v>
      </c>
      <c r="F6" s="23" cm="1">
        <f t="array" ref="F6">_xlfn.IFERROR(_xlfn.SUMIFS('Total Cases'!F2:F1312,'Total Cases'!A2:A1312,F$3,'Total Cases'!B2:B1312,$A6,'Total Cases'!C2:C1312,"Davao"),0)</f>
        <v>158.051498256162</v>
      </c>
      <c r="G6" s="23" cm="1">
        <f t="array" ref="G6">_xlfn.IFERROR(_xlfn.SUMIFS('Total Cases'!F2:F1312,'Total Cases'!A2:A1312,G$3,'Total Cases'!B2:B1312,$A6,'Total Cases'!C2:C1312,"Davao"),0)</f>
        <v>361.822840699377</v>
      </c>
      <c r="H6" s="23" cm="1">
        <f t="array" ref="H6">_xlfn.IFERROR(_xlfn.SUMIFS('Total Cases'!F2:F1312,'Total Cases'!A2:A1312,H$3,'Total Cases'!B2:B1312,$A6,'Total Cases'!C2:C1312,"Davao"),0)</f>
        <v>0</v>
      </c>
      <c r="I6" s="23" cm="1">
        <f t="array" ref="I6">_xlfn.IFERROR(_xlfn.SUMIFS('Total Cases'!F2:F1312,'Total Cases'!A2:A1312,I$3,'Total Cases'!B2:B1312,$A6,'Total Cases'!C2:C1312,"Davao"),0)</f>
        <v>0</v>
      </c>
      <c r="J6" s="49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Cases'!C2:C1312,"Davao"),0)</f>
        <v>932.864046016443</v>
      </c>
      <c r="C7" s="23" cm="1">
        <f t="array" ref="C7">_xlfn.IFERROR(_xlfn.SUMIFS('Total Cases'!F2:F1312,'Total Cases'!A2:A1312,C$3,'Total Cases'!B2:B1312,$A7,'Total Cases'!C2:C1312,"Davao"),0)</f>
        <v>368.903969526195</v>
      </c>
      <c r="D7" s="23" cm="1">
        <f t="array" ref="D7">_xlfn.IFERROR(_xlfn.SUMIFS('Total Cases'!F2:F1312,'Total Cases'!A2:A1312,D$3,'Total Cases'!B2:B1312,$A7,'Total Cases'!C2:C1312,"Davao"),0)</f>
        <v>282.876161248022</v>
      </c>
      <c r="E7" s="23" cm="1">
        <f t="array" ref="E7">_xlfn.IFERROR(_xlfn.SUMIFS('Total Cases'!F2:F1312,'Total Cases'!A2:A1312,E$3,'Total Cases'!B2:B1312,$A7,'Total Cases'!C2:C1312,"Davao"),0)</f>
        <v>0</v>
      </c>
      <c r="F7" s="23" cm="1">
        <f t="array" ref="F7">_xlfn.IFERROR(_xlfn.SUMIFS('Total Cases'!F2:F1312,'Total Cases'!A2:A1312,F$3,'Total Cases'!B2:B1312,$A7,'Total Cases'!C2:C1312,"Davao"),0)</f>
        <v>1177.5056258075</v>
      </c>
      <c r="G7" s="23" cm="1">
        <f t="array" ref="G7">_xlfn.IFERROR(_xlfn.SUMIFS('Total Cases'!F2:F1312,'Total Cases'!A2:A1312,G$3,'Total Cases'!B2:B1312,$A7,'Total Cases'!C2:C1312,"Davao"),0)</f>
        <v>1509.668552214890</v>
      </c>
      <c r="H7" s="23" cm="1">
        <f t="array" ref="H7">_xlfn.IFERROR(_xlfn.SUMIFS('Total Cases'!F2:F1312,'Total Cases'!A2:A1312,H$3,'Total Cases'!B2:B1312,$A7,'Total Cases'!C2:C1312,"Davao"),0)</f>
        <v>116.794698044326</v>
      </c>
      <c r="I7" s="23" cm="1">
        <f t="array" ref="I7">_xlfn.IFERROR(_xlfn.SUMIFS('Total Cases'!F2:F1312,'Total Cases'!A2:A1312,I$3,'Total Cases'!B2:B1312,$A7,'Total Cases'!C2:C1312,"Davao"),0)</f>
        <v>112.015375362205</v>
      </c>
      <c r="J7" s="49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Cases'!C2:C1312,"Davao"),0)</f>
        <v>75.6960371859418</v>
      </c>
      <c r="C8" s="23" cm="1">
        <f t="array" ref="C8">_xlfn.IFERROR(_xlfn.SUMIFS('Total Cases'!F2:F1312,'Total Cases'!A2:A1312,C$3,'Total Cases'!B2:B1312,$A8,'Total Cases'!C2:C1312,"Davao"),0)</f>
        <v>24.1250369211463</v>
      </c>
      <c r="D8" s="23" cm="1">
        <f t="array" ref="D8">_xlfn.IFERROR(_xlfn.SUMIFS('Total Cases'!F2:F1312,'Total Cases'!A2:A1312,D$3,'Total Cases'!B2:B1312,$A8,'Total Cases'!C2:C1312,"Davao"),0)</f>
        <v>7.71368624062871</v>
      </c>
      <c r="E8" s="23" cm="1">
        <f t="array" ref="E8">_xlfn.IFERROR(_xlfn.SUMIFS('Total Cases'!F2:F1312,'Total Cases'!A2:A1312,E$3,'Total Cases'!B2:B1312,$A8,'Total Cases'!C2:C1312,"Davao"),0)</f>
        <v>0</v>
      </c>
      <c r="F8" s="23" cm="1">
        <f t="array" ref="F8">_xlfn.IFERROR(_xlfn.SUMIFS('Total Cases'!F2:F1312,'Total Cases'!A2:A1312,F$3,'Total Cases'!B2:B1312,$A8,'Total Cases'!C2:C1312,"Davao"),0)</f>
        <v>75.0810508114042</v>
      </c>
      <c r="G8" s="23" cm="1">
        <f t="array" ref="G8">_xlfn.IFERROR(_xlfn.SUMIFS('Total Cases'!F2:F1312,'Total Cases'!A2:A1312,G$3,'Total Cases'!B2:B1312,$A8,'Total Cases'!C2:C1312,"Davao"),0)</f>
        <v>60.5849434115895</v>
      </c>
      <c r="H8" s="23" cm="1">
        <f t="array" ref="H8">_xlfn.IFERROR(_xlfn.SUMIFS('Total Cases'!F2:F1312,'Total Cases'!A2:A1312,H$3,'Total Cases'!B2:B1312,$A8,'Total Cases'!C2:C1312,"Davao"),0)</f>
        <v>8.328672615166299</v>
      </c>
      <c r="I8" s="23" cm="1">
        <f t="array" ref="I8">_xlfn.IFERROR(_xlfn.SUMIFS('Total Cases'!F2:F1312,'Total Cases'!A2:A1312,I$3,'Total Cases'!B2:B1312,$A8,'Total Cases'!C2:C1312,"Davao"),0)</f>
        <v>9.24236665733644</v>
      </c>
      <c r="J8" s="49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Cases'!C2:C1312,"Davao"),0)</f>
        <v>78.22626684118219</v>
      </c>
      <c r="C9" s="23" cm="1">
        <f t="array" ref="C9">_xlfn.IFERROR(_xlfn.SUMIFS('Total Cases'!F2:F1312,'Total Cases'!A2:A1312,C$3,'Total Cases'!B2:B1312,$A9,'Total Cases'!C2:C1312,"Davao"),0)</f>
        <v>29.5193459778046</v>
      </c>
      <c r="D9" s="23" cm="1">
        <f t="array" ref="D9">_xlfn.IFERROR(_xlfn.SUMIFS('Total Cases'!F2:F1312,'Total Cases'!A2:A1312,D$3,'Total Cases'!B2:B1312,$A9,'Total Cases'!C2:C1312,"Davao"),0)</f>
        <v>10.2263448565966</v>
      </c>
      <c r="E9" s="23" cm="1">
        <f t="array" ref="E9">_xlfn.IFERROR(_xlfn.SUMIFS('Total Cases'!F2:F1312,'Total Cases'!A2:A1312,E$3,'Total Cases'!B2:B1312,$A9,'Total Cases'!C2:C1312,"Davao"),0)</f>
        <v>0</v>
      </c>
      <c r="F9" s="23" cm="1">
        <f t="array" ref="F9">_xlfn.IFERROR(_xlfn.SUMIFS('Total Cases'!F2:F1312,'Total Cases'!A2:A1312,F$3,'Total Cases'!B2:B1312,$A9,'Total Cases'!C2:C1312,"Davao"),0)</f>
        <v>131.361089601231</v>
      </c>
      <c r="G9" s="23" cm="1">
        <f t="array" ref="G9">_xlfn.IFERROR(_xlfn.SUMIFS('Total Cases'!F2:F1312,'Total Cases'!A2:A1312,G$3,'Total Cases'!B2:B1312,$A9,'Total Cases'!C2:C1312,"Davao"),0)</f>
        <v>84.1828491545607</v>
      </c>
      <c r="H9" s="23" cm="1">
        <f t="array" ref="H9">_xlfn.IFERROR(_xlfn.SUMIFS('Total Cases'!F2:F1312,'Total Cases'!A2:A1312,H$3,'Total Cases'!B2:B1312,$A9,'Total Cases'!C2:C1312,"Davao"),0)</f>
        <v>9.50593224642399</v>
      </c>
      <c r="I9" s="23" cm="1">
        <f t="array" ref="I9">_xlfn.IFERROR(_xlfn.SUMIFS('Total Cases'!F2:F1312,'Total Cases'!A2:A1312,I$3,'Total Cases'!B2:B1312,$A9,'Total Cases'!C2:C1312,"Davao"),0)</f>
        <v>0</v>
      </c>
      <c r="J9" s="49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Cases'!C2:C1312,"Davao"),0)</f>
        <v>76.750299542292</v>
      </c>
      <c r="C10" s="23" cm="1">
        <f t="array" ref="C10">_xlfn.IFERROR(_xlfn.SUMIFS('Total Cases'!F2:F1312,'Total Cases'!A2:A1312,C$3,'Total Cases'!B2:B1312,$A10,'Total Cases'!C2:C1312,"Davao"),0)</f>
        <v>24.3183183531438</v>
      </c>
      <c r="D10" s="23" cm="1">
        <f t="array" ref="D10">_xlfn.IFERROR(_xlfn.SUMIFS('Total Cases'!F2:F1312,'Total Cases'!A2:A1312,D$3,'Total Cases'!B2:B1312,$A10,'Total Cases'!C2:C1312,"Davao"),0)</f>
        <v>11.9131646267569</v>
      </c>
      <c r="E10" s="23" cm="1">
        <f t="array" ref="E10">_xlfn.IFERROR(_xlfn.SUMIFS('Total Cases'!F2:F1312,'Total Cases'!A2:A1312,E$3,'Total Cases'!B2:B1312,$A10,'Total Cases'!C2:C1312,"Davao"),0)</f>
        <v>0</v>
      </c>
      <c r="F10" s="23" cm="1">
        <f t="array" ref="F10">_xlfn.IFERROR(_xlfn.SUMIFS('Total Cases'!F2:F1312,'Total Cases'!A2:A1312,F$3,'Total Cases'!B2:B1312,$A10,'Total Cases'!C2:C1312,"Davao"),0)</f>
        <v>89.0500270330439</v>
      </c>
      <c r="G10" s="23" cm="1">
        <f t="array" ref="G10">_xlfn.IFERROR(_xlfn.SUMIFS('Total Cases'!F2:F1312,'Total Cases'!A2:A1312,G$3,'Total Cases'!B2:B1312,$A10,'Total Cases'!C2:C1312,"Davao"),0)</f>
        <v>87.20506790943109</v>
      </c>
      <c r="H10" s="23" cm="1">
        <f t="array" ref="H10">_xlfn.IFERROR(_xlfn.SUMIFS('Total Cases'!F2:F1312,'Total Cases'!A2:A1312,H$3,'Total Cases'!B2:B1312,$A10,'Total Cases'!C2:C1312,"Davao"),0)</f>
        <v>11.6495990376693</v>
      </c>
      <c r="I10" s="23" cm="1">
        <f t="array" ref="I10">_xlfn.IFERROR(_xlfn.SUMIFS('Total Cases'!F2:F1312,'Total Cases'!A2:A1312,I$3,'Total Cases'!B2:B1312,$A10,'Total Cases'!C2:C1312,"Davao"),0)</f>
        <v>0</v>
      </c>
      <c r="J10" s="49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Cases'!C2:C1312,"Davao"),0)</f>
        <v>67.9823509453131</v>
      </c>
      <c r="C11" s="23" cm="1">
        <f t="array" ref="C11">_xlfn.IFERROR(_xlfn.SUMIFS('Total Cases'!F2:F1312,'Total Cases'!A2:A1312,C$3,'Total Cases'!B2:B1312,$A11,'Total Cases'!C2:C1312,"Davao"),0)</f>
        <v>23.9668975676937</v>
      </c>
      <c r="D11" s="23" cm="1">
        <f t="array" ref="D11">_xlfn.IFERROR(_xlfn.SUMIFS('Total Cases'!F2:F1312,'Total Cases'!A2:A1312,D$3,'Total Cases'!B2:B1312,$A11,'Total Cases'!C2:C1312,"Davao"),0)</f>
        <v>11.1576099380392</v>
      </c>
      <c r="E11" s="23" cm="1">
        <f t="array" ref="E11">_xlfn.IFERROR(_xlfn.SUMIFS('Total Cases'!F2:F1312,'Total Cases'!A2:A1312,E$3,'Total Cases'!B2:B1312,$A11,'Total Cases'!C2:C1312,"Davao"),0)</f>
        <v>10.5074814849566</v>
      </c>
      <c r="F11" s="23" cm="1">
        <f t="array" ref="F11">_xlfn.IFERROR(_xlfn.SUMIFS('Total Cases'!F2:F1312,'Total Cases'!A2:A1312,F$3,'Total Cases'!B2:B1312,$A11,'Total Cases'!C2:C1312,"Davao"),0)</f>
        <v>67.3322224922305</v>
      </c>
      <c r="G11" s="23" cm="1">
        <f t="array" ref="G11">_xlfn.IFERROR(_xlfn.SUMIFS('Total Cases'!F2:F1312,'Total Cases'!A2:A1312,G$3,'Total Cases'!B2:B1312,$A11,'Total Cases'!C2:C1312,"Davao"),0)</f>
        <v>79.2805291975324</v>
      </c>
      <c r="H11" s="23" cm="1">
        <f t="array" ref="H11">_xlfn.IFERROR(_xlfn.SUMIFS('Total Cases'!F2:F1312,'Total Cases'!A2:A1312,H$3,'Total Cases'!B2:B1312,$A11,'Total Cases'!C2:C1312,"Davao"),0)</f>
        <v>7.59068896572119</v>
      </c>
      <c r="I11" s="23" cm="1">
        <f t="array" ref="I11">_xlfn.IFERROR(_xlfn.SUMIFS('Total Cases'!F2:F1312,'Total Cases'!A2:A1312,I$3,'Total Cases'!B2:B1312,$A11,'Total Cases'!C2:C1312,"Davao"),0)</f>
        <v>0</v>
      </c>
      <c r="J11" s="49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Cases'!C2:C1312,"Davao"),0)</f>
        <v>74.79991418304419</v>
      </c>
      <c r="C12" s="23" cm="1">
        <f t="array" ref="C12">_xlfn.IFERROR(_xlfn.SUMIFS('Total Cases'!F2:F1312,'Total Cases'!A2:A1312,C$3,'Total Cases'!B2:B1312,$A12,'Total Cases'!C2:C1312,"Davao"),0)</f>
        <v>26.7079796942042</v>
      </c>
      <c r="D12" s="23" cm="1">
        <f t="array" ref="D12">_xlfn.IFERROR(_xlfn.SUMIFS('Total Cases'!F2:F1312,'Total Cases'!A2:A1312,D$3,'Total Cases'!B2:B1312,$A12,'Total Cases'!C2:C1312,"Davao"),0)</f>
        <v>10.8589022704067</v>
      </c>
      <c r="E12" s="23" cm="1">
        <f t="array" ref="E12">_xlfn.IFERROR(_xlfn.SUMIFS('Total Cases'!F2:F1312,'Total Cases'!A2:A1312,E$3,'Total Cases'!B2:B1312,$A12,'Total Cases'!C2:C1312,"Davao"),0)</f>
        <v>9.101798343156419</v>
      </c>
      <c r="F12" s="23" cm="1">
        <f t="array" ref="F12">_xlfn.IFERROR(_xlfn.SUMIFS('Total Cases'!F2:F1312,'Total Cases'!A2:A1312,F$3,'Total Cases'!B2:B1312,$A12,'Total Cases'!C2:C1312,"Davao"),0)</f>
        <v>85.3601087858183</v>
      </c>
      <c r="G12" s="23" cm="1">
        <f t="array" ref="G12">_xlfn.IFERROR(_xlfn.SUMIFS('Total Cases'!F2:F1312,'Total Cases'!A2:A1312,G$3,'Total Cases'!B2:B1312,$A12,'Total Cases'!C2:C1312,"Davao"),0)</f>
        <v>113.016924600738</v>
      </c>
      <c r="H12" s="23" cm="1">
        <f t="array" ref="H12">_xlfn.IFERROR(_xlfn.SUMIFS('Total Cases'!F2:F1312,'Total Cases'!A2:A1312,H$3,'Total Cases'!B2:B1312,$A12,'Total Cases'!C2:C1312,"Davao"),0)</f>
        <v>9.172082500246431</v>
      </c>
      <c r="I12" s="23" cm="1">
        <f t="array" ref="I12">_xlfn.IFERROR(_xlfn.SUMIFS('Total Cases'!F2:F1312,'Total Cases'!A2:A1312,I$3,'Total Cases'!B2:B1312,$A12,'Total Cases'!C2:C1312,"Davao"),0)</f>
        <v>0</v>
      </c>
      <c r="J12" s="49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Cases'!C2:C1312,"Davao"),0)</f>
        <v>24.4588866673238</v>
      </c>
      <c r="C13" s="23" cm="1">
        <f t="array" ref="C13">_xlfn.IFERROR(_xlfn.SUMIFS('Total Cases'!F2:F1312,'Total Cases'!A2:A1312,C$3,'Total Cases'!B2:B1312,$A13,'Total Cases'!C2:C1312,"Davao"),0)</f>
        <v>20.6459711451907</v>
      </c>
      <c r="D13" s="23" cm="1">
        <f t="array" ref="D13">_xlfn.IFERROR(_xlfn.SUMIFS('Total Cases'!F2:F1312,'Total Cases'!A2:A1312,D$3,'Total Cases'!B2:B1312,$A13,'Total Cases'!C2:C1312,"Davao"),0)</f>
        <v>7.73125727990121</v>
      </c>
      <c r="E13" s="23" cm="1">
        <f t="array" ref="E13">_xlfn.IFERROR(_xlfn.SUMIFS('Total Cases'!F2:F1312,'Total Cases'!A2:A1312,E$3,'Total Cases'!B2:B1312,$A13,'Total Cases'!C2:C1312,"Davao"),0)</f>
        <v>0</v>
      </c>
      <c r="F13" s="23" cm="1">
        <f t="array" ref="F13">_xlfn.IFERROR(_xlfn.SUMIFS('Total Cases'!F2:F1312,'Total Cases'!A2:A1312,F$3,'Total Cases'!B2:B1312,$A13,'Total Cases'!C2:C1312,"Davao"),0)</f>
        <v>31.3115919835999</v>
      </c>
      <c r="G13" s="23" cm="1">
        <f t="array" ref="G13">_xlfn.IFERROR(_xlfn.SUMIFS('Total Cases'!F2:F1312,'Total Cases'!A2:A1312,G$3,'Total Cases'!B2:B1312,$A13,'Total Cases'!C2:C1312,"Davao"),0)</f>
        <v>77.1720044848321</v>
      </c>
      <c r="H13" s="23" cm="1">
        <f t="array" ref="H13">_xlfn.IFERROR(_xlfn.SUMIFS('Total Cases'!F2:F1312,'Total Cases'!A2:A1312,H$3,'Total Cases'!B2:B1312,$A13,'Total Cases'!C2:C1312,"Davao"),0)</f>
        <v>0</v>
      </c>
      <c r="I13" s="23" cm="1">
        <f t="array" ref="I13">_xlfn.IFERROR(_xlfn.SUMIFS('Total Cases'!F2:F1312,'Total Cases'!A2:A1312,I$3,'Total Cases'!B2:B1312,$A13,'Total Cases'!C2:C1312,"Davao"),0)</f>
        <v>0</v>
      </c>
      <c r="J13" s="49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Cases'!C2:C1312,"Davao"),0)</f>
        <v>32.1725729079525</v>
      </c>
      <c r="C14" s="23" cm="1">
        <f t="array" ref="C14">_xlfn.IFERROR(_xlfn.SUMIFS('Total Cases'!F2:F1312,'Total Cases'!A2:A1312,C$3,'Total Cases'!B2:B1312,$A14,'Total Cases'!C2:C1312,"Davao"),0)</f>
        <v>14.2852549285447</v>
      </c>
      <c r="D14" s="23" cm="1">
        <f t="array" ref="D14">_xlfn.IFERROR(_xlfn.SUMIFS('Total Cases'!F2:F1312,'Total Cases'!A2:A1312,D$3,'Total Cases'!B2:B1312,$A14,'Total Cases'!C2:C1312,"Davao"),0)</f>
        <v>11.2103230558568</v>
      </c>
      <c r="E14" s="23" cm="1">
        <f t="array" ref="E14">_xlfn.IFERROR(_xlfn.SUMIFS('Total Cases'!F2:F1312,'Total Cases'!A2:A1312,E$3,'Total Cases'!B2:B1312,$A14,'Total Cases'!C2:C1312,"Davao"),0)</f>
        <v>6.62428180573354</v>
      </c>
      <c r="F14" s="23" cm="1">
        <f t="array" ref="F14">_xlfn.IFERROR(_xlfn.SUMIFS('Total Cases'!F2:F1312,'Total Cases'!A2:A1312,F$3,'Total Cases'!B2:B1312,$A14,'Total Cases'!C2:C1312,"Davao"),0)</f>
        <v>66.99837274605299</v>
      </c>
      <c r="G14" s="23" cm="1">
        <f t="array" ref="G14">_xlfn.IFERROR(_xlfn.SUMIFS('Total Cases'!F2:F1312,'Total Cases'!A2:A1312,G$3,'Total Cases'!B2:B1312,$A14,'Total Cases'!C2:C1312,"Davao"),0)</f>
        <v>102.720295587051</v>
      </c>
      <c r="H14" s="23" cm="1">
        <f t="array" ref="H14">_xlfn.IFERROR(_xlfn.SUMIFS('Total Cases'!F2:F1312,'Total Cases'!A2:A1312,H$3,'Total Cases'!B2:B1312,$A14,'Total Cases'!C2:C1312,"Davao"),0)</f>
        <v>0</v>
      </c>
      <c r="I14" s="23" cm="1">
        <f t="array" ref="I14">_xlfn.IFERROR(_xlfn.SUMIFS('Total Cases'!F2:F1312,'Total Cases'!A2:A1312,I$3,'Total Cases'!B2:B1312,$A14,'Total Cases'!C2:C1312,"Davao"),0)</f>
        <v>0</v>
      </c>
      <c r="J14" s="49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Cases'!C2:C1312,"Davao"),0)</f>
        <v>18.5374464324904</v>
      </c>
      <c r="C15" s="23" cm="1">
        <f t="array" ref="C15">_xlfn.IFERROR(_xlfn.SUMIFS('Total Cases'!F2:F1312,'Total Cases'!A2:A1312,C$3,'Total Cases'!B2:B1312,$A15,'Total Cases'!C2:C1312,"Davao"),0)</f>
        <v>5.81601399919841</v>
      </c>
      <c r="D15" s="23" cm="1">
        <f t="array" ref="D15">_xlfn.IFERROR(_xlfn.SUMIFS('Total Cases'!F2:F1312,'Total Cases'!A2:A1312,D$3,'Total Cases'!B2:B1312,$A15,'Total Cases'!C2:C1312,"Davao"),0)</f>
        <v>10.7710470740442</v>
      </c>
      <c r="E15" s="23" cm="1">
        <f t="array" ref="E15">_xlfn.IFERROR(_xlfn.SUMIFS('Total Cases'!F2:F1312,'Total Cases'!A2:A1312,E$3,'Total Cases'!B2:B1312,$A15,'Total Cases'!C2:C1312,"Davao"),0)</f>
        <v>0</v>
      </c>
      <c r="F15" s="23" cm="1">
        <f t="array" ref="F15">_xlfn.IFERROR(_xlfn.SUMIFS('Total Cases'!F2:F1312,'Total Cases'!A2:A1312,F$3,'Total Cases'!B2:B1312,$A15,'Total Cases'!C2:C1312,"Davao"),0)</f>
        <v>49.9720356909978</v>
      </c>
      <c r="G15" s="23" cm="1">
        <f t="array" ref="G15">_xlfn.IFERROR(_xlfn.SUMIFS('Total Cases'!F2:F1312,'Total Cases'!A2:A1312,G$3,'Total Cases'!B2:B1312,$A15,'Total Cases'!C2:C1312,"Davao"),0)</f>
        <v>74.7472010652267</v>
      </c>
      <c r="H15" s="23" cm="1">
        <f t="array" ref="H15">_xlfn.IFERROR(_xlfn.SUMIFS('Total Cases'!F2:F1312,'Total Cases'!A2:A1312,H$3,'Total Cases'!B2:B1312,$A15,'Total Cases'!C2:C1312,"Davao"),0)</f>
        <v>0</v>
      </c>
      <c r="I15" s="23" cm="1">
        <f t="array" ref="I15">_xlfn.IFERROR(_xlfn.SUMIFS('Total Cases'!F2:F1312,'Total Cases'!A2:A1312,I$3,'Total Cases'!B2:B1312,$A15,'Total Cases'!C2:C1312,"Davao"),0)</f>
        <v>4.93746203557327</v>
      </c>
      <c r="J15" s="49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4"/>
    </row>
  </sheetData>
  <mergeCells count="1">
    <mergeCell ref="A1:I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8" customWidth="1"/>
    <col min="2" max="10" width="16" style="68" customWidth="1"/>
    <col min="11" max="16384" width="8.67188" style="68" customWidth="1"/>
  </cols>
  <sheetData>
    <row r="1" ht="18.5" customHeight="1">
      <c r="A1" t="s" s="39">
        <v>88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55">
        <v>48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Cases'!C2:C1312,"SOCCSKSARGEN"),0)</f>
        <v>0</v>
      </c>
      <c r="C4" s="23" cm="1">
        <f t="array" ref="C4">_xlfn.IFERROR(_xlfn.SUMIFS('Total Cases'!F2:F1312,'Total Cases'!A2:A1312,C$3,'Total Cases'!B2:B1312,$A4,'Total Cases'!C2:C1312,"SOCCSKSARGEN"),0)</f>
        <v>7.13336379714324</v>
      </c>
      <c r="D4" s="23" cm="1">
        <f t="array" ref="D4">_xlfn.IFERROR(_xlfn.SUMIFS('Total Cases'!F2:F1312,'Total Cases'!A2:A1312,D$3,'Total Cases'!B2:B1312,$A4,'Total Cases'!C2:C1312,"SOCCSKSARGEN"),0)</f>
        <v>0</v>
      </c>
      <c r="E4" s="23" cm="1">
        <f t="array" ref="E4">_xlfn.IFERROR(_xlfn.SUMIFS('Total Cases'!F2:F1312,'Total Cases'!A2:A1312,E$3,'Total Cases'!B2:B1312,$A4,'Total Cases'!C2:C1312,"SOCCSKSARGEN"),0)</f>
        <v>3.60503331683583</v>
      </c>
      <c r="F4" s="23" cm="1">
        <f t="array" ref="F4">_xlfn.IFERROR(_xlfn.SUMIFS('Total Cases'!F2:F1312,'Total Cases'!A2:A1312,F$3,'Total Cases'!B2:B1312,$A4,'Total Cases'!C2:C1312,"SOCCSKSARGEN"),0)</f>
        <v>0</v>
      </c>
      <c r="G4" s="23" cm="1">
        <f t="array" ref="G4">_xlfn.IFERROR(_xlfn.SUMIFS('Total Cases'!F2:F1312,'Total Cases'!A2:A1312,G$3,'Total Cases'!B2:B1312,$A4,'Total Cases'!C2:C1312,"SOCCSKSARGEN"),0)</f>
        <v>0</v>
      </c>
      <c r="H4" s="23" cm="1">
        <f t="array" ref="H4">_xlfn.IFERROR(_xlfn.SUMIFS('Total Cases'!F2:F1312,'Total Cases'!A2:A1312,H$3,'Total Cases'!B2:B1312,$A4,'Total Cases'!C2:C1312,"SOCCSKSARGEN"),0)</f>
        <v>0</v>
      </c>
      <c r="I4" s="23" cm="1">
        <f t="array" ref="I4">_xlfn.IFERROR(_xlfn.SUMIFS('Total Cases'!F2:F1312,'Total Cases'!A2:A1312,I$3,'Total Cases'!B2:B1312,$A4,'Total Cases'!C2:C1312,"SOCCSKSARGEN"),0)</f>
        <v>0</v>
      </c>
      <c r="J4" s="23" cm="1">
        <f t="array" ref="J4">_xlfn.IFERROR(_xlfn.SUMIFS('Total Cases'!F2:F1312,'Total Cases'!A2:A1312,J$3,'Total Cases'!B2:B1312,$A4,'Total Cases'!C2:C1312,"SOCCSKSARGEN"),0)</f>
        <v>0.325987055245793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Cases'!C2:C1312,"SOCCSKSARGEN"),0)</f>
        <v>8.801650491636421</v>
      </c>
      <c r="C5" s="23" cm="1">
        <f t="array" ref="C5">_xlfn.IFERROR(_xlfn.SUMIFS('Total Cases'!F2:F1312,'Total Cases'!A2:A1312,C$3,'Total Cases'!B2:B1312,$A5,'Total Cases'!C2:C1312,"SOCCSKSARGEN"),0)</f>
        <v>0</v>
      </c>
      <c r="D5" s="23" cm="1">
        <f t="array" ref="D5">_xlfn.IFERROR(_xlfn.SUMIFS('Total Cases'!F2:F1312,'Total Cases'!A2:A1312,D$3,'Total Cases'!B2:B1312,$A5,'Total Cases'!C2:C1312,"SOCCSKSARGEN"),0)</f>
        <v>0</v>
      </c>
      <c r="E5" s="23" cm="1">
        <f t="array" ref="E5">_xlfn.IFERROR(_xlfn.SUMIFS('Total Cases'!F2:F1312,'Total Cases'!A2:A1312,E$3,'Total Cases'!B2:B1312,$A5,'Total Cases'!C2:C1312,"SOCCSKSARGEN"),0)</f>
        <v>0.8437312018126411</v>
      </c>
      <c r="F5" s="23" cm="1">
        <f t="array" ref="F5">_xlfn.IFERROR(_xlfn.SUMIFS('Total Cases'!F2:F1312,'Total Cases'!A2:A1312,F$3,'Total Cases'!B2:B1312,$A5,'Total Cases'!C2:C1312,"SOCCSKSARGEN"),0)</f>
        <v>14.899525995646</v>
      </c>
      <c r="G5" s="23" cm="1">
        <f t="array" ref="G5">_xlfn.IFERROR(_xlfn.SUMIFS('Total Cases'!F2:F1312,'Total Cases'!A2:A1312,G$3,'Total Cases'!B2:B1312,$A5,'Total Cases'!C2:C1312,"SOCCSKSARGEN"),0)</f>
        <v>0</v>
      </c>
      <c r="H5" s="23" cm="1">
        <f t="array" ref="H5">_xlfn.IFERROR(_xlfn.SUMIFS('Total Cases'!F2:F1312,'Total Cases'!A2:A1312,H$3,'Total Cases'!B2:B1312,$A5,'Total Cases'!C2:C1312,"SOCCSKSARGEN"),0)</f>
        <v>4.46794022778058</v>
      </c>
      <c r="I5" s="23" cm="1">
        <f t="array" ref="I5">_xlfn.IFERROR(_xlfn.SUMIFS('Total Cases'!F2:F1312,'Total Cases'!A2:A1312,I$3,'Total Cases'!B2:B1312,$A5,'Total Cases'!C2:C1312,"SOCCSKSARGEN"),0)</f>
        <v>0</v>
      </c>
      <c r="J5" s="23" cm="1">
        <f t="array" ref="J5">_xlfn.IFERROR(_xlfn.SUMIFS('Total Cases'!F2:F1312,'Total Cases'!A2:A1312,J$3,'Total Cases'!B2:B1312,$A5,'Total Cases'!C2:C1312,"SOCCSKSARGEN"),0)</f>
        <v>1.62993527622897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Cases'!C2:C1312,"SOCCSKSARGEN"),0)</f>
        <v>60.0774967108865</v>
      </c>
      <c r="C6" s="23" cm="1">
        <f t="array" ref="C6">_xlfn.IFERROR(_xlfn.SUMIFS('Total Cases'!F2:F1312,'Total Cases'!A2:A1312,C$3,'Total Cases'!B2:B1312,$A6,'Total Cases'!C2:C1312,"SOCCSKSARGEN"),0)</f>
        <v>23.0492023767908</v>
      </c>
      <c r="D6" s="23" cm="1">
        <f t="array" ref="D6">_xlfn.IFERROR(_xlfn.SUMIFS('Total Cases'!F2:F1312,'Total Cases'!A2:A1312,D$3,'Total Cases'!B2:B1312,$A6,'Total Cases'!C2:C1312,"SOCCSKSARGEN"),0)</f>
        <v>14.3242547216828</v>
      </c>
      <c r="E6" s="23" cm="1">
        <f t="array" ref="E6">_xlfn.IFERROR(_xlfn.SUMIFS('Total Cases'!F2:F1312,'Total Cases'!A2:A1312,E$3,'Total Cases'!B2:B1312,$A6,'Total Cases'!C2:C1312,"SOCCSKSARGEN"),0)</f>
        <v>15.455621560477</v>
      </c>
      <c r="F6" s="23" cm="1">
        <f t="array" ref="F6">_xlfn.IFERROR(_xlfn.SUMIFS('Total Cases'!F2:F1312,'Total Cases'!A2:A1312,F$3,'Total Cases'!B2:B1312,$A6,'Total Cases'!C2:C1312,"SOCCSKSARGEN"),0)</f>
        <v>91.5256596875395</v>
      </c>
      <c r="G6" s="23" cm="1">
        <f t="array" ref="G6">_xlfn.IFERROR(_xlfn.SUMIFS('Total Cases'!F2:F1312,'Total Cases'!A2:A1312,G$3,'Total Cases'!B2:B1312,$A6,'Total Cases'!C2:C1312,"SOCCSKSARGEN"),0)</f>
        <v>0</v>
      </c>
      <c r="H6" s="23" cm="1">
        <f t="array" ref="H6">_xlfn.IFERROR(_xlfn.SUMIFS('Total Cases'!F2:F1312,'Total Cases'!A2:A1312,H$3,'Total Cases'!B2:B1312,$A6,'Total Cases'!C2:C1312,"SOCCSKSARGEN"),0)</f>
        <v>235.170896796142</v>
      </c>
      <c r="I6" s="23" cm="1">
        <f t="array" ref="I6">_xlfn.IFERROR(_xlfn.SUMIFS('Total Cases'!F2:F1312,'Total Cases'!A2:A1312,I$3,'Total Cases'!B2:B1312,$A6,'Total Cases'!C2:C1312,"SOCCSKSARGEN"),0)</f>
        <v>0</v>
      </c>
      <c r="J6" s="23" cm="1">
        <f t="array" ref="J6">_xlfn.IFERROR(_xlfn.SUMIFS('Total Cases'!F2:F1312,'Total Cases'!A2:A1312,J$3,'Total Cases'!B2:B1312,$A6,'Total Cases'!C2:C1312,"SOCCSKSARGEN"),0)</f>
        <v>0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Cases'!C2:C1312,"SOCCSKSARGEN"),0)</f>
        <v>0</v>
      </c>
      <c r="C7" s="23" cm="1">
        <f t="array" ref="C7">_xlfn.IFERROR(_xlfn.SUMIFS('Total Cases'!F2:F1312,'Total Cases'!A2:A1312,C$3,'Total Cases'!B2:B1312,$A7,'Total Cases'!C2:C1312,"SOCCSKSARGEN"),0)</f>
        <v>0</v>
      </c>
      <c r="D7" s="23" cm="1">
        <f t="array" ref="D7">_xlfn.IFERROR(_xlfn.SUMIFS('Total Cases'!F2:F1312,'Total Cases'!A2:A1312,D$3,'Total Cases'!B2:B1312,$A7,'Total Cases'!C2:C1312,"SOCCSKSARGEN"),0)</f>
        <v>0</v>
      </c>
      <c r="E7" s="23" cm="1">
        <f t="array" ref="E7">_xlfn.IFERROR(_xlfn.SUMIFS('Total Cases'!F2:F1312,'Total Cases'!A2:A1312,E$3,'Total Cases'!B2:B1312,$A7,'Total Cases'!C2:C1312,"SOCCSKSARGEN"),0)</f>
        <v>48.361138431170</v>
      </c>
      <c r="F7" s="23" cm="1">
        <f t="array" ref="F7">_xlfn.IFERROR(_xlfn.SUMIFS('Total Cases'!F2:F1312,'Total Cases'!A2:A1312,F$3,'Total Cases'!B2:B1312,$A7,'Total Cases'!C2:C1312,"SOCCSKSARGEN"),0)</f>
        <v>515.519764307524</v>
      </c>
      <c r="G7" s="23" cm="1">
        <f t="array" ref="G7">_xlfn.IFERROR(_xlfn.SUMIFS('Total Cases'!F2:F1312,'Total Cases'!A2:A1312,G$3,'Total Cases'!B2:B1312,$A7,'Total Cases'!C2:C1312,"SOCCSKSARGEN"),0)</f>
        <v>0</v>
      </c>
      <c r="H7" s="23" cm="1">
        <f t="array" ref="H7">_xlfn.IFERROR(_xlfn.SUMIFS('Total Cases'!F2:F1312,'Total Cases'!A2:A1312,H$3,'Total Cases'!B2:B1312,$A7,'Total Cases'!C2:C1312,"SOCCSKSARGEN"),0)</f>
        <v>152.811226073749</v>
      </c>
      <c r="I7" s="23" cm="1">
        <f t="array" ref="I7">_xlfn.IFERROR(_xlfn.SUMIFS('Total Cases'!F2:F1312,'Total Cases'!A2:A1312,I$3,'Total Cases'!B2:B1312,$A7,'Total Cases'!C2:C1312,"SOCCSKSARGEN"),0)</f>
        <v>0</v>
      </c>
      <c r="J7" s="23" cm="1">
        <f t="array" ref="J7">_xlfn.IFERROR(_xlfn.SUMIFS('Total Cases'!F2:F1312,'Total Cases'!A2:A1312,J$3,'Total Cases'!B2:B1312,$A7,'Total Cases'!C2:C1312,"SOCCSKSARGEN"),0)</f>
        <v>0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Cases'!C2:C1312,"SOCCSKSARGEN"),0)</f>
        <v>0</v>
      </c>
      <c r="C8" s="23" cm="1">
        <f t="array" ref="C8">_xlfn.IFERROR(_xlfn.SUMIFS('Total Cases'!F2:F1312,'Total Cases'!A2:A1312,C$3,'Total Cases'!B2:B1312,$A8,'Total Cases'!C2:C1312,"SOCCSKSARGEN"),0)</f>
        <v>0</v>
      </c>
      <c r="D8" s="23" cm="1">
        <f t="array" ref="D8">_xlfn.IFERROR(_xlfn.SUMIFS('Total Cases'!F2:F1312,'Total Cases'!A2:A1312,D$3,'Total Cases'!B2:B1312,$A8,'Total Cases'!C2:C1312,"SOCCSKSARGEN"),0)</f>
        <v>0</v>
      </c>
      <c r="E8" s="23" cm="1">
        <f t="array" ref="E8">_xlfn.IFERROR(_xlfn.SUMIFS('Total Cases'!F2:F1312,'Total Cases'!A2:A1312,E$3,'Total Cases'!B2:B1312,$A8,'Total Cases'!C2:C1312,"SOCCSKSARGEN"),0)</f>
        <v>0</v>
      </c>
      <c r="F8" s="23" cm="1">
        <f t="array" ref="F8">_xlfn.IFERROR(_xlfn.SUMIFS('Total Cases'!F2:F1312,'Total Cases'!A2:A1312,F$3,'Total Cases'!B2:B1312,$A8,'Total Cases'!C2:C1312,"SOCCSKSARGEN"),0)</f>
        <v>0</v>
      </c>
      <c r="G8" s="23" cm="1">
        <f t="array" ref="G8">_xlfn.IFERROR(_xlfn.SUMIFS('Total Cases'!F2:F1312,'Total Cases'!A2:A1312,G$3,'Total Cases'!B2:B1312,$A8,'Total Cases'!C2:C1312,"SOCCSKSARGEN"),0)</f>
        <v>0</v>
      </c>
      <c r="H8" s="23" cm="1">
        <f t="array" ref="H8">_xlfn.IFERROR(_xlfn.SUMIFS('Total Cases'!F2:F1312,'Total Cases'!A2:A1312,H$3,'Total Cases'!B2:B1312,$A8,'Total Cases'!C2:C1312,"SOCCSKSARGEN"),0)</f>
        <v>0</v>
      </c>
      <c r="I8" s="23" cm="1">
        <f t="array" ref="I8">_xlfn.IFERROR(_xlfn.SUMIFS('Total Cases'!F2:F1312,'Total Cases'!A2:A1312,I$3,'Total Cases'!B2:B1312,$A8,'Total Cases'!C2:C1312,"SOCCSKSARGEN"),0)</f>
        <v>0</v>
      </c>
      <c r="J8" s="23" cm="1">
        <f t="array" ref="J8">_xlfn.IFERROR(_xlfn.SUMIFS('Total Cases'!F2:F1312,'Total Cases'!A2:A1312,J$3,'Total Cases'!B2:B1312,$A8,'Total Cases'!C2:C1312,"SOCCSKSARGEN"),0)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Cases'!C2:C1312,"SOCCSKSARGEN"),0)</f>
        <v>5.04321150174374</v>
      </c>
      <c r="C9" s="23" cm="1">
        <f t="array" ref="C9">_xlfn.IFERROR(_xlfn.SUMIFS('Total Cases'!F2:F1312,'Total Cases'!A2:A1312,C$3,'Total Cases'!B2:B1312,$A9,'Total Cases'!C2:C1312,"SOCCSKSARGEN"),0)</f>
        <v>0</v>
      </c>
      <c r="D9" s="23" cm="1">
        <f t="array" ref="D9">_xlfn.IFERROR(_xlfn.SUMIFS('Total Cases'!F2:F1312,'Total Cases'!A2:A1312,D$3,'Total Cases'!B2:B1312,$A9,'Total Cases'!C2:C1312,"SOCCSKSARGEN"),0)</f>
        <v>1.0546640022658</v>
      </c>
      <c r="E9" s="23" cm="1">
        <f t="array" ref="E9">_xlfn.IFERROR(_xlfn.SUMIFS('Total Cases'!F2:F1312,'Total Cases'!A2:A1312,E$3,'Total Cases'!B2:B1312,$A9,'Total Cases'!C2:C1312,"SOCCSKSARGEN"),0)</f>
        <v>3.98854749947794</v>
      </c>
      <c r="F9" s="23" cm="1">
        <f t="array" ref="F9">_xlfn.IFERROR(_xlfn.SUMIFS('Total Cases'!F2:F1312,'Total Cases'!A2:A1312,F$3,'Total Cases'!B2:B1312,$A9,'Total Cases'!C2:C1312,"SOCCSKSARGEN"),0)</f>
        <v>171.239082549702</v>
      </c>
      <c r="G9" s="23" cm="1">
        <f t="array" ref="G9">_xlfn.IFERROR(_xlfn.SUMIFS('Total Cases'!F2:F1312,'Total Cases'!A2:A1312,G$3,'Total Cases'!B2:B1312,$A9,'Total Cases'!C2:C1312,"SOCCSKSARGEN"),0)</f>
        <v>0</v>
      </c>
      <c r="H9" s="23" cm="1">
        <f t="array" ref="H9">_xlfn.IFERROR(_xlfn.SUMIFS('Total Cases'!F2:F1312,'Total Cases'!A2:A1312,H$3,'Total Cases'!B2:B1312,$A9,'Total Cases'!C2:C1312,"SOCCSKSARGEN"),0)</f>
        <v>29.818227700424</v>
      </c>
      <c r="I9" s="23" cm="1">
        <f t="array" ref="I9">_xlfn.IFERROR(_xlfn.SUMIFS('Total Cases'!F2:F1312,'Total Cases'!A2:A1312,I$3,'Total Cases'!B2:B1312,$A9,'Total Cases'!C2:C1312,"SOCCSKSARGEN"),0)</f>
        <v>0</v>
      </c>
      <c r="J9" s="23" cm="1">
        <f t="array" ref="J9">_xlfn.IFERROR(_xlfn.SUMIFS('Total Cases'!F2:F1312,'Total Cases'!A2:A1312,J$3,'Total Cases'!B2:B1312,$A9,'Total Cases'!C2:C1312,"SOCCSKSARGEN"),0)</f>
        <v>2.66542356936266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Cases'!C2:C1312,"SOCCSKSARGEN"),0)</f>
        <v>7.07583666974692</v>
      </c>
      <c r="C10" s="23" cm="1">
        <f t="array" ref="C10">_xlfn.IFERROR(_xlfn.SUMIFS('Total Cases'!F2:F1312,'Total Cases'!A2:A1312,C$3,'Total Cases'!B2:B1312,$A10,'Total Cases'!C2:C1312,"SOCCSKSARGEN"),0)</f>
        <v>0</v>
      </c>
      <c r="D10" s="23" cm="1">
        <f t="array" ref="D10">_xlfn.IFERROR(_xlfn.SUMIFS('Total Cases'!F2:F1312,'Total Cases'!A2:A1312,D$3,'Total Cases'!B2:B1312,$A10,'Total Cases'!C2:C1312,"SOCCSKSARGEN"),0)</f>
        <v>2.01344945887108</v>
      </c>
      <c r="E10" s="23" cm="1">
        <f t="array" ref="E10">_xlfn.IFERROR(_xlfn.SUMIFS('Total Cases'!F2:F1312,'Total Cases'!A2:A1312,E$3,'Total Cases'!B2:B1312,$A10,'Total Cases'!C2:C1312,"SOCCSKSARGEN"),0)</f>
        <v>0.38351418264211</v>
      </c>
      <c r="F10" s="23" cm="1">
        <f t="array" ref="F10">_xlfn.IFERROR(_xlfn.SUMIFS('Total Cases'!F2:F1312,'Total Cases'!A2:A1312,F$3,'Total Cases'!B2:B1312,$A10,'Total Cases'!C2:C1312,"SOCCSKSARGEN"),0)</f>
        <v>50.7581020726832</v>
      </c>
      <c r="G10" s="23" cm="1">
        <f t="array" ref="G10">_xlfn.IFERROR(_xlfn.SUMIFS('Total Cases'!F2:F1312,'Total Cases'!A2:A1312,G$3,'Total Cases'!B2:B1312,$A10,'Total Cases'!C2:C1312,"SOCCSKSARGEN"),0)</f>
        <v>0</v>
      </c>
      <c r="H10" s="23" cm="1">
        <f t="array" ref="H10">_xlfn.IFERROR(_xlfn.SUMIFS('Total Cases'!F2:F1312,'Total Cases'!A2:A1312,H$3,'Total Cases'!B2:B1312,$A10,'Total Cases'!C2:C1312,"SOCCSKSARGEN"),0)</f>
        <v>22.7423910306771</v>
      </c>
      <c r="I10" s="23" cm="1">
        <f t="array" ref="I10">_xlfn.IFERROR(_xlfn.SUMIFS('Total Cases'!F2:F1312,'Total Cases'!A2:A1312,I$3,'Total Cases'!B2:B1312,$A10,'Total Cases'!C2:C1312,"SOCCSKSARGEN"),0)</f>
        <v>1.09301542053001</v>
      </c>
      <c r="J10" s="23" cm="1">
        <f t="array" ref="J10">_xlfn.IFERROR(_xlfn.SUMIFS('Total Cases'!F2:F1312,'Total Cases'!A2:A1312,J$3,'Total Cases'!B2:B1312,$A10,'Total Cases'!C2:C1312,"SOCCSKSARGEN"),0)</f>
        <v>2.33943651411687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Cases'!C2:C1312,"SOCCSKSARGEN"),0)</f>
        <v>5.84859128529217</v>
      </c>
      <c r="C11" s="23" cm="1">
        <f t="array" ref="C11">_xlfn.IFERROR(_xlfn.SUMIFS('Total Cases'!F2:F1312,'Total Cases'!A2:A1312,C$3,'Total Cases'!B2:B1312,$A11,'Total Cases'!C2:C1312,"SOCCSKSARGEN"),0)</f>
        <v>0</v>
      </c>
      <c r="D11" s="23" cm="1">
        <f t="array" ref="D11">_xlfn.IFERROR(_xlfn.SUMIFS('Total Cases'!F2:F1312,'Total Cases'!A2:A1312,D$3,'Total Cases'!B2:B1312,$A11,'Total Cases'!C2:C1312,"SOCCSKSARGEN"),0)</f>
        <v>2.16685513192792</v>
      </c>
      <c r="E11" s="23" cm="1">
        <f t="array" ref="E11">_xlfn.IFERROR(_xlfn.SUMIFS('Total Cases'!F2:F1312,'Total Cases'!A2:A1312,E$3,'Total Cases'!B2:B1312,$A11,'Total Cases'!C2:C1312,"SOCCSKSARGEN"),0)</f>
        <v>0</v>
      </c>
      <c r="F11" s="23" cm="1">
        <f t="array" ref="F11">_xlfn.IFERROR(_xlfn.SUMIFS('Total Cases'!F2:F1312,'Total Cases'!A2:A1312,F$3,'Total Cases'!B2:B1312,$A11,'Total Cases'!C2:C1312,"SOCCSKSARGEN"),0)</f>
        <v>25.6187474004929</v>
      </c>
      <c r="G11" s="23" cm="1">
        <f t="array" ref="G11">_xlfn.IFERROR(_xlfn.SUMIFS('Total Cases'!F2:F1312,'Total Cases'!A2:A1312,G$3,'Total Cases'!B2:B1312,$A11,'Total Cases'!C2:C1312,"SOCCSKSARGEN"),0)</f>
        <v>0</v>
      </c>
      <c r="H11" s="23" cm="1">
        <f t="array" ref="H11">_xlfn.IFERROR(_xlfn.SUMIFS('Total Cases'!F2:F1312,'Total Cases'!A2:A1312,H$3,'Total Cases'!B2:B1312,$A11,'Total Cases'!C2:C1312,"SOCCSKSARGEN"),0)</f>
        <v>33.6533695268451</v>
      </c>
      <c r="I11" s="23" cm="1">
        <f t="array" ref="I11">_xlfn.IFERROR(_xlfn.SUMIFS('Total Cases'!F2:F1312,'Total Cases'!A2:A1312,I$3,'Total Cases'!B2:B1312,$A11,'Total Cases'!C2:C1312,"SOCCSKSARGEN"),0)</f>
        <v>2.01344945887108</v>
      </c>
      <c r="J11" s="23" cm="1">
        <f t="array" ref="J11">_xlfn.IFERROR(_xlfn.SUMIFS('Total Cases'!F2:F1312,'Total Cases'!A2:A1312,J$3,'Total Cases'!B2:B1312,$A11,'Total Cases'!C2:C1312,"SOCCSKSARGEN"),0)</f>
        <v>3.39410051638267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Cases'!C2:C1312,"SOCCSKSARGEN"),0)</f>
        <v>5.2541443021969</v>
      </c>
      <c r="C12" s="23" cm="1">
        <f t="array" ref="C12">_xlfn.IFERROR(_xlfn.SUMIFS('Total Cases'!F2:F1312,'Total Cases'!A2:A1312,C$3,'Total Cases'!B2:B1312,$A12,'Total Cases'!C2:C1312,"SOCCSKSARGEN"),0)</f>
        <v>0</v>
      </c>
      <c r="D12" s="23" cm="1">
        <f t="array" ref="D12">_xlfn.IFERROR(_xlfn.SUMIFS('Total Cases'!F2:F1312,'Total Cases'!A2:A1312,D$3,'Total Cases'!B2:B1312,$A12,'Total Cases'!C2:C1312,"SOCCSKSARGEN"),0)</f>
        <v>0</v>
      </c>
      <c r="E12" s="23" cm="1">
        <f t="array" ref="E12">_xlfn.IFERROR(_xlfn.SUMIFS('Total Cases'!F2:F1312,'Total Cases'!A2:A1312,E$3,'Total Cases'!B2:B1312,$A12,'Total Cases'!C2:C1312,"SOCCSKSARGEN"),0)</f>
        <v>10.3357072222049</v>
      </c>
      <c r="F12" s="23" cm="1">
        <f t="array" ref="F12">_xlfn.IFERROR(_xlfn.SUMIFS('Total Cases'!F2:F1312,'Total Cases'!A2:A1312,F$3,'Total Cases'!B2:B1312,$A12,'Total Cases'!C2:C1312,"SOCCSKSARGEN"),0)</f>
        <v>72.886870411133</v>
      </c>
      <c r="G12" s="23" cm="1">
        <f t="array" ref="G12">_xlfn.IFERROR(_xlfn.SUMIFS('Total Cases'!F2:F1312,'Total Cases'!A2:A1312,G$3,'Total Cases'!B2:B1312,$A12,'Total Cases'!C2:C1312,"SOCCSKSARGEN"),0)</f>
        <v>0</v>
      </c>
      <c r="H12" s="23" cm="1">
        <f t="array" ref="H12">_xlfn.IFERROR(_xlfn.SUMIFS('Total Cases'!F2:F1312,'Total Cases'!A2:A1312,H$3,'Total Cases'!B2:B1312,$A12,'Total Cases'!C2:C1312,"SOCCSKSARGEN"),0)</f>
        <v>28.7060365707619</v>
      </c>
      <c r="I12" s="23" cm="1">
        <f t="array" ref="I12">_xlfn.IFERROR(_xlfn.SUMIFS('Total Cases'!F2:F1312,'Total Cases'!A2:A1312,I$3,'Total Cases'!B2:B1312,$A12,'Total Cases'!C2:C1312,"SOCCSKSARGEN"),0)</f>
        <v>0</v>
      </c>
      <c r="J12" s="23" cm="1">
        <f t="array" ref="J12">_xlfn.IFERROR(_xlfn.SUMIFS('Total Cases'!F2:F1312,'Total Cases'!A2:A1312,J$3,'Total Cases'!B2:B1312,$A12,'Total Cases'!C2:C1312,"SOCCSKSARGEN"),0)</f>
        <v>1.59158385796476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Cases'!C2:C1312,"SOCCSKSARGEN"),0)</f>
        <v>41.3811803070836</v>
      </c>
      <c r="C13" s="23" cm="1">
        <f t="array" ref="C13">_xlfn.IFERROR(_xlfn.SUMIFS('Total Cases'!F2:F1312,'Total Cases'!A2:A1312,C$3,'Total Cases'!B2:B1312,$A13,'Total Cases'!C2:C1312,"SOCCSKSARGEN"),0)</f>
        <v>0</v>
      </c>
      <c r="D13" s="23" cm="1">
        <f t="array" ref="D13">_xlfn.IFERROR(_xlfn.SUMIFS('Total Cases'!F2:F1312,'Total Cases'!A2:A1312,D$3,'Total Cases'!B2:B1312,$A13,'Total Cases'!C2:C1312,"SOCCSKSARGEN"),0)</f>
        <v>7.30594517933219</v>
      </c>
      <c r="E13" s="23" cm="1">
        <f t="array" ref="E13">_xlfn.IFERROR(_xlfn.SUMIFS('Total Cases'!F2:F1312,'Total Cases'!A2:A1312,E$3,'Total Cases'!B2:B1312,$A13,'Total Cases'!C2:C1312,"SOCCSKSARGEN"),0)</f>
        <v>0</v>
      </c>
      <c r="F13" s="23" cm="1">
        <f t="array" ref="F13">_xlfn.IFERROR(_xlfn.SUMIFS('Total Cases'!F2:F1312,'Total Cases'!A2:A1312,F$3,'Total Cases'!B2:B1312,$A13,'Total Cases'!C2:C1312,"SOCCSKSARGEN"),0)</f>
        <v>69.10925571210819</v>
      </c>
      <c r="G13" s="23" cm="1">
        <f t="array" ref="G13">_xlfn.IFERROR(_xlfn.SUMIFS('Total Cases'!F2:F1312,'Total Cases'!A2:A1312,G$3,'Total Cases'!B2:B1312,$A13,'Total Cases'!C2:C1312,"SOCCSKSARGEN"),0)</f>
        <v>0</v>
      </c>
      <c r="H13" s="23" cm="1">
        <f t="array" ref="H13">_xlfn.IFERROR(_xlfn.SUMIFS('Total Cases'!F2:F1312,'Total Cases'!A2:A1312,H$3,'Total Cases'!B2:B1312,$A13,'Total Cases'!C2:C1312,"SOCCSKSARGEN"),0)</f>
        <v>147.959771663326</v>
      </c>
      <c r="I13" s="23" cm="1">
        <f t="array" ref="I13">_xlfn.IFERROR(_xlfn.SUMIFS('Total Cases'!F2:F1312,'Total Cases'!A2:A1312,I$3,'Total Cases'!B2:B1312,$A13,'Total Cases'!C2:C1312,"SOCCSKSARGEN"),0)</f>
        <v>6.6347953597085</v>
      </c>
      <c r="J13" s="23" cm="1">
        <f t="array" ref="J13">_xlfn.IFERROR(_xlfn.SUMIFS('Total Cases'!F2:F1312,'Total Cases'!A2:A1312,J$3,'Total Cases'!B2:B1312,$A13,'Total Cases'!C2:C1312,"SOCCSKSARGEN"),0)</f>
        <v>0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Cases'!C2:C1312,"SOCCSKSARGEN"),0)</f>
        <v>15.0529316687028</v>
      </c>
      <c r="C14" s="23" cm="1">
        <f t="array" ref="C14">_xlfn.IFERROR(_xlfn.SUMIFS('Total Cases'!F2:F1312,'Total Cases'!A2:A1312,C$3,'Total Cases'!B2:B1312,$A14,'Total Cases'!C2:C1312,"SOCCSKSARGEN"),0)</f>
        <v>0</v>
      </c>
      <c r="D14" s="23" cm="1">
        <f t="array" ref="D14">_xlfn.IFERROR(_xlfn.SUMIFS('Total Cases'!F2:F1312,'Total Cases'!A2:A1312,D$3,'Total Cases'!B2:B1312,$A14,'Total Cases'!C2:C1312,"SOCCSKSARGEN"),0)</f>
        <v>0</v>
      </c>
      <c r="E14" s="23" cm="1">
        <f t="array" ref="E14">_xlfn.IFERROR(_xlfn.SUMIFS('Total Cases'!F2:F1312,'Total Cases'!A2:A1312,E$3,'Total Cases'!B2:B1312,$A14,'Total Cases'!C2:C1312,"SOCCSKSARGEN"),0)</f>
        <v>5.71436132136744</v>
      </c>
      <c r="F14" s="23" cm="1">
        <f t="array" ref="F14">_xlfn.IFERROR(_xlfn.SUMIFS('Total Cases'!F2:F1312,'Total Cases'!A2:A1312,F$3,'Total Cases'!B2:B1312,$A14,'Total Cases'!C2:C1312,"SOCCSKSARGEN"),0)</f>
        <v>56.9518561223533</v>
      </c>
      <c r="G14" s="23" cm="1">
        <f t="array" ref="G14">_xlfn.IFERROR(_xlfn.SUMIFS('Total Cases'!F2:F1312,'Total Cases'!A2:A1312,G$3,'Total Cases'!B2:B1312,$A14,'Total Cases'!C2:C1312,"SOCCSKSARGEN"),0)</f>
        <v>0</v>
      </c>
      <c r="H14" s="23" cm="1">
        <f t="array" ref="H14">_xlfn.IFERROR(_xlfn.SUMIFS('Total Cases'!F2:F1312,'Total Cases'!A2:A1312,H$3,'Total Cases'!B2:B1312,$A14,'Total Cases'!C2:C1312,"SOCCSKSARGEN"),0)</f>
        <v>24.6983133621519</v>
      </c>
      <c r="I14" s="23" cm="1">
        <f t="array" ref="I14">_xlfn.IFERROR(_xlfn.SUMIFS('Total Cases'!F2:F1312,'Total Cases'!A2:A1312,I$3,'Total Cases'!B2:B1312,$A14,'Total Cases'!C2:C1312,"SOCCSKSARGEN"),0)</f>
        <v>0</v>
      </c>
      <c r="J14" s="23" cm="1">
        <f t="array" ref="J14">_xlfn.IFERROR(_xlfn.SUMIFS('Total Cases'!F2:F1312,'Total Cases'!A2:A1312,J$3,'Total Cases'!B2:B1312,$A14,'Total Cases'!C2:C1312,"SOCCSKSARGEN"),0)</f>
        <v>6.67314677797271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Cases'!C2:C1312,"SOCCSKSARGEN"),0)</f>
        <v>12.2724538445475</v>
      </c>
      <c r="C15" s="23" cm="1">
        <f t="array" ref="C15">_xlfn.IFERROR(_xlfn.SUMIFS('Total Cases'!F2:F1312,'Total Cases'!A2:A1312,C$3,'Total Cases'!B2:B1312,$A15,'Total Cases'!C2:C1312,"SOCCSKSARGEN"),0)</f>
        <v>5.29249572046111</v>
      </c>
      <c r="D15" s="23" cm="1">
        <f t="array" ref="D15">_xlfn.IFERROR(_xlfn.SUMIFS('Total Cases'!F2:F1312,'Total Cases'!A2:A1312,D$3,'Total Cases'!B2:B1312,$A15,'Total Cases'!C2:C1312,"SOCCSKSARGEN"),0)</f>
        <v>4.04607462687426</v>
      </c>
      <c r="E15" s="23" cm="1">
        <f t="array" ref="E15">_xlfn.IFERROR(_xlfn.SUMIFS('Total Cases'!F2:F1312,'Total Cases'!A2:A1312,E$3,'Total Cases'!B2:B1312,$A15,'Total Cases'!C2:C1312,"SOCCSKSARGEN"),0)</f>
        <v>0</v>
      </c>
      <c r="F15" s="23" cm="1">
        <f t="array" ref="F15">_xlfn.IFERROR(_xlfn.SUMIFS('Total Cases'!F2:F1312,'Total Cases'!A2:A1312,F$3,'Total Cases'!B2:B1312,$A15,'Total Cases'!C2:C1312,"SOCCSKSARGEN"),0)</f>
        <v>18.2360993846323</v>
      </c>
      <c r="G15" s="23" cm="1">
        <f t="array" ref="G15">_xlfn.IFERROR(_xlfn.SUMIFS('Total Cases'!F2:F1312,'Total Cases'!A2:A1312,G$3,'Total Cases'!B2:B1312,$A15,'Total Cases'!C2:C1312,"SOCCSKSARGEN"),0)</f>
        <v>0</v>
      </c>
      <c r="H15" s="23" cm="1">
        <f t="array" ref="H15">_xlfn.IFERROR(_xlfn.SUMIFS('Total Cases'!F2:F1312,'Total Cases'!A2:A1312,H$3,'Total Cases'!B2:B1312,$A15,'Total Cases'!C2:C1312,"SOCCSKSARGEN"),0)</f>
        <v>61.7841348236439</v>
      </c>
      <c r="I15" s="23" cm="1">
        <f t="array" ref="I15">_xlfn.IFERROR(_xlfn.SUMIFS('Total Cases'!F2:F1312,'Total Cases'!A2:A1312,I$3,'Total Cases'!B2:B1312,$A15,'Total Cases'!C2:C1312,"SOCCSKSARGEN"),0)</f>
        <v>0</v>
      </c>
      <c r="J15" s="23" cm="1">
        <f t="array" ref="J15">_xlfn.IFERROR(_xlfn.SUMIFS('Total Cases'!F2:F1312,'Total Cases'!A2:A1312,J$3,'Total Cases'!B2:B1312,$A15,'Total Cases'!C2:C1312,"SOCCSKSARGEN"),0)</f>
        <v>0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69" customWidth="1"/>
    <col min="2" max="9" width="16" style="69" customWidth="1"/>
    <col min="10" max="10" width="8.67188" style="69" customWidth="1"/>
    <col min="11" max="16384" width="8.67188" style="69" customWidth="1"/>
  </cols>
  <sheetData>
    <row r="1" ht="18.5" customHeight="1">
      <c r="A1" t="s" s="39">
        <v>89</v>
      </c>
      <c r="B1" s="40"/>
      <c r="C1" s="40"/>
      <c r="D1" s="40"/>
      <c r="E1" s="40"/>
      <c r="F1" s="40"/>
      <c r="G1" s="40"/>
      <c r="H1" s="40"/>
      <c r="I1" s="40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46">
        <v>30</v>
      </c>
      <c r="H3" t="s" s="47">
        <v>36</v>
      </c>
      <c r="I3" t="s" s="48">
        <v>41</v>
      </c>
      <c r="J3" s="49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Cases'!C2:C1312,"Caraga"),0)</f>
        <v>68.38106107612271</v>
      </c>
      <c r="C4" s="23" cm="1">
        <f t="array" ref="C4">_xlfn.IFERROR(_xlfn.SUMIFS('Total Cases'!F2:F1312,'Total Cases'!A2:A1312,C$3,'Total Cases'!B2:B1312,$A4,'Total Cases'!C2:C1312,"Caraga"),0)</f>
        <v>43.1534327742536</v>
      </c>
      <c r="D4" s="23" cm="1">
        <f t="array" ref="D4">_xlfn.IFERROR(_xlfn.SUMIFS('Total Cases'!F2:F1312,'Total Cases'!A2:A1312,D$3,'Total Cases'!B2:B1312,$A4,'Total Cases'!C2:C1312,"Caraga"),0)</f>
        <v>89.8366571627604</v>
      </c>
      <c r="E4" s="23" cm="1">
        <f t="array" ref="E4">_xlfn.IFERROR(_xlfn.SUMIFS('Total Cases'!F2:F1312,'Total Cases'!A2:A1312,E$3,'Total Cases'!B2:B1312,$A4,'Total Cases'!C2:C1312,"Caraga"),0)</f>
        <v>48.8633897973104</v>
      </c>
      <c r="F4" s="23" cm="1">
        <f t="array" ref="F4">_xlfn.IFERROR(_xlfn.SUMIFS('Total Cases'!F2:F1312,'Total Cases'!A2:A1312,F$3,'Total Cases'!B2:B1312,$A4,'Total Cases'!C2:C1312,"Caraga"),0)</f>
        <v>84.1959117399831</v>
      </c>
      <c r="G4" s="23" cm="1">
        <f t="array" ref="G4">_xlfn.IFERROR(_xlfn.SUMIFS('Total Cases'!F2:F1312,'Total Cases'!A2:A1312,G$3,'Total Cases'!B2:B1312,$A4,'Total Cases'!C2:C1312,"Caraga"),0)</f>
        <v>336.368377358256</v>
      </c>
      <c r="H4" s="23" cm="1">
        <f t="array" ref="H4">_xlfn.IFERROR(_xlfn.SUMIFS('Total Cases'!F2:F1312,'Total Cases'!A2:A1312,H$3,'Total Cases'!B2:B1312,$A4,'Total Cases'!C2:C1312,"Caraga"),0)</f>
        <v>31.1798259259041</v>
      </c>
      <c r="I4" s="23" cm="1">
        <f t="array" ref="I4">_xlfn.IFERROR(_xlfn.SUMIFS('Total Cases'!F2:F1312,'Total Cases'!A2:A1312,I$3,'Total Cases'!B2:B1312,$A4,'Total Cases'!C2:C1312,"Caraga"),0)</f>
        <v>0</v>
      </c>
      <c r="J4" s="49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Cases'!C2:C1312,"Caraga"),0)</f>
        <v>81.4966593290835</v>
      </c>
      <c r="C5" s="23" cm="1">
        <f t="array" ref="C5">_xlfn.IFERROR(_xlfn.SUMIFS('Total Cases'!F2:F1312,'Total Cases'!A2:A1312,C$3,'Total Cases'!B2:B1312,$A5,'Total Cases'!C2:C1312,"Caraga"),0)</f>
        <v>62.3596518518083</v>
      </c>
      <c r="D5" s="23" cm="1">
        <f t="array" ref="D5">_xlfn.IFERROR(_xlfn.SUMIFS('Total Cases'!F2:F1312,'Total Cases'!A2:A1312,D$3,'Total Cases'!B2:B1312,$A5,'Total Cases'!C2:C1312,"Caraga"),0)</f>
        <v>70.8726786861839</v>
      </c>
      <c r="E5" s="23" cm="1">
        <f t="array" ref="E5">_xlfn.IFERROR(_xlfn.SUMIFS('Total Cases'!F2:F1312,'Total Cases'!A2:A1312,E$3,'Total Cases'!B2:B1312,$A5,'Total Cases'!C2:C1312,"Caraga"),0)</f>
        <v>17.1644768693102</v>
      </c>
      <c r="F5" s="23" cm="1">
        <f t="array" ref="F5">_xlfn.IFERROR(_xlfn.SUMIFS('Total Cases'!F2:F1312,'Total Cases'!A2:A1312,F$3,'Total Cases'!B2:B1312,$A5,'Total Cases'!C2:C1312,"Caraga"),0)</f>
        <v>196.941608595250</v>
      </c>
      <c r="G5" s="23" cm="1">
        <f t="array" ref="G5">_xlfn.IFERROR(_xlfn.SUMIFS('Total Cases'!F2:F1312,'Total Cases'!A2:A1312,G$3,'Total Cases'!B2:B1312,$A5,'Total Cases'!C2:C1312,"Caraga"),0)</f>
        <v>356.232106638465</v>
      </c>
      <c r="H5" s="23" cm="1">
        <f t="array" ref="H5">_xlfn.IFERROR(_xlfn.SUMIFS('Total Cases'!F2:F1312,'Total Cases'!A2:A1312,H$3,'Total Cases'!B2:B1312,$A5,'Total Cases'!C2:C1312,"Caraga"),0)</f>
        <v>35.6439741439304</v>
      </c>
      <c r="I5" s="23" cm="1">
        <f t="array" ref="I5">_xlfn.IFERROR(_xlfn.SUMIFS('Total Cases'!F2:F1312,'Total Cases'!A2:A1312,I$3,'Total Cases'!B2:B1312,$A5,'Total Cases'!C2:C1312,"Caraga"),0)</f>
        <v>0</v>
      </c>
      <c r="J5" s="49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Cases'!C2:C1312,"Caraga"),0)</f>
        <v>69.3154176798957</v>
      </c>
      <c r="C6" s="23" cm="1">
        <f t="array" ref="C6">_xlfn.IFERROR(_xlfn.SUMIFS('Total Cases'!F2:F1312,'Total Cases'!A2:A1312,C$3,'Total Cases'!B2:B1312,$A6,'Total Cases'!C2:C1312,"Caraga"),0)</f>
        <v>23.9472136966988</v>
      </c>
      <c r="D6" s="23" cm="1">
        <f t="array" ref="D6">_xlfn.IFERROR(_xlfn.SUMIFS('Total Cases'!F2:F1312,'Total Cases'!A2:A1312,D$3,'Total Cases'!B2:B1312,$A6,'Total Cases'!C2:C1312,"Caraga"),0)</f>
        <v>0</v>
      </c>
      <c r="E6" s="23" cm="1">
        <f t="array" ref="E6">_xlfn.IFERROR(_xlfn.SUMIFS('Total Cases'!F2:F1312,'Total Cases'!A2:A1312,E$3,'Total Cases'!B2:B1312,$A6,'Total Cases'!C2:C1312,"Caraga"),0)</f>
        <v>52.6354220125418</v>
      </c>
      <c r="F6" s="23" cm="1">
        <f t="array" ref="F6">_xlfn.IFERROR(_xlfn.SUMIFS('Total Cases'!F2:F1312,'Total Cases'!A2:A1312,F$3,'Total Cases'!B2:B1312,$A6,'Total Cases'!C2:C1312,"Caraga"),0)</f>
        <v>83.5730073374678</v>
      </c>
      <c r="G6" s="23" cm="1">
        <f t="array" ref="G6">_xlfn.IFERROR(_xlfn.SUMIFS('Total Cases'!F2:F1312,'Total Cases'!A2:A1312,G$3,'Total Cases'!B2:B1312,$A6,'Total Cases'!C2:C1312,"Caraga"),0)</f>
        <v>266.603084276543</v>
      </c>
      <c r="H6" s="23" cm="1">
        <f t="array" ref="H6">_xlfn.IFERROR(_xlfn.SUMIFS('Total Cases'!F2:F1312,'Total Cases'!A2:A1312,H$3,'Total Cases'!B2:B1312,$A6,'Total Cases'!C2:C1312,"Caraga"),0)</f>
        <v>0</v>
      </c>
      <c r="I6" s="23" cm="1">
        <f t="array" ref="I6">_xlfn.IFERROR(_xlfn.SUMIFS('Total Cases'!F2:F1312,'Total Cases'!A2:A1312,I$3,'Total Cases'!B2:B1312,$A6,'Total Cases'!C2:C1312,"Caraga"),0)</f>
        <v>0</v>
      </c>
      <c r="J6" s="49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Cases'!C2:C1312,"Caraga"),0)</f>
        <v>152.611578616246</v>
      </c>
      <c r="C7" s="23" cm="1">
        <f t="array" ref="C7">_xlfn.IFERROR(_xlfn.SUMIFS('Total Cases'!F2:F1312,'Total Cases'!A2:A1312,C$3,'Total Cases'!B2:B1312,$A7,'Total Cases'!C2:C1312,"Caraga"),0)</f>
        <v>40.4887861634937</v>
      </c>
      <c r="D7" s="23" cm="1">
        <f t="array" ref="D7">_xlfn.IFERROR(_xlfn.SUMIFS('Total Cases'!F2:F1312,'Total Cases'!A2:A1312,D$3,'Total Cases'!B2:B1312,$A7,'Total Cases'!C2:C1312,"Caraga"),0)</f>
        <v>74.2294412997385</v>
      </c>
      <c r="E7" s="23" cm="1">
        <f t="array" ref="E7">_xlfn.IFERROR(_xlfn.SUMIFS('Total Cases'!F2:F1312,'Total Cases'!A2:A1312,E$3,'Total Cases'!B2:B1312,$A7,'Total Cases'!C2:C1312,"Caraga"),0)</f>
        <v>0</v>
      </c>
      <c r="F7" s="23" cm="1">
        <f t="array" ref="F7">_xlfn.IFERROR(_xlfn.SUMIFS('Total Cases'!F2:F1312,'Total Cases'!A2:A1312,F$3,'Total Cases'!B2:B1312,$A7,'Total Cases'!C2:C1312,"Caraga"),0)</f>
        <v>415.269601676859</v>
      </c>
      <c r="G7" s="23" cm="1">
        <f t="array" ref="G7">_xlfn.IFERROR(_xlfn.SUMIFS('Total Cases'!F2:F1312,'Total Cases'!A2:A1312,G$3,'Total Cases'!B2:B1312,$A7,'Total Cases'!C2:C1312,"Caraga"),0)</f>
        <v>307.818592242971</v>
      </c>
      <c r="H7" s="23" cm="1">
        <f t="array" ref="H7">_xlfn.IFERROR(_xlfn.SUMIFS('Total Cases'!F2:F1312,'Total Cases'!A2:A1312,H$3,'Total Cases'!B2:B1312,$A7,'Total Cases'!C2:C1312,"Caraga"),0)</f>
        <v>41.5269601676859</v>
      </c>
      <c r="I7" s="23" cm="1">
        <f t="array" ref="I7">_xlfn.IFERROR(_xlfn.SUMIFS('Total Cases'!F2:F1312,'Total Cases'!A2:A1312,I$3,'Total Cases'!B2:B1312,$A7,'Total Cases'!C2:C1312,"Caraga"),0)</f>
        <v>64.88587526200919</v>
      </c>
      <c r="J7" s="49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Cases'!C2:C1312,"Caraga"),0)</f>
        <v>41.3885369671269</v>
      </c>
      <c r="C8" s="23" cm="1">
        <f t="array" ref="C8">_xlfn.IFERROR(_xlfn.SUMIFS('Total Cases'!F2:F1312,'Total Cases'!A2:A1312,C$3,'Total Cases'!B2:B1312,$A8,'Total Cases'!C2:C1312,"Caraga"),0)</f>
        <v>16.8876304681923</v>
      </c>
      <c r="D8" s="23" cm="1">
        <f t="array" ref="D8">_xlfn.IFERROR(_xlfn.SUMIFS('Total Cases'!F2:F1312,'Total Cases'!A2:A1312,D$3,'Total Cases'!B2:B1312,$A8,'Total Cases'!C2:C1312,"Caraga"),0)</f>
        <v>52.7738452131008</v>
      </c>
      <c r="E8" s="23" cm="1">
        <f t="array" ref="E8">_xlfn.IFERROR(_xlfn.SUMIFS('Total Cases'!F2:F1312,'Total Cases'!A2:A1312,E$3,'Total Cases'!B2:B1312,$A8,'Total Cases'!C2:C1312,"Caraga"),0)</f>
        <v>30.2800751222709</v>
      </c>
      <c r="F8" s="23" cm="1">
        <f t="array" ref="F8">_xlfn.IFERROR(_xlfn.SUMIFS('Total Cases'!F2:F1312,'Total Cases'!A2:A1312,F$3,'Total Cases'!B2:B1312,$A8,'Total Cases'!C2:C1312,"Caraga"),0)</f>
        <v>95.9272779873543</v>
      </c>
      <c r="G8" s="23" cm="1">
        <f t="array" ref="G8">_xlfn.IFERROR(_xlfn.SUMIFS('Total Cases'!F2:F1312,'Total Cases'!A2:A1312,G$3,'Total Cases'!B2:B1312,$A8,'Total Cases'!C2:C1312,"Caraga"),0)</f>
        <v>163.166347658866</v>
      </c>
      <c r="H8" s="23" cm="1">
        <f t="array" ref="H8">_xlfn.IFERROR(_xlfn.SUMIFS('Total Cases'!F2:F1312,'Total Cases'!A2:A1312,H$3,'Total Cases'!B2:B1312,$A8,'Total Cases'!C2:C1312,"Caraga"),0)</f>
        <v>20.5904510831442</v>
      </c>
      <c r="I8" s="23" cm="1">
        <f t="array" ref="I8">_xlfn.IFERROR(_xlfn.SUMIFS('Total Cases'!F2:F1312,'Total Cases'!A2:A1312,I$3,'Total Cases'!B2:B1312,$A8,'Total Cases'!C2:C1312,"Caraga"),0)</f>
        <v>0</v>
      </c>
      <c r="J8" s="49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Cases'!C2:C1312,"Caraga"),0)</f>
        <v>68.0350030747253</v>
      </c>
      <c r="C9" s="23" cm="1">
        <f t="array" ref="C9">_xlfn.IFERROR(_xlfn.SUMIFS('Total Cases'!F2:F1312,'Total Cases'!A2:A1312,C$3,'Total Cases'!B2:B1312,$A9,'Total Cases'!C2:C1312,"Caraga"),0)</f>
        <v>46.7178301886466</v>
      </c>
      <c r="D9" s="23" cm="1">
        <f t="array" ref="D9">_xlfn.IFERROR(_xlfn.SUMIFS('Total Cases'!F2:F1312,'Total Cases'!A2:A1312,D$3,'Total Cases'!B2:B1312,$A9,'Total Cases'!C2:C1312,"Caraga"),0)</f>
        <v>57.6186572326641</v>
      </c>
      <c r="E9" s="23" cm="1">
        <f t="array" ref="E9">_xlfn.IFERROR(_xlfn.SUMIFS('Total Cases'!F2:F1312,'Total Cases'!A2:A1312,E$3,'Total Cases'!B2:B1312,$A9,'Total Cases'!C2:C1312,"Caraga"),0)</f>
        <v>0</v>
      </c>
      <c r="F9" s="23" cm="1">
        <f t="array" ref="F9">_xlfn.IFERROR(_xlfn.SUMIFS('Total Cases'!F2:F1312,'Total Cases'!A2:A1312,F$3,'Total Cases'!B2:B1312,$A9,'Total Cases'!C2:C1312,"Caraga"),0)</f>
        <v>186.525262753189</v>
      </c>
      <c r="G9" s="23" cm="1">
        <f t="array" ref="G9">_xlfn.IFERROR(_xlfn.SUMIFS('Total Cases'!F2:F1312,'Total Cases'!A2:A1312,G$3,'Total Cases'!B2:B1312,$A9,'Total Cases'!C2:C1312,"Caraga"),0)</f>
        <v>177.839206918115</v>
      </c>
      <c r="H9" s="23" cm="1">
        <f t="array" ref="H9">_xlfn.IFERROR(_xlfn.SUMIFS('Total Cases'!F2:F1312,'Total Cases'!A2:A1312,H$3,'Total Cases'!B2:B1312,$A9,'Total Cases'!C2:C1312,"Caraga"),0)</f>
        <v>28.2037271138867</v>
      </c>
      <c r="I9" s="23" cm="1">
        <f t="array" ref="I9">_xlfn.IFERROR(_xlfn.SUMIFS('Total Cases'!F2:F1312,'Total Cases'!A2:A1312,I$3,'Total Cases'!B2:B1312,$A9,'Total Cases'!C2:C1312,"Caraga"),0)</f>
        <v>0</v>
      </c>
      <c r="J9" s="49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Cases'!C2:C1312,"Caraga"),0)</f>
        <v>99.9069450034242</v>
      </c>
      <c r="C10" s="23" cm="1">
        <f t="array" ref="C10">_xlfn.IFERROR(_xlfn.SUMIFS('Total Cases'!F2:F1312,'Total Cases'!A2:A1312,C$3,'Total Cases'!B2:B1312,$A10,'Total Cases'!C2:C1312,"Caraga"),0)</f>
        <v>53.673596016734</v>
      </c>
      <c r="D10" s="23" cm="1">
        <f t="array" ref="D10">_xlfn.IFERROR(_xlfn.SUMIFS('Total Cases'!F2:F1312,'Total Cases'!A2:A1312,D$3,'Total Cases'!B2:B1312,$A10,'Total Cases'!C2:C1312,"Caraga"),0)</f>
        <v>56.1652136267951</v>
      </c>
      <c r="E10" s="23" cm="1">
        <f t="array" ref="E10">_xlfn.IFERROR(_xlfn.SUMIFS('Total Cases'!F2:F1312,'Total Cases'!A2:A1312,E$3,'Total Cases'!B2:B1312,$A10,'Total Cases'!C2:C1312,"Caraga"),0)</f>
        <v>22.078500489153</v>
      </c>
      <c r="F10" s="23" cm="1">
        <f t="array" ref="F10">_xlfn.IFERROR(_xlfn.SUMIFS('Total Cases'!F2:F1312,'Total Cases'!A2:A1312,F$3,'Total Cases'!B2:B1312,$A10,'Total Cases'!C2:C1312,"Caraga"),0)</f>
        <v>106.966528231931</v>
      </c>
      <c r="G10" s="23" cm="1">
        <f t="array" ref="G10">_xlfn.IFERROR(_xlfn.SUMIFS('Total Cases'!F2:F1312,'Total Cases'!A2:A1312,G$3,'Total Cases'!B2:B1312,$A10,'Total Cases'!C2:C1312,"Caraga"),0)</f>
        <v>230.059359328980</v>
      </c>
      <c r="H10" s="23" cm="1">
        <f t="array" ref="H10">_xlfn.IFERROR(_xlfn.SUMIFS('Total Cases'!F2:F1312,'Total Cases'!A2:A1312,H$3,'Total Cases'!B2:B1312,$A10,'Total Cases'!C2:C1312,"Caraga"),0)</f>
        <v>31.3528549266028</v>
      </c>
      <c r="I10" s="23" cm="1">
        <f t="array" ref="I10">_xlfn.IFERROR(_xlfn.SUMIFS('Total Cases'!F2:F1312,'Total Cases'!A2:A1312,I$3,'Total Cases'!B2:B1312,$A10,'Total Cases'!C2:C1312,"Caraga"),0)</f>
        <v>0</v>
      </c>
      <c r="J10" s="49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Cases'!C2:C1312,"Caraga"),0)</f>
        <v>59.5911878406292</v>
      </c>
      <c r="C11" s="23" cm="1">
        <f t="array" ref="C11">_xlfn.IFERROR(_xlfn.SUMIFS('Total Cases'!F2:F1312,'Total Cases'!A2:A1312,C$3,'Total Cases'!B2:B1312,$A11,'Total Cases'!C2:C1312,"Caraga"),0)</f>
        <v>42.703557372437</v>
      </c>
      <c r="D11" s="23" cm="1">
        <f t="array" ref="D11">_xlfn.IFERROR(_xlfn.SUMIFS('Total Cases'!F2:F1312,'Total Cases'!A2:A1312,D$3,'Total Cases'!B2:B1312,$A11,'Total Cases'!C2:C1312,"Caraga"),0)</f>
        <v>56.4074542277733</v>
      </c>
      <c r="E11" s="23" cm="1">
        <f t="array" ref="E11">_xlfn.IFERROR(_xlfn.SUMIFS('Total Cases'!F2:F1312,'Total Cases'!A2:A1312,E$3,'Total Cases'!B2:B1312,$A11,'Total Cases'!C2:C1312,"Caraga"),0)</f>
        <v>21.4902018867774</v>
      </c>
      <c r="F11" s="23" cm="1">
        <f t="array" ref="F11">_xlfn.IFERROR(_xlfn.SUMIFS('Total Cases'!F2:F1312,'Total Cases'!A2:A1312,F$3,'Total Cases'!B2:B1312,$A11,'Total Cases'!C2:C1312,"Caraga"),0)</f>
        <v>97.17308679238489</v>
      </c>
      <c r="G11" s="23" cm="1">
        <f t="array" ref="G11">_xlfn.IFERROR(_xlfn.SUMIFS('Total Cases'!F2:F1312,'Total Cases'!A2:A1312,G$3,'Total Cases'!B2:B1312,$A11,'Total Cases'!C2:C1312,"Caraga"),0)</f>
        <v>233.139275541416</v>
      </c>
      <c r="H11" s="23" cm="1">
        <f t="array" ref="H11">_xlfn.IFERROR(_xlfn.SUMIFS('Total Cases'!F2:F1312,'Total Cases'!A2:A1312,H$3,'Total Cases'!B2:B1312,$A11,'Total Cases'!C2:C1312,"Caraga"),0)</f>
        <v>29.5533533193364</v>
      </c>
      <c r="I11" s="23" cm="1">
        <f t="array" ref="I11">_xlfn.IFERROR(_xlfn.SUMIFS('Total Cases'!F2:F1312,'Total Cases'!A2:A1312,I$3,'Total Cases'!B2:B1312,$A11,'Total Cases'!C2:C1312,"Caraga"),0)</f>
        <v>0</v>
      </c>
      <c r="J11" s="49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Cases'!C2:C1312,"Caraga"),0)</f>
        <v>931.380504960914</v>
      </c>
      <c r="C12" s="23" cm="1">
        <f t="array" ref="C12">_xlfn.IFERROR(_xlfn.SUMIFS('Total Cases'!F2:F1312,'Total Cases'!A2:A1312,C$3,'Total Cases'!B2:B1312,$A12,'Total Cases'!C2:C1312,"Caraga"),0)</f>
        <v>638.096348776633</v>
      </c>
      <c r="D12" s="23" cm="1">
        <f t="array" ref="D12">_xlfn.IFERROR(_xlfn.SUMIFS('Total Cases'!F2:F1312,'Total Cases'!A2:A1312,D$3,'Total Cases'!B2:B1312,$A12,'Total Cases'!C2:C1312,"Caraga"),0)</f>
        <v>206.562021034097</v>
      </c>
      <c r="E12" s="23" cm="1">
        <f t="array" ref="E12">_xlfn.IFERROR(_xlfn.SUMIFS('Total Cases'!F2:F1312,'Total Cases'!A2:A1312,E$3,'Total Cases'!B2:B1312,$A12,'Total Cases'!C2:C1312,"Caraga"),0)</f>
        <v>0</v>
      </c>
      <c r="F12" s="23" cm="1">
        <f t="array" ref="F12">_xlfn.IFERROR(_xlfn.SUMIFS('Total Cases'!F2:F1312,'Total Cases'!A2:A1312,F$3,'Total Cases'!B2:B1312,$A12,'Total Cases'!C2:C1312,"Caraga"),0)</f>
        <v>333.011614744701</v>
      </c>
      <c r="G12" s="23" cm="1">
        <f t="array" ref="G12">_xlfn.IFERROR(_xlfn.SUMIFS('Total Cases'!F2:F1312,'Total Cases'!A2:A1312,G$3,'Total Cases'!B2:B1312,$A12,'Total Cases'!C2:C1312,"Caraga"),0)</f>
        <v>2012.638730327040</v>
      </c>
      <c r="H12" s="23" cm="1">
        <f t="array" ref="H12">_xlfn.IFERROR(_xlfn.SUMIFS('Total Cases'!F2:F1312,'Total Cases'!A2:A1312,H$3,'Total Cases'!B2:B1312,$A12,'Total Cases'!C2:C1312,"Caraga"),0)</f>
        <v>0</v>
      </c>
      <c r="I12" s="23" cm="1">
        <f t="array" ref="I12">_xlfn.IFERROR(_xlfn.SUMIFS('Total Cases'!F2:F1312,'Total Cases'!A2:A1312,I$3,'Total Cases'!B2:B1312,$A12,'Total Cases'!C2:C1312,"Caraga"),0)</f>
        <v>0</v>
      </c>
      <c r="J12" s="49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Cases'!C2:C1312,"Caraga"),0)</f>
        <v>75.61367330532801</v>
      </c>
      <c r="C13" s="23" cm="1">
        <f t="array" ref="C13">_xlfn.IFERROR(_xlfn.SUMIFS('Total Cases'!F2:F1312,'Total Cases'!A2:A1312,C$3,'Total Cases'!B2:B1312,$A13,'Total Cases'!C2:C1312,"Caraga"),0)</f>
        <v>61.6675358490135</v>
      </c>
      <c r="D13" s="23" cm="1">
        <f t="array" ref="D13">_xlfn.IFERROR(_xlfn.SUMIFS('Total Cases'!F2:F1312,'Total Cases'!A2:A1312,D$3,'Total Cases'!B2:B1312,$A13,'Total Cases'!C2:C1312,"Caraga"),0)</f>
        <v>54.9194048217646</v>
      </c>
      <c r="E13" s="23" cm="1">
        <f t="array" ref="E13">_xlfn.IFERROR(_xlfn.SUMIFS('Total Cases'!F2:F1312,'Total Cases'!A2:A1312,E$3,'Total Cases'!B2:B1312,$A13,'Total Cases'!C2:C1312,"Caraga"),0)</f>
        <v>0</v>
      </c>
      <c r="F13" s="23" cm="1">
        <f t="array" ref="F13">_xlfn.IFERROR(_xlfn.SUMIFS('Total Cases'!F2:F1312,'Total Cases'!A2:A1312,F$3,'Total Cases'!B2:B1312,$A13,'Total Cases'!C2:C1312,"Caraga"),0)</f>
        <v>140.257307966359</v>
      </c>
      <c r="G13" s="23" cm="1">
        <f t="array" ref="G13">_xlfn.IFERROR(_xlfn.SUMIFS('Total Cases'!F2:F1312,'Total Cases'!A2:A1312,G$3,'Total Cases'!B2:B1312,$A13,'Total Cases'!C2:C1312,"Caraga"),0)</f>
        <v>262.450388259775</v>
      </c>
      <c r="H13" s="23" cm="1">
        <f t="array" ref="H13">_xlfn.IFERROR(_xlfn.SUMIFS('Total Cases'!F2:F1312,'Total Cases'!A2:A1312,H$3,'Total Cases'!B2:B1312,$A13,'Total Cases'!C2:C1312,"Caraga"),0)</f>
        <v>23.6357614954412</v>
      </c>
      <c r="I13" s="23" cm="1">
        <f t="array" ref="I13">_xlfn.IFERROR(_xlfn.SUMIFS('Total Cases'!F2:F1312,'Total Cases'!A2:A1312,I$3,'Total Cases'!B2:B1312,$A13,'Total Cases'!C2:C1312,"Caraga"),0)</f>
        <v>0</v>
      </c>
      <c r="J13" s="49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Cases'!C2:C1312,"Caraga"),0)</f>
        <v>59.625793640769</v>
      </c>
      <c r="C14" s="23" cm="1">
        <f t="array" ref="C14">_xlfn.IFERROR(_xlfn.SUMIFS('Total Cases'!F2:F1312,'Total Cases'!A2:A1312,C$3,'Total Cases'!B2:B1312,$A14,'Total Cases'!C2:C1312,"Caraga"),0)</f>
        <v>22.9782512927862</v>
      </c>
      <c r="D14" s="23" cm="1">
        <f t="array" ref="D14">_xlfn.IFERROR(_xlfn.SUMIFS('Total Cases'!F2:F1312,'Total Cases'!A2:A1312,D$3,'Total Cases'!B2:B1312,$A14,'Total Cases'!C2:C1312,"Caraga"),0)</f>
        <v>42.1844703703409</v>
      </c>
      <c r="E14" s="23" cm="1">
        <f t="array" ref="E14">_xlfn.IFERROR(_xlfn.SUMIFS('Total Cases'!F2:F1312,'Total Cases'!A2:A1312,E$3,'Total Cases'!B2:B1312,$A14,'Total Cases'!C2:C1312,"Caraga"),0)</f>
        <v>0</v>
      </c>
      <c r="F14" s="23" cm="1">
        <f t="array" ref="F14">_xlfn.IFERROR(_xlfn.SUMIFS('Total Cases'!F2:F1312,'Total Cases'!A2:A1312,F$3,'Total Cases'!B2:B1312,$A14,'Total Cases'!C2:C1312,"Caraga"),0)</f>
        <v>59.8680342417471</v>
      </c>
      <c r="G14" s="23" cm="1">
        <f t="array" ref="G14">_xlfn.IFERROR(_xlfn.SUMIFS('Total Cases'!F2:F1312,'Total Cases'!A2:A1312,G$3,'Total Cases'!B2:B1312,$A14,'Total Cases'!C2:C1312,"Caraga"),0)</f>
        <v>265.322669671373</v>
      </c>
      <c r="H14" s="23" cm="1">
        <f t="array" ref="H14">_xlfn.IFERROR(_xlfn.SUMIFS('Total Cases'!F2:F1312,'Total Cases'!A2:A1312,H$3,'Total Cases'!B2:B1312,$A14,'Total Cases'!C2:C1312,"Caraga"),0)</f>
        <v>17.0606594688909</v>
      </c>
      <c r="I14" s="23" cm="1">
        <f t="array" ref="I14">_xlfn.IFERROR(_xlfn.SUMIFS('Total Cases'!F2:F1312,'Total Cases'!A2:A1312,I$3,'Total Cases'!B2:B1312,$A14,'Total Cases'!C2:C1312,"Caraga"),0)</f>
        <v>0</v>
      </c>
      <c r="J14" s="49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Cases'!C2:C1312,"Caraga"),0)</f>
        <v>55.1962512228825</v>
      </c>
      <c r="C15" s="23" cm="1">
        <f t="array" ref="C15">_xlfn.IFERROR(_xlfn.SUMIFS('Total Cases'!F2:F1312,'Total Cases'!A2:A1312,C$3,'Total Cases'!B2:B1312,$A15,'Total Cases'!C2:C1312,"Caraga"),0)</f>
        <v>18.5487088748997</v>
      </c>
      <c r="D15" s="23" cm="1">
        <f t="array" ref="D15">_xlfn.IFERROR(_xlfn.SUMIFS('Total Cases'!F2:F1312,'Total Cases'!A2:A1312,D$3,'Total Cases'!B2:B1312,$A15,'Total Cases'!C2:C1312,"Caraga"),0)</f>
        <v>61.8751706498519</v>
      </c>
      <c r="E15" s="23" cm="1">
        <f t="array" ref="E15">_xlfn.IFERROR(_xlfn.SUMIFS('Total Cases'!F2:F1312,'Total Cases'!A2:A1312,E$3,'Total Cases'!B2:B1312,$A15,'Total Cases'!C2:C1312,"Caraga"),0)</f>
        <v>0</v>
      </c>
      <c r="F15" s="23" cm="1">
        <f t="array" ref="F15">_xlfn.IFERROR(_xlfn.SUMIFS('Total Cases'!F2:F1312,'Total Cases'!A2:A1312,F$3,'Total Cases'!B2:B1312,$A15,'Total Cases'!C2:C1312,"Caraga"),0)</f>
        <v>238.710809363914</v>
      </c>
      <c r="G15" s="23" cm="1">
        <f t="array" ref="G15">_xlfn.IFERROR(_xlfn.SUMIFS('Total Cases'!F2:F1312,'Total Cases'!A2:A1312,G$3,'Total Cases'!B2:B1312,$A15,'Total Cases'!C2:C1312,"Caraga"),0)</f>
        <v>238.503174563076</v>
      </c>
      <c r="H15" s="23" cm="1">
        <f t="array" ref="H15">_xlfn.IFERROR(_xlfn.SUMIFS('Total Cases'!F2:F1312,'Total Cases'!A2:A1312,H$3,'Total Cases'!B2:B1312,$A15,'Total Cases'!C2:C1312,"Caraga"),0)</f>
        <v>27.2693705101137</v>
      </c>
      <c r="I15" s="23" cm="1">
        <f t="array" ref="I15">_xlfn.IFERROR(_xlfn.SUMIFS('Total Cases'!F2:F1312,'Total Cases'!A2:A1312,I$3,'Total Cases'!B2:B1312,$A15,'Total Cases'!C2:C1312,"Caraga"),0)</f>
        <v>19.8637292802097</v>
      </c>
      <c r="J15" s="49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4"/>
    </row>
  </sheetData>
  <mergeCells count="1">
    <mergeCell ref="A1:I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70" customWidth="1"/>
    <col min="2" max="9" width="16" style="70" customWidth="1"/>
    <col min="10" max="10" width="8.67188" style="70" customWidth="1"/>
    <col min="11" max="16384" width="8.67188" style="70" customWidth="1"/>
  </cols>
  <sheetData>
    <row r="1" ht="18.5" customHeight="1">
      <c r="A1" t="s" s="39">
        <v>90</v>
      </c>
      <c r="B1" s="40"/>
      <c r="C1" s="40"/>
      <c r="D1" s="40"/>
      <c r="E1" s="40"/>
      <c r="F1" s="40"/>
      <c r="G1" s="40"/>
      <c r="H1" s="40"/>
      <c r="I1" s="40"/>
      <c r="J1" s="4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46">
        <v>30</v>
      </c>
      <c r="H3" t="s" s="47">
        <v>36</v>
      </c>
      <c r="I3" t="s" s="48">
        <v>41</v>
      </c>
      <c r="J3" s="49"/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Cases'!C2:C1312,"BARMM"),0)</f>
        <v>80.2714863211649</v>
      </c>
      <c r="C4" s="23" cm="1">
        <f t="array" ref="C4">_xlfn.IFERROR(_xlfn.SUMIFS('Total Cases'!F2:F1312,'Total Cases'!A2:A1312,C$3,'Total Cases'!B2:B1312,$A4,'Total Cases'!C2:C1312,"BARMM"),0)</f>
        <v>16.3519985572274</v>
      </c>
      <c r="D4" s="23" cm="1">
        <f t="array" ref="D4">_xlfn.IFERROR(_xlfn.SUMIFS('Total Cases'!F2:F1312,'Total Cases'!A2:A1312,D$3,'Total Cases'!B2:B1312,$A4,'Total Cases'!C2:C1312,"BARMM"),0)</f>
        <v>0</v>
      </c>
      <c r="E4" s="23" cm="1">
        <f t="array" ref="E4">_xlfn.IFERROR(_xlfn.SUMIFS('Total Cases'!F2:F1312,'Total Cases'!A2:A1312,E$3,'Total Cases'!B2:B1312,$A4,'Total Cases'!C2:C1312,"BARMM"),0)</f>
        <v>18.962278010294</v>
      </c>
      <c r="F4" s="23" cm="1">
        <f t="array" ref="F4">_xlfn.IFERROR(_xlfn.SUMIFS('Total Cases'!F2:F1312,'Total Cases'!A2:A1312,F$3,'Total Cases'!B2:B1312,$A4,'Total Cases'!C2:C1312,"BARMM"),0)</f>
        <v>0</v>
      </c>
      <c r="G4" s="23" cm="1">
        <f t="array" ref="G4">_xlfn.IFERROR(_xlfn.SUMIFS('Total Cases'!F2:F1312,'Total Cases'!A2:A1312,G$3,'Total Cases'!B2:B1312,$A4,'Total Cases'!C2:C1312,"BARMM"),0)</f>
        <v>283.139816706608</v>
      </c>
      <c r="H4" s="23" cm="1">
        <f t="array" ref="H4">_xlfn.IFERROR(_xlfn.SUMIFS('Total Cases'!F2:F1312,'Total Cases'!A2:A1312,H$3,'Total Cases'!B2:B1312,$A4,'Total Cases'!C2:C1312,"BARMM"),0)</f>
        <v>75.9354022710294</v>
      </c>
      <c r="I4" s="23" cm="1">
        <f t="array" ref="I4">_xlfn.IFERROR(_xlfn.SUMIFS('Total Cases'!F2:F1312,'Total Cases'!A2:A1312,I$3,'Total Cases'!B2:B1312,$A4,'Total Cases'!C2:C1312,"BARMM"),0)</f>
        <v>11.8649066048483</v>
      </c>
      <c r="J4" s="49"/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Cases'!C2:C1312,"BARMM"),0)</f>
        <v>145.355892188124</v>
      </c>
      <c r="C5" s="23" cm="1">
        <f t="array" ref="C5">_xlfn.IFERROR(_xlfn.SUMIFS('Total Cases'!F2:F1312,'Total Cases'!A2:A1312,C$3,'Total Cases'!B2:B1312,$A5,'Total Cases'!C2:C1312,"BARMM"),0)</f>
        <v>47.5890617641735</v>
      </c>
      <c r="D5" s="23" cm="1">
        <f t="array" ref="D5">_xlfn.IFERROR(_xlfn.SUMIFS('Total Cases'!F2:F1312,'Total Cases'!A2:A1312,D$3,'Total Cases'!B2:B1312,$A5,'Total Cases'!C2:C1312,"BARMM"),0)</f>
        <v>0</v>
      </c>
      <c r="E5" s="23" cm="1">
        <f t="array" ref="E5">_xlfn.IFERROR(_xlfn.SUMIFS('Total Cases'!F2:F1312,'Total Cases'!A2:A1312,E$3,'Total Cases'!B2:B1312,$A5,'Total Cases'!C2:C1312,"BARMM"),0)</f>
        <v>0</v>
      </c>
      <c r="F5" s="23" cm="1">
        <f t="array" ref="F5">_xlfn.IFERROR(_xlfn.SUMIFS('Total Cases'!F2:F1312,'Total Cases'!A2:A1312,F$3,'Total Cases'!B2:B1312,$A5,'Total Cases'!C2:C1312,"BARMM"),0)</f>
        <v>0</v>
      </c>
      <c r="G5" s="23" cm="1">
        <f t="array" ref="G5">_xlfn.IFERROR(_xlfn.SUMIFS('Total Cases'!F2:F1312,'Total Cases'!A2:A1312,G$3,'Total Cases'!B2:B1312,$A5,'Total Cases'!C2:C1312,"BARMM"),0)</f>
        <v>185.804437431925</v>
      </c>
      <c r="H5" s="23" cm="1">
        <f t="array" ref="H5">_xlfn.IFERROR(_xlfn.SUMIFS('Total Cases'!F2:F1312,'Total Cases'!A2:A1312,H$3,'Total Cases'!B2:B1312,$A5,'Total Cases'!C2:C1312,"BARMM"),0)</f>
        <v>0</v>
      </c>
      <c r="I5" s="23" cm="1">
        <f t="array" ref="I5">_xlfn.IFERROR(_xlfn.SUMIFS('Total Cases'!F2:F1312,'Total Cases'!A2:A1312,I$3,'Total Cases'!B2:B1312,$A5,'Total Cases'!C2:C1312,"BARMM"),0)</f>
        <v>11.6707535876781</v>
      </c>
      <c r="J5" s="49"/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Cases'!C2:C1312,"BARMM"),0)</f>
        <v>17.5384892177122</v>
      </c>
      <c r="C6" s="23" cm="1">
        <f t="array" ref="C6">_xlfn.IFERROR(_xlfn.SUMIFS('Total Cases'!F2:F1312,'Total Cases'!A2:A1312,C$3,'Total Cases'!B2:B1312,$A6,'Total Cases'!C2:C1312,"BARMM"),0)</f>
        <v>5.52257471062032</v>
      </c>
      <c r="D6" s="23" cm="1">
        <f t="array" ref="D6">_xlfn.IFERROR(_xlfn.SUMIFS('Total Cases'!F2:F1312,'Total Cases'!A2:A1312,D$3,'Total Cases'!B2:B1312,$A6,'Total Cases'!C2:C1312,"BARMM"),0)</f>
        <v>0</v>
      </c>
      <c r="E6" s="23" cm="1">
        <f t="array" ref="E6">_xlfn.IFERROR(_xlfn.SUMIFS('Total Cases'!F2:F1312,'Total Cases'!A2:A1312,E$3,'Total Cases'!B2:B1312,$A6,'Total Cases'!C2:C1312,"BARMM"),0)</f>
        <v>13.0729698227965</v>
      </c>
      <c r="F6" s="23" cm="1">
        <f t="array" ref="F6">_xlfn.IFERROR(_xlfn.SUMIFS('Total Cases'!F2:F1312,'Total Cases'!A2:A1312,F$3,'Total Cases'!B2:B1312,$A6,'Total Cases'!C2:C1312,"BARMM"),0)</f>
        <v>19.1132859125375</v>
      </c>
      <c r="G6" s="23" cm="1">
        <f t="array" ref="G6">_xlfn.IFERROR(_xlfn.SUMIFS('Total Cases'!F2:F1312,'Total Cases'!A2:A1312,G$3,'Total Cases'!B2:B1312,$A6,'Total Cases'!C2:C1312,"BARMM"),0)</f>
        <v>77.5749166382448</v>
      </c>
      <c r="H6" s="23" cm="1">
        <f t="array" ref="H6">_xlfn.IFERROR(_xlfn.SUMIFS('Total Cases'!F2:F1312,'Total Cases'!A2:A1312,H$3,'Total Cases'!B2:B1312,$A6,'Total Cases'!C2:C1312,"BARMM"),0)</f>
        <v>0</v>
      </c>
      <c r="I6" s="23" cm="1">
        <f t="array" ref="I6">_xlfn.IFERROR(_xlfn.SUMIFS('Total Cases'!F2:F1312,'Total Cases'!A2:A1312,I$3,'Total Cases'!B2:B1312,$A6,'Total Cases'!C2:C1312,"BARMM"),0)</f>
        <v>0</v>
      </c>
      <c r="J6" s="49"/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Cases'!C2:C1312,"BARMM"),0)</f>
        <v>216.761057391848</v>
      </c>
      <c r="C7" s="23" cm="1">
        <f t="array" ref="C7">_xlfn.IFERROR(_xlfn.SUMIFS('Total Cases'!F2:F1312,'Total Cases'!A2:A1312,C$3,'Total Cases'!B2:B1312,$A7,'Total Cases'!C2:C1312,"BARMM"),0)</f>
        <v>85.2547470952012</v>
      </c>
      <c r="D7" s="23" cm="1">
        <f t="array" ref="D7">_xlfn.IFERROR(_xlfn.SUMIFS('Total Cases'!F2:F1312,'Total Cases'!A2:A1312,D$3,'Total Cases'!B2:B1312,$A7,'Total Cases'!C2:C1312,"BARMM"),0)</f>
        <v>0</v>
      </c>
      <c r="E7" s="23" cm="1">
        <f t="array" ref="E7">_xlfn.IFERROR(_xlfn.SUMIFS('Total Cases'!F2:F1312,'Total Cases'!A2:A1312,E$3,'Total Cases'!B2:B1312,$A7,'Total Cases'!C2:C1312,"BARMM"),0)</f>
        <v>230.222333248985</v>
      </c>
      <c r="F7" s="23" cm="1">
        <f t="array" ref="F7">_xlfn.IFERROR(_xlfn.SUMIFS('Total Cases'!F2:F1312,'Total Cases'!A2:A1312,F$3,'Total Cases'!B2:B1312,$A7,'Total Cases'!C2:C1312,"BARMM"),0)</f>
        <v>185.696574644608</v>
      </c>
      <c r="G7" s="23" cm="1">
        <f t="array" ref="G7">_xlfn.IFERROR(_xlfn.SUMIFS('Total Cases'!F2:F1312,'Total Cases'!A2:A1312,G$3,'Total Cases'!B2:B1312,$A7,'Total Cases'!C2:C1312,"BARMM"),0)</f>
        <v>954.715103098488</v>
      </c>
      <c r="H7" s="23" cm="1">
        <f t="array" ref="H7">_xlfn.IFERROR(_xlfn.SUMIFS('Total Cases'!F2:F1312,'Total Cases'!A2:A1312,H$3,'Total Cases'!B2:B1312,$A7,'Total Cases'!C2:C1312,"BARMM"),0)</f>
        <v>623.015459541855</v>
      </c>
      <c r="I7" s="23" cm="1">
        <f t="array" ref="I7">_xlfn.IFERROR(_xlfn.SUMIFS('Total Cases'!F2:F1312,'Total Cases'!A2:A1312,I$3,'Total Cases'!B2:B1312,$A7,'Total Cases'!C2:C1312,"BARMM"),0)</f>
        <v>181.899804531057</v>
      </c>
      <c r="J7" s="49"/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Cases'!C2:C1312,"BARMM"),0)</f>
        <v>17.7326422348824</v>
      </c>
      <c r="C8" s="23" cm="1">
        <f t="array" ref="C8">_xlfn.IFERROR(_xlfn.SUMIFS('Total Cases'!F2:F1312,'Total Cases'!A2:A1312,C$3,'Total Cases'!B2:B1312,$A8,'Total Cases'!C2:C1312,"BARMM"),0)</f>
        <v>10.8725689615338</v>
      </c>
      <c r="D8" s="23" cm="1">
        <f t="array" ref="D8">_xlfn.IFERROR(_xlfn.SUMIFS('Total Cases'!F2:F1312,'Total Cases'!A2:A1312,D$3,'Total Cases'!B2:B1312,$A8,'Total Cases'!C2:C1312,"BARMM"),0)</f>
        <v>0</v>
      </c>
      <c r="E8" s="23" cm="1">
        <f t="array" ref="E8">_xlfn.IFERROR(_xlfn.SUMIFS('Total Cases'!F2:F1312,'Total Cases'!A2:A1312,E$3,'Total Cases'!B2:B1312,$A8,'Total Cases'!C2:C1312,"BARMM"),0)</f>
        <v>13.5907112019172</v>
      </c>
      <c r="F8" s="23" cm="1">
        <f t="array" ref="F8">_xlfn.IFERROR(_xlfn.SUMIFS('Total Cases'!F2:F1312,'Total Cases'!A2:A1312,F$3,'Total Cases'!B2:B1312,$A8,'Total Cases'!C2:C1312,"BARMM"),0)</f>
        <v>0</v>
      </c>
      <c r="G8" s="23" cm="1">
        <f t="array" ref="G8">_xlfn.IFERROR(_xlfn.SUMIFS('Total Cases'!F2:F1312,'Total Cases'!A2:A1312,G$3,'Total Cases'!B2:B1312,$A8,'Total Cases'!C2:C1312,"BARMM"),0)</f>
        <v>58.1596149212203</v>
      </c>
      <c r="H8" s="23" cm="1">
        <f t="array" ref="H8">_xlfn.IFERROR(_xlfn.SUMIFS('Total Cases'!F2:F1312,'Total Cases'!A2:A1312,H$3,'Total Cases'!B2:B1312,$A8,'Total Cases'!C2:C1312,"BARMM"),0)</f>
        <v>30.0721451039247</v>
      </c>
      <c r="I8" s="23" cm="1">
        <f t="array" ref="I8">_xlfn.IFERROR(_xlfn.SUMIFS('Total Cases'!F2:F1312,'Total Cases'!A2:A1312,I$3,'Total Cases'!B2:B1312,$A8,'Total Cases'!C2:C1312,"BARMM"),0)</f>
        <v>0</v>
      </c>
      <c r="J8" s="49"/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Cases'!C2:C1312,"BARMM"),0)</f>
        <v>73.28197770303611</v>
      </c>
      <c r="C9" s="23" cm="1">
        <f t="array" ref="C9">_xlfn.IFERROR(_xlfn.SUMIFS('Total Cases'!F2:F1312,'Total Cases'!A2:A1312,C$3,'Total Cases'!B2:B1312,$A9,'Total Cases'!C2:C1312,"BARMM"),0)</f>
        <v>0</v>
      </c>
      <c r="D9" s="23" cm="1">
        <f t="array" ref="D9">_xlfn.IFERROR(_xlfn.SUMIFS('Total Cases'!F2:F1312,'Total Cases'!A2:A1312,D$3,'Total Cases'!B2:B1312,$A9,'Total Cases'!C2:C1312,"BARMM"),0)</f>
        <v>0</v>
      </c>
      <c r="E9" s="23" cm="1">
        <f t="array" ref="E9">_xlfn.IFERROR(_xlfn.SUMIFS('Total Cases'!F2:F1312,'Total Cases'!A2:A1312,E$3,'Total Cases'!B2:B1312,$A9,'Total Cases'!C2:C1312,"BARMM"),0)</f>
        <v>29.791701856901</v>
      </c>
      <c r="F9" s="23" cm="1">
        <f t="array" ref="F9">_xlfn.IFERROR(_xlfn.SUMIFS('Total Cases'!F2:F1312,'Total Cases'!A2:A1312,F$3,'Total Cases'!B2:B1312,$A9,'Total Cases'!C2:C1312,"BARMM"),0)</f>
        <v>27.7638814553451</v>
      </c>
      <c r="G9" s="23" cm="1">
        <f t="array" ref="G9">_xlfn.IFERROR(_xlfn.SUMIFS('Total Cases'!F2:F1312,'Total Cases'!A2:A1312,G$3,'Total Cases'!B2:B1312,$A9,'Total Cases'!C2:C1312,"BARMM"),0)</f>
        <v>140.933517908135</v>
      </c>
      <c r="H9" s="23" cm="1">
        <f t="array" ref="H9">_xlfn.IFERROR(_xlfn.SUMIFS('Total Cases'!F2:F1312,'Total Cases'!A2:A1312,H$3,'Total Cases'!B2:B1312,$A9,'Total Cases'!C2:C1312,"BARMM"),0)</f>
        <v>56.7358261286385</v>
      </c>
      <c r="I9" s="23" cm="1">
        <f t="array" ref="I9">_xlfn.IFERROR(_xlfn.SUMIFS('Total Cases'!F2:F1312,'Total Cases'!A2:A1312,I$3,'Total Cases'!B2:B1312,$A9,'Total Cases'!C2:C1312,"BARMM"),0)</f>
        <v>0</v>
      </c>
      <c r="J9" s="49"/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Cases'!C2:C1312,"BARMM"),0)</f>
        <v>60.2737255526296</v>
      </c>
      <c r="C10" s="23" cm="1">
        <f t="array" ref="C10">_xlfn.IFERROR(_xlfn.SUMIFS('Total Cases'!F2:F1312,'Total Cases'!A2:A1312,C$3,'Total Cases'!B2:B1312,$A10,'Total Cases'!C2:C1312,"BARMM"),0)</f>
        <v>18.4661091886367</v>
      </c>
      <c r="D10" s="23" cm="1">
        <f t="array" ref="D10">_xlfn.IFERROR(_xlfn.SUMIFS('Total Cases'!F2:F1312,'Total Cases'!A2:A1312,D$3,'Total Cases'!B2:B1312,$A10,'Total Cases'!C2:C1312,"BARMM"),0)</f>
        <v>0</v>
      </c>
      <c r="E10" s="23" cm="1">
        <f t="array" ref="E10">_xlfn.IFERROR(_xlfn.SUMIFS('Total Cases'!F2:F1312,'Total Cases'!A2:A1312,E$3,'Total Cases'!B2:B1312,$A10,'Total Cases'!C2:C1312,"BARMM"),0)</f>
        <v>0</v>
      </c>
      <c r="F10" s="23" cm="1">
        <f t="array" ref="F10">_xlfn.IFERROR(_xlfn.SUMIFS('Total Cases'!F2:F1312,'Total Cases'!A2:A1312,F$3,'Total Cases'!B2:B1312,$A10,'Total Cases'!C2:C1312,"BARMM"),0)</f>
        <v>40.6211257035081</v>
      </c>
      <c r="G10" s="23" cm="1">
        <f t="array" ref="G10">_xlfn.IFERROR(_xlfn.SUMIFS('Total Cases'!F2:F1312,'Total Cases'!A2:A1312,G$3,'Total Cases'!B2:B1312,$A10,'Total Cases'!C2:C1312,"BARMM"),0)</f>
        <v>285.253927338018</v>
      </c>
      <c r="H10" s="23" cm="1">
        <f t="array" ref="H10">_xlfn.IFERROR(_xlfn.SUMIFS('Total Cases'!F2:F1312,'Total Cases'!A2:A1312,H$3,'Total Cases'!B2:B1312,$A10,'Total Cases'!C2:C1312,"BARMM"),0)</f>
        <v>97.5295322918534</v>
      </c>
      <c r="I10" s="23" cm="1">
        <f t="array" ref="I10">_xlfn.IFERROR(_xlfn.SUMIFS('Total Cases'!F2:F1312,'Total Cases'!A2:A1312,I$3,'Total Cases'!B2:B1312,$A10,'Total Cases'!C2:C1312,"BARMM"),0)</f>
        <v>26.0596494157396</v>
      </c>
      <c r="J10" s="49"/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Cases'!C2:C1312,"BARMM"),0)</f>
        <v>70.65012569250609</v>
      </c>
      <c r="C11" s="23" cm="1">
        <f t="array" ref="C11">_xlfn.IFERROR(_xlfn.SUMIFS('Total Cases'!F2:F1312,'Total Cases'!A2:A1312,C$3,'Total Cases'!B2:B1312,$A11,'Total Cases'!C2:C1312,"BARMM"),0)</f>
        <v>20.7528002797529</v>
      </c>
      <c r="D11" s="23" cm="1">
        <f t="array" ref="D11">_xlfn.IFERROR(_xlfn.SUMIFS('Total Cases'!F2:F1312,'Total Cases'!A2:A1312,D$3,'Total Cases'!B2:B1312,$A11,'Total Cases'!C2:C1312,"BARMM"),0)</f>
        <v>0</v>
      </c>
      <c r="E11" s="23" cm="1">
        <f t="array" ref="E11">_xlfn.IFERROR(_xlfn.SUMIFS('Total Cases'!F2:F1312,'Total Cases'!A2:A1312,E$3,'Total Cases'!B2:B1312,$A11,'Total Cases'!C2:C1312,"BARMM"),0)</f>
        <v>24.1612643589639</v>
      </c>
      <c r="F11" s="23" cm="1">
        <f t="array" ref="F11">_xlfn.IFERROR(_xlfn.SUMIFS('Total Cases'!F2:F1312,'Total Cases'!A2:A1312,F$3,'Total Cases'!B2:B1312,$A11,'Total Cases'!C2:C1312,"BARMM"),0)</f>
        <v>0</v>
      </c>
      <c r="G11" s="23" cm="1">
        <f t="array" ref="G11">_xlfn.IFERROR(_xlfn.SUMIFS('Total Cases'!F2:F1312,'Total Cases'!A2:A1312,G$3,'Total Cases'!B2:B1312,$A11,'Total Cases'!C2:C1312,"BARMM"),0)</f>
        <v>302.166812389292</v>
      </c>
      <c r="H11" s="23" cm="1">
        <f t="array" ref="H11">_xlfn.IFERROR(_xlfn.SUMIFS('Total Cases'!F2:F1312,'Total Cases'!A2:A1312,H$3,'Total Cases'!B2:B1312,$A11,'Total Cases'!C2:C1312,"BARMM"),0)</f>
        <v>103.224687462181</v>
      </c>
      <c r="I11" s="23" cm="1">
        <f t="array" ref="I11">_xlfn.IFERROR(_xlfn.SUMIFS('Total Cases'!F2:F1312,'Total Cases'!A2:A1312,I$3,'Total Cases'!B2:B1312,$A11,'Total Cases'!C2:C1312,"BARMM"),0)</f>
        <v>26.7715438120305</v>
      </c>
      <c r="J11" s="49"/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Cases'!C2:C1312,"BARMM"),0)</f>
        <v>77.5317715233181</v>
      </c>
      <c r="C12" s="23" cm="1">
        <f t="array" ref="C12">_xlfn.IFERROR(_xlfn.SUMIFS('Total Cases'!F2:F1312,'Total Cases'!A2:A1312,C$3,'Total Cases'!B2:B1312,$A12,'Total Cases'!C2:C1312,"BARMM"),0)</f>
        <v>49.3148663612424</v>
      </c>
      <c r="D12" s="23" cm="1">
        <f t="array" ref="D12">_xlfn.IFERROR(_xlfn.SUMIFS('Total Cases'!F2:F1312,'Total Cases'!A2:A1312,D$3,'Total Cases'!B2:B1312,$A12,'Total Cases'!C2:C1312,"BARMM"),0)</f>
        <v>0</v>
      </c>
      <c r="E12" s="23" cm="1">
        <f t="array" ref="E12">_xlfn.IFERROR(_xlfn.SUMIFS('Total Cases'!F2:F1312,'Total Cases'!A2:A1312,E$3,'Total Cases'!B2:B1312,$A12,'Total Cases'!C2:C1312,"BARMM"),0)</f>
        <v>34.0630682346464</v>
      </c>
      <c r="F12" s="23" cm="1">
        <f t="array" ref="F12">_xlfn.IFERROR(_xlfn.SUMIFS('Total Cases'!F2:F1312,'Total Cases'!A2:A1312,F$3,'Total Cases'!B2:B1312,$A12,'Total Cases'!C2:C1312,"BARMM"),0)</f>
        <v>0</v>
      </c>
      <c r="G12" s="23" cm="1">
        <f t="array" ref="G12">_xlfn.IFERROR(_xlfn.SUMIFS('Total Cases'!F2:F1312,'Total Cases'!A2:A1312,G$3,'Total Cases'!B2:B1312,$A12,'Total Cases'!C2:C1312,"BARMM"),0)</f>
        <v>296.730527908525</v>
      </c>
      <c r="H12" s="23" cm="1">
        <f t="array" ref="H12">_xlfn.IFERROR(_xlfn.SUMIFS('Total Cases'!F2:F1312,'Total Cases'!A2:A1312,H$3,'Total Cases'!B2:B1312,$A12,'Total Cases'!C2:C1312,"BARMM"),0)</f>
        <v>116.750680991708</v>
      </c>
      <c r="I12" s="23" cm="1">
        <f t="array" ref="I12">_xlfn.IFERROR(_xlfn.SUMIFS('Total Cases'!F2:F1312,'Total Cases'!A2:A1312,I$3,'Total Cases'!B2:B1312,$A12,'Total Cases'!C2:C1312,"BARMM"),0)</f>
        <v>34.0414956771831</v>
      </c>
      <c r="J12" s="49"/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Cases'!C2:C1312,"BARMM"),0)</f>
        <v>63.3370287124268</v>
      </c>
      <c r="C13" s="23" cm="1">
        <f t="array" ref="C13">_xlfn.IFERROR(_xlfn.SUMIFS('Total Cases'!F2:F1312,'Total Cases'!A2:A1312,C$3,'Total Cases'!B2:B1312,$A13,'Total Cases'!C2:C1312,"BARMM"),0)</f>
        <v>0</v>
      </c>
      <c r="D13" s="23" cm="1">
        <f t="array" ref="D13">_xlfn.IFERROR(_xlfn.SUMIFS('Total Cases'!F2:F1312,'Total Cases'!A2:A1312,D$3,'Total Cases'!B2:B1312,$A13,'Total Cases'!C2:C1312,"BARMM"),0)</f>
        <v>22.0255811700912</v>
      </c>
      <c r="E13" s="23" cm="1">
        <f t="array" ref="E13">_xlfn.IFERROR(_xlfn.SUMIFS('Total Cases'!F2:F1312,'Total Cases'!A2:A1312,E$3,'Total Cases'!B2:B1312,$A13,'Total Cases'!C2:C1312,"BARMM"),0)</f>
        <v>23.5140876350631</v>
      </c>
      <c r="F13" s="23" cm="1">
        <f t="array" ref="F13">_xlfn.IFERROR(_xlfn.SUMIFS('Total Cases'!F2:F1312,'Total Cases'!A2:A1312,F$3,'Total Cases'!B2:B1312,$A13,'Total Cases'!C2:C1312,"BARMM"),0)</f>
        <v>0</v>
      </c>
      <c r="G13" s="23" cm="1">
        <f t="array" ref="G13">_xlfn.IFERROR(_xlfn.SUMIFS('Total Cases'!F2:F1312,'Total Cases'!A2:A1312,G$3,'Total Cases'!B2:B1312,$A13,'Total Cases'!C2:C1312,"BARMM"),0)</f>
        <v>368.653434491370</v>
      </c>
      <c r="H13" s="23" cm="1">
        <f t="array" ref="H13">_xlfn.IFERROR(_xlfn.SUMIFS('Total Cases'!F2:F1312,'Total Cases'!A2:A1312,H$3,'Total Cases'!B2:B1312,$A13,'Total Cases'!C2:C1312,"BARMM"),0)</f>
        <v>116.254512170050</v>
      </c>
      <c r="I13" s="23" cm="1">
        <f t="array" ref="I13">_xlfn.IFERROR(_xlfn.SUMIFS('Total Cases'!F2:F1312,'Total Cases'!A2:A1312,I$3,'Total Cases'!B2:B1312,$A13,'Total Cases'!C2:C1312,"BARMM"),0)</f>
        <v>55.9376415024941</v>
      </c>
      <c r="J13" s="49"/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Cases'!C2:C1312,"BARMM"),0)</f>
        <v>49.2717212463157</v>
      </c>
      <c r="C14" s="23" cm="1">
        <f t="array" ref="C14">_xlfn.IFERROR(_xlfn.SUMIFS('Total Cases'!F2:F1312,'Total Cases'!A2:A1312,C$3,'Total Cases'!B2:B1312,$A14,'Total Cases'!C2:C1312,"BARMM"),0)</f>
        <v>0</v>
      </c>
      <c r="D14" s="23" cm="1">
        <f t="array" ref="D14">_xlfn.IFERROR(_xlfn.SUMIFS('Total Cases'!F2:F1312,'Total Cases'!A2:A1312,D$3,'Total Cases'!B2:B1312,$A14,'Total Cases'!C2:C1312,"BARMM"),0)</f>
        <v>0</v>
      </c>
      <c r="E14" s="23" cm="1">
        <f t="array" ref="E14">_xlfn.IFERROR(_xlfn.SUMIFS('Total Cases'!F2:F1312,'Total Cases'!A2:A1312,E$3,'Total Cases'!B2:B1312,$A14,'Total Cases'!C2:C1312,"BARMM"),0)</f>
        <v>31.7332320286035</v>
      </c>
      <c r="F14" s="23" cm="1">
        <f t="array" ref="F14">_xlfn.IFERROR(_xlfn.SUMIFS('Total Cases'!F2:F1312,'Total Cases'!A2:A1312,F$3,'Total Cases'!B2:B1312,$A14,'Total Cases'!C2:C1312,"BARMM"),0)</f>
        <v>0</v>
      </c>
      <c r="G14" s="23" cm="1">
        <f t="array" ref="G14">_xlfn.IFERROR(_xlfn.SUMIFS('Total Cases'!F2:F1312,'Total Cases'!A2:A1312,G$3,'Total Cases'!B2:B1312,$A14,'Total Cases'!C2:C1312,"BARMM"),0)</f>
        <v>320.417196003295</v>
      </c>
      <c r="H14" s="23" cm="1">
        <f t="array" ref="H14">_xlfn.IFERROR(_xlfn.SUMIFS('Total Cases'!F2:F1312,'Total Cases'!A2:A1312,H$3,'Total Cases'!B2:B1312,$A14,'Total Cases'!C2:C1312,"BARMM"),0)</f>
        <v>61.913239919845</v>
      </c>
      <c r="I14" s="23" cm="1">
        <f t="array" ref="I14">_xlfn.IFERROR(_xlfn.SUMIFS('Total Cases'!F2:F1312,'Total Cases'!A2:A1312,I$3,'Total Cases'!B2:B1312,$A14,'Total Cases'!C2:C1312,"BARMM"),0)</f>
        <v>0</v>
      </c>
      <c r="J14" s="49"/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Cases'!C2:C1312,"BARMM"),0)</f>
        <v>57.4477205249294</v>
      </c>
      <c r="C15" s="23" cm="1">
        <f t="array" ref="C15">_xlfn.IFERROR(_xlfn.SUMIFS('Total Cases'!F2:F1312,'Total Cases'!A2:A1312,C$3,'Total Cases'!B2:B1312,$A15,'Total Cases'!C2:C1312,"BARMM"),0)</f>
        <v>0</v>
      </c>
      <c r="D15" s="23" cm="1">
        <f t="array" ref="D15">_xlfn.IFERROR(_xlfn.SUMIFS('Total Cases'!F2:F1312,'Total Cases'!A2:A1312,D$3,'Total Cases'!B2:B1312,$A15,'Total Cases'!C2:C1312,"BARMM"),0)</f>
        <v>19.8467528662918</v>
      </c>
      <c r="E15" s="23" cm="1">
        <f t="array" ref="E15">_xlfn.IFERROR(_xlfn.SUMIFS('Total Cases'!F2:F1312,'Total Cases'!A2:A1312,E$3,'Total Cases'!B2:B1312,$A15,'Total Cases'!C2:C1312,"BARMM"),0)</f>
        <v>21.5294123484339</v>
      </c>
      <c r="F15" s="23" cm="1">
        <f t="array" ref="F15">_xlfn.IFERROR(_xlfn.SUMIFS('Total Cases'!F2:F1312,'Total Cases'!A2:A1312,F$3,'Total Cases'!B2:B1312,$A15,'Total Cases'!C2:C1312,"BARMM"),0)</f>
        <v>0</v>
      </c>
      <c r="G15" s="23" cm="1">
        <f t="array" ref="G15">_xlfn.IFERROR(_xlfn.SUMIFS('Total Cases'!F2:F1312,'Total Cases'!A2:A1312,G$3,'Total Cases'!B2:B1312,$A15,'Total Cases'!C2:C1312,"BARMM"),0)</f>
        <v>309.954505633566</v>
      </c>
      <c r="H15" s="23" cm="1">
        <f t="array" ref="H15">_xlfn.IFERROR(_xlfn.SUMIFS('Total Cases'!F2:F1312,'Total Cases'!A2:A1312,H$3,'Total Cases'!B2:B1312,$A15,'Total Cases'!C2:C1312,"BARMM"),0)</f>
        <v>67.3279518431485</v>
      </c>
      <c r="I15" s="23" cm="1">
        <f t="array" ref="I15">_xlfn.IFERROR(_xlfn.SUMIFS('Total Cases'!F2:F1312,'Total Cases'!A2:A1312,I$3,'Total Cases'!B2:B1312,$A15,'Total Cases'!C2:C1312,"BARMM"),0)</f>
        <v>29.3171055927071</v>
      </c>
      <c r="J15" s="49"/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4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4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4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4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4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4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4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4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4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4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4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4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4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4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4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4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4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4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4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4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4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4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4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4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4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4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4"/>
    </row>
  </sheetData>
  <mergeCells count="1">
    <mergeCell ref="A1:I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71" customWidth="1"/>
    <col min="2" max="10" width="16" style="71" customWidth="1"/>
    <col min="11" max="16384" width="8.67188" style="71" customWidth="1"/>
  </cols>
  <sheetData>
    <row r="1" ht="18.5" customHeight="1">
      <c r="A1" t="s" s="39">
        <v>91</v>
      </c>
      <c r="B1" s="40"/>
      <c r="C1" s="40"/>
      <c r="D1" s="40"/>
      <c r="E1" s="40"/>
      <c r="F1" s="40"/>
      <c r="G1" s="40"/>
      <c r="H1" s="40"/>
      <c r="I1" s="40"/>
      <c r="J1" s="40"/>
    </row>
    <row r="2" ht="13.65" customHeight="1">
      <c r="A2" s="41"/>
      <c r="B2" s="41"/>
      <c r="C2" s="41"/>
      <c r="D2" s="41"/>
      <c r="E2" s="41"/>
      <c r="F2" s="41"/>
      <c r="G2" s="41"/>
      <c r="H2" s="41"/>
      <c r="I2" s="41"/>
      <c r="J2" s="41"/>
    </row>
    <row r="3" ht="38.6" customHeight="1">
      <c r="A3" t="s" s="19">
        <v>24</v>
      </c>
      <c r="B3" t="s" s="42">
        <v>34</v>
      </c>
      <c r="C3" t="s" s="43">
        <v>37</v>
      </c>
      <c r="D3" t="s" s="44">
        <v>39</v>
      </c>
      <c r="E3" t="s" s="53">
        <v>45</v>
      </c>
      <c r="F3" t="s" s="45">
        <v>35</v>
      </c>
      <c r="G3" t="s" s="58">
        <v>59</v>
      </c>
      <c r="H3" t="s" s="46">
        <v>30</v>
      </c>
      <c r="I3" t="s" s="47">
        <v>36</v>
      </c>
      <c r="J3" t="s" s="48">
        <v>41</v>
      </c>
    </row>
    <row r="4" ht="13.65" customHeight="1">
      <c r="A4" t="s" s="50">
        <v>31</v>
      </c>
      <c r="B4" s="23" cm="1">
        <f t="array" ref="B4">_xlfn.IFERROR(_xlfn.SUMIFS('Total Cases'!F2:F1312,'Total Cases'!A2:A1312,B$3,'Total Cases'!B2:B1312,$A4,'Total Cases'!C2:C1312,"NIR"),0)</f>
        <v>0</v>
      </c>
      <c r="C4" s="23" cm="1">
        <f t="array" ref="C4">_xlfn.IFERROR(_xlfn.SUMIFS('Total Cases'!F2:F1312,'Total Cases'!A2:A1312,C$3,'Total Cases'!B2:B1312,$A4,'Total Cases'!C2:C1312,"NIR"),0)</f>
        <v>0</v>
      </c>
      <c r="D4" s="23" cm="1">
        <f t="array" ref="D4">_xlfn.IFERROR(_xlfn.SUMIFS('Total Cases'!F2:F1312,'Total Cases'!A2:A1312,D$3,'Total Cases'!B2:B1312,$A4,'Total Cases'!C2:C1312,"NIR"),0)</f>
        <v>0</v>
      </c>
      <c r="E4" s="23" cm="1">
        <f t="array" ref="E4">_xlfn.IFERROR(_xlfn.SUMIFS('Total Cases'!F2:F1312,'Total Cases'!A2:A1312,E$3,'Total Cases'!B2:B1312,$A4,'Total Cases'!C2:C1312,"NIR"),0)</f>
        <v>0</v>
      </c>
      <c r="F4" s="23" cm="1">
        <f t="array" ref="F4">_xlfn.IFERROR(_xlfn.SUMIFS('Total Cases'!F2:F1312,'Total Cases'!A2:A1312,F$3,'Total Cases'!B2:B1312,$A4,'Total Cases'!C2:C1312,"NIR"),0)</f>
        <v>0</v>
      </c>
      <c r="G4" s="23" cm="1">
        <f t="array" ref="G4">_xlfn.IFERROR(_xlfn.SUMIFS('Total Cases'!F2:F1312,'Total Cases'!A2:A1312,G$3,'Total Cases'!B2:B1312,$A4,'Total Cases'!C2:C1312,"NIR"),0)</f>
        <v>0</v>
      </c>
      <c r="H4" s="23" cm="1">
        <f t="array" ref="H4">_xlfn.IFERROR(_xlfn.SUMIFS('Total Cases'!F2:F1312,'Total Cases'!A2:A1312,H$3,'Total Cases'!B2:B1312,$A4,'Total Cases'!C2:C1312,"NIR"),0)</f>
        <v>0</v>
      </c>
      <c r="I4" s="23" cm="1">
        <f t="array" ref="I4">_xlfn.IFERROR(_xlfn.SUMIFS('Total Cases'!F2:F1312,'Total Cases'!A2:A1312,I$3,'Total Cases'!B2:B1312,$A4,'Total Cases'!C2:C1312,"NIR"),0)</f>
        <v>0</v>
      </c>
      <c r="J4" s="23" cm="1">
        <f t="array" ref="J4">_xlfn.IFERROR(_xlfn.SUMIFS('Total Cases'!F2:F1312,'Total Cases'!A2:A1312,J$3,'Total Cases'!B2:B1312,$A4,'Total Cases'!C2:C1312,"NIR"),0)</f>
        <v>0</v>
      </c>
    </row>
    <row r="5" ht="13.65" customHeight="1">
      <c r="A5" t="s" s="50">
        <v>60</v>
      </c>
      <c r="B5" s="23" cm="1">
        <f t="array" ref="B5">_xlfn.IFERROR(_xlfn.SUMIFS('Total Cases'!F2:F1312,'Total Cases'!A2:A1312,B$3,'Total Cases'!B2:B1312,$A5,'Total Cases'!C2:C1312,"NIR"),0)</f>
        <v>0</v>
      </c>
      <c r="C5" s="23" cm="1">
        <f t="array" ref="C5">_xlfn.IFERROR(_xlfn.SUMIFS('Total Cases'!F2:F1312,'Total Cases'!A2:A1312,C$3,'Total Cases'!B2:B1312,$A5,'Total Cases'!C2:C1312,"NIR"),0)</f>
        <v>0</v>
      </c>
      <c r="D5" s="23" cm="1">
        <f t="array" ref="D5">_xlfn.IFERROR(_xlfn.SUMIFS('Total Cases'!F2:F1312,'Total Cases'!A2:A1312,D$3,'Total Cases'!B2:B1312,$A5,'Total Cases'!C2:C1312,"NIR"),0)</f>
        <v>0</v>
      </c>
      <c r="E5" s="23" cm="1">
        <f t="array" ref="E5">_xlfn.IFERROR(_xlfn.SUMIFS('Total Cases'!F2:F1312,'Total Cases'!A2:A1312,E$3,'Total Cases'!B2:B1312,$A5,'Total Cases'!C2:C1312,"NIR"),0)</f>
        <v>0</v>
      </c>
      <c r="F5" s="23" cm="1">
        <f t="array" ref="F5">_xlfn.IFERROR(_xlfn.SUMIFS('Total Cases'!F2:F1312,'Total Cases'!A2:A1312,F$3,'Total Cases'!B2:B1312,$A5,'Total Cases'!C2:C1312,"NIR"),0)</f>
        <v>0</v>
      </c>
      <c r="G5" s="23" cm="1">
        <f t="array" ref="G5">_xlfn.IFERROR(_xlfn.SUMIFS('Total Cases'!F2:F1312,'Total Cases'!A2:A1312,G$3,'Total Cases'!B2:B1312,$A5,'Total Cases'!C2:C1312,"NIR"),0)</f>
        <v>0</v>
      </c>
      <c r="H5" s="23" cm="1">
        <f t="array" ref="H5">_xlfn.IFERROR(_xlfn.SUMIFS('Total Cases'!F2:F1312,'Total Cases'!A2:A1312,H$3,'Total Cases'!B2:B1312,$A5,'Total Cases'!C2:C1312,"NIR"),0)</f>
        <v>0</v>
      </c>
      <c r="I5" s="23" cm="1">
        <f t="array" ref="I5">_xlfn.IFERROR(_xlfn.SUMIFS('Total Cases'!F2:F1312,'Total Cases'!A2:A1312,I$3,'Total Cases'!B2:B1312,$A5,'Total Cases'!C2:C1312,"NIR"),0)</f>
        <v>0</v>
      </c>
      <c r="J5" s="23" cm="1">
        <f t="array" ref="J5">_xlfn.IFERROR(_xlfn.SUMIFS('Total Cases'!F2:F1312,'Total Cases'!A2:A1312,J$3,'Total Cases'!B2:B1312,$A5,'Total Cases'!C2:C1312,"NIR"),0)</f>
        <v>0</v>
      </c>
    </row>
    <row r="6" ht="13.65" customHeight="1">
      <c r="A6" t="s" s="50">
        <v>61</v>
      </c>
      <c r="B6" s="23" cm="1">
        <f t="array" ref="B6">_xlfn.IFERROR(_xlfn.SUMIFS('Total Cases'!F2:F1312,'Total Cases'!A2:A1312,B$3,'Total Cases'!B2:B1312,$A6,'Total Cases'!C2:C1312,"NIR"),0)</f>
        <v>0</v>
      </c>
      <c r="C6" s="23" cm="1">
        <f t="array" ref="C6">_xlfn.IFERROR(_xlfn.SUMIFS('Total Cases'!F2:F1312,'Total Cases'!A2:A1312,C$3,'Total Cases'!B2:B1312,$A6,'Total Cases'!C2:C1312,"NIR"),0)</f>
        <v>0</v>
      </c>
      <c r="D6" s="23" cm="1">
        <f t="array" ref="D6">_xlfn.IFERROR(_xlfn.SUMIFS('Total Cases'!F2:F1312,'Total Cases'!A2:A1312,D$3,'Total Cases'!B2:B1312,$A6,'Total Cases'!C2:C1312,"NIR"),0)</f>
        <v>0</v>
      </c>
      <c r="E6" s="23" cm="1">
        <f t="array" ref="E6">_xlfn.IFERROR(_xlfn.SUMIFS('Total Cases'!F2:F1312,'Total Cases'!A2:A1312,E$3,'Total Cases'!B2:B1312,$A6,'Total Cases'!C2:C1312,"NIR"),0)</f>
        <v>0</v>
      </c>
      <c r="F6" s="23" cm="1">
        <f t="array" ref="F6">_xlfn.IFERROR(_xlfn.SUMIFS('Total Cases'!F2:F1312,'Total Cases'!A2:A1312,F$3,'Total Cases'!B2:B1312,$A6,'Total Cases'!C2:C1312,"NIR"),0)</f>
        <v>0</v>
      </c>
      <c r="G6" s="23" cm="1">
        <f t="array" ref="G6">_xlfn.IFERROR(_xlfn.SUMIFS('Total Cases'!F2:F1312,'Total Cases'!A2:A1312,G$3,'Total Cases'!B2:B1312,$A6,'Total Cases'!C2:C1312,"NIR"),0)</f>
        <v>0</v>
      </c>
      <c r="H6" s="23" cm="1">
        <f t="array" ref="H6">_xlfn.IFERROR(_xlfn.SUMIFS('Total Cases'!F2:F1312,'Total Cases'!A2:A1312,H$3,'Total Cases'!B2:B1312,$A6,'Total Cases'!C2:C1312,"NIR"),0)</f>
        <v>0</v>
      </c>
      <c r="I6" s="23" cm="1">
        <f t="array" ref="I6">_xlfn.IFERROR(_xlfn.SUMIFS('Total Cases'!F2:F1312,'Total Cases'!A2:A1312,I$3,'Total Cases'!B2:B1312,$A6,'Total Cases'!C2:C1312,"NIR"),0)</f>
        <v>0</v>
      </c>
      <c r="J6" s="23" cm="1">
        <f t="array" ref="J6">_xlfn.IFERROR(_xlfn.SUMIFS('Total Cases'!F2:F1312,'Total Cases'!A2:A1312,J$3,'Total Cases'!B2:B1312,$A6,'Total Cases'!C2:C1312,"NIR"),0)</f>
        <v>0</v>
      </c>
    </row>
    <row r="7" ht="13.65" customHeight="1">
      <c r="A7" t="s" s="50">
        <v>62</v>
      </c>
      <c r="B7" s="23" cm="1">
        <f t="array" ref="B7">_xlfn.IFERROR(_xlfn.SUMIFS('Total Cases'!F2:F1312,'Total Cases'!A2:A1312,B$3,'Total Cases'!B2:B1312,$A7,'Total Cases'!C2:C1312,"NIR"),0)</f>
        <v>0</v>
      </c>
      <c r="C7" s="23" cm="1">
        <f t="array" ref="C7">_xlfn.IFERROR(_xlfn.SUMIFS('Total Cases'!F2:F1312,'Total Cases'!A2:A1312,C$3,'Total Cases'!B2:B1312,$A7,'Total Cases'!C2:C1312,"NIR"),0)</f>
        <v>0</v>
      </c>
      <c r="D7" s="23" cm="1">
        <f t="array" ref="D7">_xlfn.IFERROR(_xlfn.SUMIFS('Total Cases'!F2:F1312,'Total Cases'!A2:A1312,D$3,'Total Cases'!B2:B1312,$A7,'Total Cases'!C2:C1312,"NIR"),0)</f>
        <v>0</v>
      </c>
      <c r="E7" s="23" cm="1">
        <f t="array" ref="E7">_xlfn.IFERROR(_xlfn.SUMIFS('Total Cases'!F2:F1312,'Total Cases'!A2:A1312,E$3,'Total Cases'!B2:B1312,$A7,'Total Cases'!C2:C1312,"NIR"),0)</f>
        <v>0</v>
      </c>
      <c r="F7" s="23" cm="1">
        <f t="array" ref="F7">_xlfn.IFERROR(_xlfn.SUMIFS('Total Cases'!F2:F1312,'Total Cases'!A2:A1312,F$3,'Total Cases'!B2:B1312,$A7,'Total Cases'!C2:C1312,"NIR"),0)</f>
        <v>0</v>
      </c>
      <c r="G7" s="23" cm="1">
        <f t="array" ref="G7">_xlfn.IFERROR(_xlfn.SUMIFS('Total Cases'!F2:F1312,'Total Cases'!A2:A1312,G$3,'Total Cases'!B2:B1312,$A7,'Total Cases'!C2:C1312,"NIR"),0)</f>
        <v>0</v>
      </c>
      <c r="H7" s="23" cm="1">
        <f t="array" ref="H7">_xlfn.IFERROR(_xlfn.SUMIFS('Total Cases'!F2:F1312,'Total Cases'!A2:A1312,H$3,'Total Cases'!B2:B1312,$A7,'Total Cases'!C2:C1312,"NIR"),0)</f>
        <v>0</v>
      </c>
      <c r="I7" s="23" cm="1">
        <f t="array" ref="I7">_xlfn.IFERROR(_xlfn.SUMIFS('Total Cases'!F2:F1312,'Total Cases'!A2:A1312,I$3,'Total Cases'!B2:B1312,$A7,'Total Cases'!C2:C1312,"NIR"),0)</f>
        <v>0</v>
      </c>
      <c r="J7" s="23" cm="1">
        <f t="array" ref="J7">_xlfn.IFERROR(_xlfn.SUMIFS('Total Cases'!F2:F1312,'Total Cases'!A2:A1312,J$3,'Total Cases'!B2:B1312,$A7,'Total Cases'!C2:C1312,"NIR"),0)</f>
        <v>0</v>
      </c>
    </row>
    <row r="8" ht="13.65" customHeight="1">
      <c r="A8" t="s" s="50">
        <v>63</v>
      </c>
      <c r="B8" s="23" cm="1">
        <f t="array" ref="B8">_xlfn.IFERROR(_xlfn.SUMIFS('Total Cases'!F2:F1312,'Total Cases'!A2:A1312,B$3,'Total Cases'!B2:B1312,$A8,'Total Cases'!C2:C1312,"NIR"),0)</f>
        <v>0</v>
      </c>
      <c r="C8" s="23" cm="1">
        <f t="array" ref="C8">_xlfn.IFERROR(_xlfn.SUMIFS('Total Cases'!F2:F1312,'Total Cases'!A2:A1312,C$3,'Total Cases'!B2:B1312,$A8,'Total Cases'!C2:C1312,"NIR"),0)</f>
        <v>0</v>
      </c>
      <c r="D8" s="23" cm="1">
        <f t="array" ref="D8">_xlfn.IFERROR(_xlfn.SUMIFS('Total Cases'!F2:F1312,'Total Cases'!A2:A1312,D$3,'Total Cases'!B2:B1312,$A8,'Total Cases'!C2:C1312,"NIR"),0)</f>
        <v>0</v>
      </c>
      <c r="E8" s="23" cm="1">
        <f t="array" ref="E8">_xlfn.IFERROR(_xlfn.SUMIFS('Total Cases'!F2:F1312,'Total Cases'!A2:A1312,E$3,'Total Cases'!B2:B1312,$A8,'Total Cases'!C2:C1312,"NIR"),0)</f>
        <v>0</v>
      </c>
      <c r="F8" s="23" cm="1">
        <f t="array" ref="F8">_xlfn.IFERROR(_xlfn.SUMIFS('Total Cases'!F2:F1312,'Total Cases'!A2:A1312,F$3,'Total Cases'!B2:B1312,$A8,'Total Cases'!C2:C1312,"NIR"),0)</f>
        <v>0</v>
      </c>
      <c r="G8" s="23" cm="1">
        <f t="array" ref="G8">_xlfn.IFERROR(_xlfn.SUMIFS('Total Cases'!F2:F1312,'Total Cases'!A2:A1312,G$3,'Total Cases'!B2:B1312,$A8,'Total Cases'!C2:C1312,"NIR"),0)</f>
        <v>0</v>
      </c>
      <c r="H8" s="23" cm="1">
        <f t="array" ref="H8">_xlfn.IFERROR(_xlfn.SUMIFS('Total Cases'!F2:F1312,'Total Cases'!A2:A1312,H$3,'Total Cases'!B2:B1312,$A8,'Total Cases'!C2:C1312,"NIR"),0)</f>
        <v>0</v>
      </c>
      <c r="I8" s="23" cm="1">
        <f t="array" ref="I8">_xlfn.IFERROR(_xlfn.SUMIFS('Total Cases'!F2:F1312,'Total Cases'!A2:A1312,I$3,'Total Cases'!B2:B1312,$A8,'Total Cases'!C2:C1312,"NIR"),0)</f>
        <v>0</v>
      </c>
      <c r="J8" s="23" cm="1">
        <f t="array" ref="J8">_xlfn.IFERROR(_xlfn.SUMIFS('Total Cases'!F2:F1312,'Total Cases'!A2:A1312,J$3,'Total Cases'!B2:B1312,$A8,'Total Cases'!C2:C1312,"NIR"),0)</f>
        <v>0</v>
      </c>
    </row>
    <row r="9" ht="13.65" customHeight="1">
      <c r="A9" t="s" s="50">
        <v>64</v>
      </c>
      <c r="B9" s="23" cm="1">
        <f t="array" ref="B9">_xlfn.IFERROR(_xlfn.SUMIFS('Total Cases'!F2:F1312,'Total Cases'!A2:A1312,B$3,'Total Cases'!B2:B1312,$A9,'Total Cases'!C2:C1312,"NIR"),0)</f>
        <v>0</v>
      </c>
      <c r="C9" s="23" cm="1">
        <f t="array" ref="C9">_xlfn.IFERROR(_xlfn.SUMIFS('Total Cases'!F2:F1312,'Total Cases'!A2:A1312,C$3,'Total Cases'!B2:B1312,$A9,'Total Cases'!C2:C1312,"NIR"),0)</f>
        <v>0</v>
      </c>
      <c r="D9" s="23" cm="1">
        <f t="array" ref="D9">_xlfn.IFERROR(_xlfn.SUMIFS('Total Cases'!F2:F1312,'Total Cases'!A2:A1312,D$3,'Total Cases'!B2:B1312,$A9,'Total Cases'!C2:C1312,"NIR"),0)</f>
        <v>0</v>
      </c>
      <c r="E9" s="23" cm="1">
        <f t="array" ref="E9">_xlfn.IFERROR(_xlfn.SUMIFS('Total Cases'!F2:F1312,'Total Cases'!A2:A1312,E$3,'Total Cases'!B2:B1312,$A9,'Total Cases'!C2:C1312,"NIR"),0)</f>
        <v>0</v>
      </c>
      <c r="F9" s="23" cm="1">
        <f t="array" ref="F9">_xlfn.IFERROR(_xlfn.SUMIFS('Total Cases'!F2:F1312,'Total Cases'!A2:A1312,F$3,'Total Cases'!B2:B1312,$A9,'Total Cases'!C2:C1312,"NIR"),0)</f>
        <v>0</v>
      </c>
      <c r="G9" s="23" cm="1">
        <f t="array" ref="G9">_xlfn.IFERROR(_xlfn.SUMIFS('Total Cases'!F2:F1312,'Total Cases'!A2:A1312,G$3,'Total Cases'!B2:B1312,$A9,'Total Cases'!C2:C1312,"NIR"),0)</f>
        <v>0</v>
      </c>
      <c r="H9" s="23" cm="1">
        <f t="array" ref="H9">_xlfn.IFERROR(_xlfn.SUMIFS('Total Cases'!F2:F1312,'Total Cases'!A2:A1312,H$3,'Total Cases'!B2:B1312,$A9,'Total Cases'!C2:C1312,"NIR"),0)</f>
        <v>0</v>
      </c>
      <c r="I9" s="23" cm="1">
        <f t="array" ref="I9">_xlfn.IFERROR(_xlfn.SUMIFS('Total Cases'!F2:F1312,'Total Cases'!A2:A1312,I$3,'Total Cases'!B2:B1312,$A9,'Total Cases'!C2:C1312,"NIR"),0)</f>
        <v>0</v>
      </c>
      <c r="J9" s="23" cm="1">
        <f t="array" ref="J9">_xlfn.IFERROR(_xlfn.SUMIFS('Total Cases'!F2:F1312,'Total Cases'!A2:A1312,J$3,'Total Cases'!B2:B1312,$A9,'Total Cases'!C2:C1312,"NIR"),0)</f>
        <v>0</v>
      </c>
    </row>
    <row r="10" ht="13.65" customHeight="1">
      <c r="A10" t="s" s="50">
        <v>65</v>
      </c>
      <c r="B10" s="23" cm="1">
        <f t="array" ref="B10">_xlfn.IFERROR(_xlfn.SUMIFS('Total Cases'!F2:F1312,'Total Cases'!A2:A1312,B$3,'Total Cases'!B2:B1312,$A10,'Total Cases'!C2:C1312,"NIR"),0)</f>
        <v>0</v>
      </c>
      <c r="C10" s="23" cm="1">
        <f t="array" ref="C10">_xlfn.IFERROR(_xlfn.SUMIFS('Total Cases'!F2:F1312,'Total Cases'!A2:A1312,C$3,'Total Cases'!B2:B1312,$A10,'Total Cases'!C2:C1312,"NIR"),0)</f>
        <v>0</v>
      </c>
      <c r="D10" s="23" cm="1">
        <f t="array" ref="D10">_xlfn.IFERROR(_xlfn.SUMIFS('Total Cases'!F2:F1312,'Total Cases'!A2:A1312,D$3,'Total Cases'!B2:B1312,$A10,'Total Cases'!C2:C1312,"NIR"),0)</f>
        <v>0</v>
      </c>
      <c r="E10" s="23" cm="1">
        <f t="array" ref="E10">_xlfn.IFERROR(_xlfn.SUMIFS('Total Cases'!F2:F1312,'Total Cases'!A2:A1312,E$3,'Total Cases'!B2:B1312,$A10,'Total Cases'!C2:C1312,"NIR"),0)</f>
        <v>0</v>
      </c>
      <c r="F10" s="23" cm="1">
        <f t="array" ref="F10">_xlfn.IFERROR(_xlfn.SUMIFS('Total Cases'!F2:F1312,'Total Cases'!A2:A1312,F$3,'Total Cases'!B2:B1312,$A10,'Total Cases'!C2:C1312,"NIR"),0)</f>
        <v>0</v>
      </c>
      <c r="G10" s="23" cm="1">
        <f t="array" ref="G10">_xlfn.IFERROR(_xlfn.SUMIFS('Total Cases'!F2:F1312,'Total Cases'!A2:A1312,G$3,'Total Cases'!B2:B1312,$A10,'Total Cases'!C2:C1312,"NIR"),0)</f>
        <v>0</v>
      </c>
      <c r="H10" s="23" cm="1">
        <f t="array" ref="H10">_xlfn.IFERROR(_xlfn.SUMIFS('Total Cases'!F2:F1312,'Total Cases'!A2:A1312,H$3,'Total Cases'!B2:B1312,$A10,'Total Cases'!C2:C1312,"NIR"),0)</f>
        <v>0</v>
      </c>
      <c r="I10" s="23" cm="1">
        <f t="array" ref="I10">_xlfn.IFERROR(_xlfn.SUMIFS('Total Cases'!F2:F1312,'Total Cases'!A2:A1312,I$3,'Total Cases'!B2:B1312,$A10,'Total Cases'!C2:C1312,"NIR"),0)</f>
        <v>0</v>
      </c>
      <c r="J10" s="23" cm="1">
        <f t="array" ref="J10">_xlfn.IFERROR(_xlfn.SUMIFS('Total Cases'!F2:F1312,'Total Cases'!A2:A1312,J$3,'Total Cases'!B2:B1312,$A10,'Total Cases'!C2:C1312,"NIR"),0)</f>
        <v>0</v>
      </c>
    </row>
    <row r="11" ht="13.65" customHeight="1">
      <c r="A11" t="s" s="50">
        <v>66</v>
      </c>
      <c r="B11" s="23" cm="1">
        <f t="array" ref="B11">_xlfn.IFERROR(_xlfn.SUMIFS('Total Cases'!F2:F1312,'Total Cases'!A2:A1312,B$3,'Total Cases'!B2:B1312,$A11,'Total Cases'!C2:C1312,"NIR"),0)</f>
        <v>0</v>
      </c>
      <c r="C11" s="23" cm="1">
        <f t="array" ref="C11">_xlfn.IFERROR(_xlfn.SUMIFS('Total Cases'!F2:F1312,'Total Cases'!A2:A1312,C$3,'Total Cases'!B2:B1312,$A11,'Total Cases'!C2:C1312,"NIR"),0)</f>
        <v>0</v>
      </c>
      <c r="D11" s="23" cm="1">
        <f t="array" ref="D11">_xlfn.IFERROR(_xlfn.SUMIFS('Total Cases'!F2:F1312,'Total Cases'!A2:A1312,D$3,'Total Cases'!B2:B1312,$A11,'Total Cases'!C2:C1312,"NIR"),0)</f>
        <v>0</v>
      </c>
      <c r="E11" s="23" cm="1">
        <f t="array" ref="E11">_xlfn.IFERROR(_xlfn.SUMIFS('Total Cases'!F2:F1312,'Total Cases'!A2:A1312,E$3,'Total Cases'!B2:B1312,$A11,'Total Cases'!C2:C1312,"NIR"),0)</f>
        <v>0</v>
      </c>
      <c r="F11" s="23" cm="1">
        <f t="array" ref="F11">_xlfn.IFERROR(_xlfn.SUMIFS('Total Cases'!F2:F1312,'Total Cases'!A2:A1312,F$3,'Total Cases'!B2:B1312,$A11,'Total Cases'!C2:C1312,"NIR"),0)</f>
        <v>0</v>
      </c>
      <c r="G11" s="23" cm="1">
        <f t="array" ref="G11">_xlfn.IFERROR(_xlfn.SUMIFS('Total Cases'!F2:F1312,'Total Cases'!A2:A1312,G$3,'Total Cases'!B2:B1312,$A11,'Total Cases'!C2:C1312,"NIR"),0)</f>
        <v>0</v>
      </c>
      <c r="H11" s="23" cm="1">
        <f t="array" ref="H11">_xlfn.IFERROR(_xlfn.SUMIFS('Total Cases'!F2:F1312,'Total Cases'!A2:A1312,H$3,'Total Cases'!B2:B1312,$A11,'Total Cases'!C2:C1312,"NIR"),0)</f>
        <v>0</v>
      </c>
      <c r="I11" s="23" cm="1">
        <f t="array" ref="I11">_xlfn.IFERROR(_xlfn.SUMIFS('Total Cases'!F2:F1312,'Total Cases'!A2:A1312,I$3,'Total Cases'!B2:B1312,$A11,'Total Cases'!C2:C1312,"NIR"),0)</f>
        <v>0</v>
      </c>
      <c r="J11" s="23" cm="1">
        <f t="array" ref="J11">_xlfn.IFERROR(_xlfn.SUMIFS('Total Cases'!F2:F1312,'Total Cases'!A2:A1312,J$3,'Total Cases'!B2:B1312,$A11,'Total Cases'!C2:C1312,"NIR"),0)</f>
        <v>0</v>
      </c>
    </row>
    <row r="12" ht="13.65" customHeight="1">
      <c r="A12" t="s" s="50">
        <v>67</v>
      </c>
      <c r="B12" s="23" cm="1">
        <f t="array" ref="B12">_xlfn.IFERROR(_xlfn.SUMIFS('Total Cases'!F2:F1312,'Total Cases'!A2:A1312,B$3,'Total Cases'!B2:B1312,$A12,'Total Cases'!C2:C1312,"NIR"),0)</f>
        <v>0</v>
      </c>
      <c r="C12" s="23" cm="1">
        <f t="array" ref="C12">_xlfn.IFERROR(_xlfn.SUMIFS('Total Cases'!F2:F1312,'Total Cases'!A2:A1312,C$3,'Total Cases'!B2:B1312,$A12,'Total Cases'!C2:C1312,"NIR"),0)</f>
        <v>0</v>
      </c>
      <c r="D12" s="23" cm="1">
        <f t="array" ref="D12">_xlfn.IFERROR(_xlfn.SUMIFS('Total Cases'!F2:F1312,'Total Cases'!A2:A1312,D$3,'Total Cases'!B2:B1312,$A12,'Total Cases'!C2:C1312,"NIR"),0)</f>
        <v>0</v>
      </c>
      <c r="E12" s="23" cm="1">
        <f t="array" ref="E12">_xlfn.IFERROR(_xlfn.SUMIFS('Total Cases'!F2:F1312,'Total Cases'!A2:A1312,E$3,'Total Cases'!B2:B1312,$A12,'Total Cases'!C2:C1312,"NIR"),0)</f>
        <v>0</v>
      </c>
      <c r="F12" s="23" cm="1">
        <f t="array" ref="F12">_xlfn.IFERROR(_xlfn.SUMIFS('Total Cases'!F2:F1312,'Total Cases'!A2:A1312,F$3,'Total Cases'!B2:B1312,$A12,'Total Cases'!C2:C1312,"NIR"),0)</f>
        <v>0</v>
      </c>
      <c r="G12" s="23" cm="1">
        <f t="array" ref="G12">_xlfn.IFERROR(_xlfn.SUMIFS('Total Cases'!F2:F1312,'Total Cases'!A2:A1312,G$3,'Total Cases'!B2:B1312,$A12,'Total Cases'!C2:C1312,"NIR"),0)</f>
        <v>0</v>
      </c>
      <c r="H12" s="23" cm="1">
        <f t="array" ref="H12">_xlfn.IFERROR(_xlfn.SUMIFS('Total Cases'!F2:F1312,'Total Cases'!A2:A1312,H$3,'Total Cases'!B2:B1312,$A12,'Total Cases'!C2:C1312,"NIR"),0)</f>
        <v>0</v>
      </c>
      <c r="I12" s="23" cm="1">
        <f t="array" ref="I12">_xlfn.IFERROR(_xlfn.SUMIFS('Total Cases'!F2:F1312,'Total Cases'!A2:A1312,I$3,'Total Cases'!B2:B1312,$A12,'Total Cases'!C2:C1312,"NIR"),0)</f>
        <v>0</v>
      </c>
      <c r="J12" s="23" cm="1">
        <f t="array" ref="J12">_xlfn.IFERROR(_xlfn.SUMIFS('Total Cases'!F2:F1312,'Total Cases'!A2:A1312,J$3,'Total Cases'!B2:B1312,$A12,'Total Cases'!C2:C1312,"NIR"),0)</f>
        <v>0</v>
      </c>
    </row>
    <row r="13" ht="13.65" customHeight="1">
      <c r="A13" t="s" s="50">
        <v>68</v>
      </c>
      <c r="B13" s="23" cm="1">
        <f t="array" ref="B13">_xlfn.IFERROR(_xlfn.SUMIFS('Total Cases'!F2:F1312,'Total Cases'!A2:A1312,B$3,'Total Cases'!B2:B1312,$A13,'Total Cases'!C2:C1312,"NIR"),0)</f>
        <v>0</v>
      </c>
      <c r="C13" s="23" cm="1">
        <f t="array" ref="C13">_xlfn.IFERROR(_xlfn.SUMIFS('Total Cases'!F2:F1312,'Total Cases'!A2:A1312,C$3,'Total Cases'!B2:B1312,$A13,'Total Cases'!C2:C1312,"NIR"),0)</f>
        <v>0</v>
      </c>
      <c r="D13" s="23" cm="1">
        <f t="array" ref="D13">_xlfn.IFERROR(_xlfn.SUMIFS('Total Cases'!F2:F1312,'Total Cases'!A2:A1312,D$3,'Total Cases'!B2:B1312,$A13,'Total Cases'!C2:C1312,"NIR"),0)</f>
        <v>0</v>
      </c>
      <c r="E13" s="23" cm="1">
        <f t="array" ref="E13">_xlfn.IFERROR(_xlfn.SUMIFS('Total Cases'!F2:F1312,'Total Cases'!A2:A1312,E$3,'Total Cases'!B2:B1312,$A13,'Total Cases'!C2:C1312,"NIR"),0)</f>
        <v>0</v>
      </c>
      <c r="F13" s="23" cm="1">
        <f t="array" ref="F13">_xlfn.IFERROR(_xlfn.SUMIFS('Total Cases'!F2:F1312,'Total Cases'!A2:A1312,F$3,'Total Cases'!B2:B1312,$A13,'Total Cases'!C2:C1312,"NIR"),0)</f>
        <v>0</v>
      </c>
      <c r="G13" s="23" cm="1">
        <f t="array" ref="G13">_xlfn.IFERROR(_xlfn.SUMIFS('Total Cases'!F2:F1312,'Total Cases'!A2:A1312,G$3,'Total Cases'!B2:B1312,$A13,'Total Cases'!C2:C1312,"NIR"),0)</f>
        <v>0</v>
      </c>
      <c r="H13" s="23" cm="1">
        <f t="array" ref="H13">_xlfn.IFERROR(_xlfn.SUMIFS('Total Cases'!F2:F1312,'Total Cases'!A2:A1312,H$3,'Total Cases'!B2:B1312,$A13,'Total Cases'!C2:C1312,"NIR"),0)</f>
        <v>0</v>
      </c>
      <c r="I13" s="23" cm="1">
        <f t="array" ref="I13">_xlfn.IFERROR(_xlfn.SUMIFS('Total Cases'!F2:F1312,'Total Cases'!A2:A1312,I$3,'Total Cases'!B2:B1312,$A13,'Total Cases'!C2:C1312,"NIR"),0)</f>
        <v>0</v>
      </c>
      <c r="J13" s="23" cm="1">
        <f t="array" ref="J13">_xlfn.IFERROR(_xlfn.SUMIFS('Total Cases'!F2:F1312,'Total Cases'!A2:A1312,J$3,'Total Cases'!B2:B1312,$A13,'Total Cases'!C2:C1312,"NIR"),0)</f>
        <v>0</v>
      </c>
    </row>
    <row r="14" ht="13.65" customHeight="1">
      <c r="A14" t="s" s="50">
        <v>69</v>
      </c>
      <c r="B14" s="23" cm="1">
        <f t="array" ref="B14">_xlfn.IFERROR(_xlfn.SUMIFS('Total Cases'!F2:F1312,'Total Cases'!A2:A1312,B$3,'Total Cases'!B2:B1312,$A14,'Total Cases'!C2:C1312,"NIR"),0)</f>
        <v>0</v>
      </c>
      <c r="C14" s="23" cm="1">
        <f t="array" ref="C14">_xlfn.IFERROR(_xlfn.SUMIFS('Total Cases'!F2:F1312,'Total Cases'!A2:A1312,C$3,'Total Cases'!B2:B1312,$A14,'Total Cases'!C2:C1312,"NIR"),0)</f>
        <v>0</v>
      </c>
      <c r="D14" s="23" cm="1">
        <f t="array" ref="D14">_xlfn.IFERROR(_xlfn.SUMIFS('Total Cases'!F2:F1312,'Total Cases'!A2:A1312,D$3,'Total Cases'!B2:B1312,$A14,'Total Cases'!C2:C1312,"NIR"),0)</f>
        <v>0</v>
      </c>
      <c r="E14" s="23" cm="1">
        <f t="array" ref="E14">_xlfn.IFERROR(_xlfn.SUMIFS('Total Cases'!F2:F1312,'Total Cases'!A2:A1312,E$3,'Total Cases'!B2:B1312,$A14,'Total Cases'!C2:C1312,"NIR"),0)</f>
        <v>0</v>
      </c>
      <c r="F14" s="23" cm="1">
        <f t="array" ref="F14">_xlfn.IFERROR(_xlfn.SUMIFS('Total Cases'!F2:F1312,'Total Cases'!A2:A1312,F$3,'Total Cases'!B2:B1312,$A14,'Total Cases'!C2:C1312,"NIR"),0)</f>
        <v>0</v>
      </c>
      <c r="G14" s="23" cm="1">
        <f t="array" ref="G14">_xlfn.IFERROR(_xlfn.SUMIFS('Total Cases'!F2:F1312,'Total Cases'!A2:A1312,G$3,'Total Cases'!B2:B1312,$A14,'Total Cases'!C2:C1312,"NIR"),0)</f>
        <v>0</v>
      </c>
      <c r="H14" s="23" cm="1">
        <f t="array" ref="H14">_xlfn.IFERROR(_xlfn.SUMIFS('Total Cases'!F2:F1312,'Total Cases'!A2:A1312,H$3,'Total Cases'!B2:B1312,$A14,'Total Cases'!C2:C1312,"NIR"),0)</f>
        <v>0</v>
      </c>
      <c r="I14" s="23" cm="1">
        <f t="array" ref="I14">_xlfn.IFERROR(_xlfn.SUMIFS('Total Cases'!F2:F1312,'Total Cases'!A2:A1312,I$3,'Total Cases'!B2:B1312,$A14,'Total Cases'!C2:C1312,"NIR"),0)</f>
        <v>0</v>
      </c>
      <c r="J14" s="23" cm="1">
        <f t="array" ref="J14">_xlfn.IFERROR(_xlfn.SUMIFS('Total Cases'!F2:F1312,'Total Cases'!A2:A1312,J$3,'Total Cases'!B2:B1312,$A14,'Total Cases'!C2:C1312,"NIR"),0)</f>
        <v>0</v>
      </c>
    </row>
    <row r="15" ht="13.65" customHeight="1">
      <c r="A15" t="s" s="50">
        <v>70</v>
      </c>
      <c r="B15" s="23" cm="1">
        <f t="array" ref="B15">_xlfn.IFERROR(_xlfn.SUMIFS('Total Cases'!F2:F1312,'Total Cases'!A2:A1312,B$3,'Total Cases'!B2:B1312,$A15,'Total Cases'!C2:C1312,"NIR"),0)</f>
        <v>0</v>
      </c>
      <c r="C15" s="23" cm="1">
        <f t="array" ref="C15">_xlfn.IFERROR(_xlfn.SUMIFS('Total Cases'!F2:F1312,'Total Cases'!A2:A1312,C$3,'Total Cases'!B2:B1312,$A15,'Total Cases'!C2:C1312,"NIR"),0)</f>
        <v>0</v>
      </c>
      <c r="D15" s="23" cm="1">
        <f t="array" ref="D15">_xlfn.IFERROR(_xlfn.SUMIFS('Total Cases'!F2:F1312,'Total Cases'!A2:A1312,D$3,'Total Cases'!B2:B1312,$A15,'Total Cases'!C2:C1312,"NIR"),0)</f>
        <v>0</v>
      </c>
      <c r="E15" s="23" cm="1">
        <f t="array" ref="E15">_xlfn.IFERROR(_xlfn.SUMIFS('Total Cases'!F2:F1312,'Total Cases'!A2:A1312,E$3,'Total Cases'!B2:B1312,$A15,'Total Cases'!C2:C1312,"NIR"),0)</f>
        <v>0</v>
      </c>
      <c r="F15" s="23" cm="1">
        <f t="array" ref="F15">_xlfn.IFERROR(_xlfn.SUMIFS('Total Cases'!F2:F1312,'Total Cases'!A2:A1312,F$3,'Total Cases'!B2:B1312,$A15,'Total Cases'!C2:C1312,"NIR"),0)</f>
        <v>0</v>
      </c>
      <c r="G15" s="23" cm="1">
        <f t="array" ref="G15">_xlfn.IFERROR(_xlfn.SUMIFS('Total Cases'!F2:F1312,'Total Cases'!A2:A1312,G$3,'Total Cases'!B2:B1312,$A15,'Total Cases'!C2:C1312,"NIR"),0)</f>
        <v>0</v>
      </c>
      <c r="H15" s="23" cm="1">
        <f t="array" ref="H15">_xlfn.IFERROR(_xlfn.SUMIFS('Total Cases'!F2:F1312,'Total Cases'!A2:A1312,H$3,'Total Cases'!B2:B1312,$A15,'Total Cases'!C2:C1312,"NIR"),0)</f>
        <v>0</v>
      </c>
      <c r="I15" s="23" cm="1">
        <f t="array" ref="I15">_xlfn.IFERROR(_xlfn.SUMIFS('Total Cases'!F2:F1312,'Total Cases'!A2:A1312,I$3,'Total Cases'!B2:B1312,$A15,'Total Cases'!C2:C1312,"NIR"),0)</f>
        <v>0</v>
      </c>
      <c r="J15" s="23" cm="1">
        <f t="array" ref="J15">_xlfn.IFERROR(_xlfn.SUMIFS('Total Cases'!F2:F1312,'Total Cases'!A2:A1312,J$3,'Total Cases'!B2:B1312,$A15,'Total Cases'!C2:C1312,"NIR"),0)</f>
        <v>0</v>
      </c>
    </row>
    <row r="16" ht="13.6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3.6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3.6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3.6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3.6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3.6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13.6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13.6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13.6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13.6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13.6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13.6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13.6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13.6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13.6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ht="13.6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ht="13.6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ht="13.6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ht="13.6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ht="13.6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ht="13.6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ht="13.6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3.6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3.6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3.6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3.6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3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3.6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A1:J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